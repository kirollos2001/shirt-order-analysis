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D:\data science work\projects\Shirt_orders_analysis(python-power BI-github)\"/>
    </mc:Choice>
  </mc:AlternateContent>
  <xr:revisionPtr revIDLastSave="0" documentId="13_ncr:1_{25C81CCE-199C-44C9-910E-FBA60750849D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Products" sheetId="4" r:id="rId1"/>
    <sheet name="customers" sheetId="3" r:id="rId2"/>
    <sheet name="ORDERS" sheetId="2" r:id="rId3"/>
    <sheet name="pivots" sheetId="5" r:id="rId4"/>
    <sheet name="Dashboard" sheetId="1" r:id="rId5"/>
  </sheets>
  <definedNames>
    <definedName name="_xlcn.WorksheetConnection_NewXLSXWorksheet.xlsxcustomers1" hidden="1">customers[]</definedName>
    <definedName name="_xlcn.WorksheetConnection_NewXLSXWorksheet.xlsxORDERS1" hidden="1">ORDERS[]</definedName>
    <definedName name="_xlcn.WorksheetConnection_NewXLSXWorksheet.xlsxProducts1" hidden="1">Products[]</definedName>
    <definedName name="ExternalData_1" localSheetId="2" hidden="1">ORDERS!$A$1:$G$2246</definedName>
    <definedName name="ExternalData_2" localSheetId="1" hidden="1">'customers'!$A$1:$G$8</definedName>
    <definedName name="ExternalData_3" localSheetId="0" hidden="1">Products!$A$1:$D$11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New XLSX Worksheet.xlsx!Products"/>
          <x15:modelTable id="ORDERS" name="ORDERS" connection="WorksheetConnection_New XLSX Worksheet.xlsx!ORDERS"/>
          <x15:modelTable id="customers" name="customers" connection="WorksheetConnection_New XLSX Worksheet.xlsx!customers"/>
        </x15:modelTables>
        <x15:modelRelationships>
          <x15:modelRelationship fromTable="ORDERS" fromColumn="ProductID" toTable="Products" toColumn="ProductID"/>
          <x15:modelRelationship fromTable="ORDERS" fromColumn="CustomerID" toTable="customers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F2" i="2"/>
  <c r="H2" i="2" s="1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F37" i="2"/>
  <c r="H37" i="2" s="1"/>
  <c r="F38" i="2"/>
  <c r="H38" i="2" s="1"/>
  <c r="F39" i="2"/>
  <c r="H39" i="2" s="1"/>
  <c r="F40" i="2"/>
  <c r="H40" i="2" s="1"/>
  <c r="F41" i="2"/>
  <c r="H41" i="2" s="1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51" i="2"/>
  <c r="H51" i="2" s="1"/>
  <c r="F52" i="2"/>
  <c r="H52" i="2" s="1"/>
  <c r="F53" i="2"/>
  <c r="H53" i="2" s="1"/>
  <c r="F54" i="2"/>
  <c r="H54" i="2" s="1"/>
  <c r="F55" i="2"/>
  <c r="H55" i="2" s="1"/>
  <c r="F56" i="2"/>
  <c r="H56" i="2" s="1"/>
  <c r="F57" i="2"/>
  <c r="H57" i="2" s="1"/>
  <c r="F58" i="2"/>
  <c r="H58" i="2" s="1"/>
  <c r="F59" i="2"/>
  <c r="H59" i="2" s="1"/>
  <c r="F60" i="2"/>
  <c r="H60" i="2" s="1"/>
  <c r="F61" i="2"/>
  <c r="H61" i="2" s="1"/>
  <c r="F62" i="2"/>
  <c r="H62" i="2" s="1"/>
  <c r="F63" i="2"/>
  <c r="H63" i="2" s="1"/>
  <c r="F64" i="2"/>
  <c r="H64" i="2" s="1"/>
  <c r="F65" i="2"/>
  <c r="H65" i="2" s="1"/>
  <c r="F66" i="2"/>
  <c r="H66" i="2" s="1"/>
  <c r="F67" i="2"/>
  <c r="H67" i="2" s="1"/>
  <c r="F68" i="2"/>
  <c r="H68" i="2" s="1"/>
  <c r="F69" i="2"/>
  <c r="H69" i="2" s="1"/>
  <c r="F70" i="2"/>
  <c r="H70" i="2" s="1"/>
  <c r="F71" i="2"/>
  <c r="H71" i="2" s="1"/>
  <c r="F72" i="2"/>
  <c r="H72" i="2" s="1"/>
  <c r="F73" i="2"/>
  <c r="H73" i="2" s="1"/>
  <c r="F74" i="2"/>
  <c r="H74" i="2" s="1"/>
  <c r="F75" i="2"/>
  <c r="H75" i="2" s="1"/>
  <c r="F76" i="2"/>
  <c r="H76" i="2" s="1"/>
  <c r="F77" i="2"/>
  <c r="H77" i="2" s="1"/>
  <c r="F78" i="2"/>
  <c r="H78" i="2" s="1"/>
  <c r="F79" i="2"/>
  <c r="H79" i="2" s="1"/>
  <c r="F80" i="2"/>
  <c r="H80" i="2" s="1"/>
  <c r="F81" i="2"/>
  <c r="H81" i="2" s="1"/>
  <c r="F82" i="2"/>
  <c r="H82" i="2" s="1"/>
  <c r="F83" i="2"/>
  <c r="H83" i="2" s="1"/>
  <c r="F84" i="2"/>
  <c r="H84" i="2" s="1"/>
  <c r="F85" i="2"/>
  <c r="H85" i="2" s="1"/>
  <c r="F86" i="2"/>
  <c r="H86" i="2" s="1"/>
  <c r="F87" i="2"/>
  <c r="H87" i="2" s="1"/>
  <c r="F88" i="2"/>
  <c r="H88" i="2" s="1"/>
  <c r="F89" i="2"/>
  <c r="H89" i="2" s="1"/>
  <c r="F90" i="2"/>
  <c r="H90" i="2" s="1"/>
  <c r="F91" i="2"/>
  <c r="H91" i="2" s="1"/>
  <c r="F92" i="2"/>
  <c r="H92" i="2" s="1"/>
  <c r="F93" i="2"/>
  <c r="H93" i="2" s="1"/>
  <c r="F94" i="2"/>
  <c r="H94" i="2" s="1"/>
  <c r="F95" i="2"/>
  <c r="H95" i="2" s="1"/>
  <c r="F96" i="2"/>
  <c r="H96" i="2" s="1"/>
  <c r="F97" i="2"/>
  <c r="H97" i="2" s="1"/>
  <c r="F98" i="2"/>
  <c r="H98" i="2" s="1"/>
  <c r="F99" i="2"/>
  <c r="H99" i="2" s="1"/>
  <c r="F100" i="2"/>
  <c r="H100" i="2" s="1"/>
  <c r="F101" i="2"/>
  <c r="H101" i="2" s="1"/>
  <c r="F102" i="2"/>
  <c r="H102" i="2" s="1"/>
  <c r="F103" i="2"/>
  <c r="H103" i="2" s="1"/>
  <c r="F104" i="2"/>
  <c r="H104" i="2" s="1"/>
  <c r="F105" i="2"/>
  <c r="H105" i="2" s="1"/>
  <c r="F106" i="2"/>
  <c r="H106" i="2" s="1"/>
  <c r="F107" i="2"/>
  <c r="H107" i="2" s="1"/>
  <c r="F108" i="2"/>
  <c r="H108" i="2" s="1"/>
  <c r="F109" i="2"/>
  <c r="H109" i="2" s="1"/>
  <c r="F110" i="2"/>
  <c r="H110" i="2" s="1"/>
  <c r="F111" i="2"/>
  <c r="H111" i="2" s="1"/>
  <c r="F112" i="2"/>
  <c r="H112" i="2" s="1"/>
  <c r="F113" i="2"/>
  <c r="H113" i="2" s="1"/>
  <c r="F114" i="2"/>
  <c r="H114" i="2" s="1"/>
  <c r="F115" i="2"/>
  <c r="H115" i="2" s="1"/>
  <c r="F116" i="2"/>
  <c r="H116" i="2" s="1"/>
  <c r="F117" i="2"/>
  <c r="H117" i="2" s="1"/>
  <c r="F118" i="2"/>
  <c r="H118" i="2" s="1"/>
  <c r="F119" i="2"/>
  <c r="H119" i="2" s="1"/>
  <c r="F120" i="2"/>
  <c r="H120" i="2" s="1"/>
  <c r="F121" i="2"/>
  <c r="H121" i="2" s="1"/>
  <c r="F122" i="2"/>
  <c r="H122" i="2" s="1"/>
  <c r="F123" i="2"/>
  <c r="H123" i="2" s="1"/>
  <c r="F124" i="2"/>
  <c r="H124" i="2" s="1"/>
  <c r="F125" i="2"/>
  <c r="H125" i="2" s="1"/>
  <c r="F126" i="2"/>
  <c r="H126" i="2" s="1"/>
  <c r="F127" i="2"/>
  <c r="H127" i="2" s="1"/>
  <c r="F128" i="2"/>
  <c r="H128" i="2" s="1"/>
  <c r="F129" i="2"/>
  <c r="H129" i="2" s="1"/>
  <c r="F130" i="2"/>
  <c r="H130" i="2" s="1"/>
  <c r="F131" i="2"/>
  <c r="H131" i="2" s="1"/>
  <c r="F132" i="2"/>
  <c r="H132" i="2" s="1"/>
  <c r="F133" i="2"/>
  <c r="H133" i="2" s="1"/>
  <c r="F134" i="2"/>
  <c r="H134" i="2" s="1"/>
  <c r="F135" i="2"/>
  <c r="H135" i="2" s="1"/>
  <c r="F136" i="2"/>
  <c r="H136" i="2" s="1"/>
  <c r="F137" i="2"/>
  <c r="H137" i="2" s="1"/>
  <c r="F138" i="2"/>
  <c r="H138" i="2" s="1"/>
  <c r="F139" i="2"/>
  <c r="H139" i="2" s="1"/>
  <c r="F140" i="2"/>
  <c r="H140" i="2" s="1"/>
  <c r="F141" i="2"/>
  <c r="H141" i="2" s="1"/>
  <c r="F142" i="2"/>
  <c r="H142" i="2" s="1"/>
  <c r="F143" i="2"/>
  <c r="H143" i="2" s="1"/>
  <c r="F144" i="2"/>
  <c r="H144" i="2" s="1"/>
  <c r="F145" i="2"/>
  <c r="H145" i="2" s="1"/>
  <c r="F146" i="2"/>
  <c r="H146" i="2" s="1"/>
  <c r="F147" i="2"/>
  <c r="H147" i="2" s="1"/>
  <c r="F148" i="2"/>
  <c r="H148" i="2" s="1"/>
  <c r="F149" i="2"/>
  <c r="H149" i="2" s="1"/>
  <c r="F150" i="2"/>
  <c r="H150" i="2" s="1"/>
  <c r="F151" i="2"/>
  <c r="H151" i="2" s="1"/>
  <c r="F152" i="2"/>
  <c r="H152" i="2" s="1"/>
  <c r="F153" i="2"/>
  <c r="H153" i="2" s="1"/>
  <c r="F154" i="2"/>
  <c r="H154" i="2" s="1"/>
  <c r="F155" i="2"/>
  <c r="H155" i="2" s="1"/>
  <c r="F156" i="2"/>
  <c r="H156" i="2" s="1"/>
  <c r="F157" i="2"/>
  <c r="H157" i="2" s="1"/>
  <c r="F158" i="2"/>
  <c r="H158" i="2" s="1"/>
  <c r="F159" i="2"/>
  <c r="H159" i="2" s="1"/>
  <c r="F160" i="2"/>
  <c r="H160" i="2" s="1"/>
  <c r="F161" i="2"/>
  <c r="H161" i="2" s="1"/>
  <c r="F162" i="2"/>
  <c r="H162" i="2" s="1"/>
  <c r="F163" i="2"/>
  <c r="H163" i="2" s="1"/>
  <c r="F164" i="2"/>
  <c r="H164" i="2" s="1"/>
  <c r="F165" i="2"/>
  <c r="H165" i="2" s="1"/>
  <c r="F166" i="2"/>
  <c r="H166" i="2" s="1"/>
  <c r="F167" i="2"/>
  <c r="H167" i="2" s="1"/>
  <c r="F168" i="2"/>
  <c r="H168" i="2" s="1"/>
  <c r="F169" i="2"/>
  <c r="H169" i="2" s="1"/>
  <c r="F170" i="2"/>
  <c r="H170" i="2" s="1"/>
  <c r="F171" i="2"/>
  <c r="H171" i="2" s="1"/>
  <c r="F172" i="2"/>
  <c r="H172" i="2" s="1"/>
  <c r="F173" i="2"/>
  <c r="H173" i="2" s="1"/>
  <c r="F174" i="2"/>
  <c r="H174" i="2" s="1"/>
  <c r="F175" i="2"/>
  <c r="H175" i="2" s="1"/>
  <c r="F176" i="2"/>
  <c r="H176" i="2" s="1"/>
  <c r="F177" i="2"/>
  <c r="H177" i="2" s="1"/>
  <c r="F178" i="2"/>
  <c r="H178" i="2" s="1"/>
  <c r="F179" i="2"/>
  <c r="H179" i="2" s="1"/>
  <c r="F180" i="2"/>
  <c r="H180" i="2" s="1"/>
  <c r="F181" i="2"/>
  <c r="H181" i="2" s="1"/>
  <c r="F182" i="2"/>
  <c r="H182" i="2" s="1"/>
  <c r="F183" i="2"/>
  <c r="H183" i="2" s="1"/>
  <c r="F184" i="2"/>
  <c r="H184" i="2" s="1"/>
  <c r="F185" i="2"/>
  <c r="H185" i="2" s="1"/>
  <c r="F186" i="2"/>
  <c r="H186" i="2" s="1"/>
  <c r="F187" i="2"/>
  <c r="H187" i="2" s="1"/>
  <c r="F188" i="2"/>
  <c r="H188" i="2" s="1"/>
  <c r="F189" i="2"/>
  <c r="H189" i="2" s="1"/>
  <c r="F190" i="2"/>
  <c r="H190" i="2" s="1"/>
  <c r="F191" i="2"/>
  <c r="H191" i="2" s="1"/>
  <c r="F192" i="2"/>
  <c r="H192" i="2" s="1"/>
  <c r="F193" i="2"/>
  <c r="H193" i="2" s="1"/>
  <c r="F194" i="2"/>
  <c r="H194" i="2" s="1"/>
  <c r="F195" i="2"/>
  <c r="H195" i="2" s="1"/>
  <c r="F196" i="2"/>
  <c r="H196" i="2" s="1"/>
  <c r="F197" i="2"/>
  <c r="H197" i="2" s="1"/>
  <c r="F198" i="2"/>
  <c r="H198" i="2" s="1"/>
  <c r="F199" i="2"/>
  <c r="H199" i="2" s="1"/>
  <c r="F200" i="2"/>
  <c r="H200" i="2" s="1"/>
  <c r="F201" i="2"/>
  <c r="H201" i="2" s="1"/>
  <c r="F202" i="2"/>
  <c r="H202" i="2" s="1"/>
  <c r="F203" i="2"/>
  <c r="H203" i="2" s="1"/>
  <c r="F204" i="2"/>
  <c r="H204" i="2" s="1"/>
  <c r="F205" i="2"/>
  <c r="H205" i="2" s="1"/>
  <c r="F206" i="2"/>
  <c r="H206" i="2" s="1"/>
  <c r="F207" i="2"/>
  <c r="H207" i="2" s="1"/>
  <c r="F208" i="2"/>
  <c r="H208" i="2" s="1"/>
  <c r="F209" i="2"/>
  <c r="H209" i="2" s="1"/>
  <c r="F210" i="2"/>
  <c r="H210" i="2" s="1"/>
  <c r="F211" i="2"/>
  <c r="H211" i="2" s="1"/>
  <c r="F212" i="2"/>
  <c r="H212" i="2" s="1"/>
  <c r="F213" i="2"/>
  <c r="H213" i="2" s="1"/>
  <c r="F214" i="2"/>
  <c r="H214" i="2" s="1"/>
  <c r="F215" i="2"/>
  <c r="H215" i="2" s="1"/>
  <c r="F216" i="2"/>
  <c r="H216" i="2" s="1"/>
  <c r="F217" i="2"/>
  <c r="H217" i="2" s="1"/>
  <c r="F218" i="2"/>
  <c r="H218" i="2" s="1"/>
  <c r="F219" i="2"/>
  <c r="H219" i="2" s="1"/>
  <c r="F220" i="2"/>
  <c r="H220" i="2" s="1"/>
  <c r="F221" i="2"/>
  <c r="H221" i="2" s="1"/>
  <c r="F222" i="2"/>
  <c r="H222" i="2" s="1"/>
  <c r="F223" i="2"/>
  <c r="H223" i="2" s="1"/>
  <c r="F224" i="2"/>
  <c r="H224" i="2" s="1"/>
  <c r="F225" i="2"/>
  <c r="H225" i="2" s="1"/>
  <c r="F226" i="2"/>
  <c r="H226" i="2" s="1"/>
  <c r="F227" i="2"/>
  <c r="H227" i="2" s="1"/>
  <c r="F228" i="2"/>
  <c r="H228" i="2" s="1"/>
  <c r="F229" i="2"/>
  <c r="H229" i="2" s="1"/>
  <c r="F230" i="2"/>
  <c r="H230" i="2" s="1"/>
  <c r="F231" i="2"/>
  <c r="H231" i="2" s="1"/>
  <c r="F232" i="2"/>
  <c r="H232" i="2" s="1"/>
  <c r="F233" i="2"/>
  <c r="H233" i="2" s="1"/>
  <c r="F234" i="2"/>
  <c r="H234" i="2" s="1"/>
  <c r="F235" i="2"/>
  <c r="H235" i="2" s="1"/>
  <c r="F236" i="2"/>
  <c r="H236" i="2" s="1"/>
  <c r="F237" i="2"/>
  <c r="H237" i="2" s="1"/>
  <c r="F238" i="2"/>
  <c r="H238" i="2" s="1"/>
  <c r="F239" i="2"/>
  <c r="H239" i="2" s="1"/>
  <c r="F240" i="2"/>
  <c r="H240" i="2" s="1"/>
  <c r="F241" i="2"/>
  <c r="H241" i="2" s="1"/>
  <c r="F242" i="2"/>
  <c r="H242" i="2" s="1"/>
  <c r="F243" i="2"/>
  <c r="H243" i="2" s="1"/>
  <c r="F244" i="2"/>
  <c r="H244" i="2" s="1"/>
  <c r="F245" i="2"/>
  <c r="H245" i="2" s="1"/>
  <c r="F246" i="2"/>
  <c r="H246" i="2" s="1"/>
  <c r="F247" i="2"/>
  <c r="H247" i="2" s="1"/>
  <c r="F248" i="2"/>
  <c r="H248" i="2" s="1"/>
  <c r="F249" i="2"/>
  <c r="H249" i="2" s="1"/>
  <c r="F250" i="2"/>
  <c r="H250" i="2" s="1"/>
  <c r="F251" i="2"/>
  <c r="H251" i="2" s="1"/>
  <c r="F252" i="2"/>
  <c r="H252" i="2" s="1"/>
  <c r="F253" i="2"/>
  <c r="H253" i="2" s="1"/>
  <c r="F254" i="2"/>
  <c r="H254" i="2" s="1"/>
  <c r="F255" i="2"/>
  <c r="H255" i="2" s="1"/>
  <c r="F256" i="2"/>
  <c r="H256" i="2" s="1"/>
  <c r="F257" i="2"/>
  <c r="H257" i="2" s="1"/>
  <c r="F258" i="2"/>
  <c r="H258" i="2" s="1"/>
  <c r="F259" i="2"/>
  <c r="H259" i="2" s="1"/>
  <c r="F260" i="2"/>
  <c r="H260" i="2" s="1"/>
  <c r="F261" i="2"/>
  <c r="H261" i="2" s="1"/>
  <c r="F262" i="2"/>
  <c r="H262" i="2" s="1"/>
  <c r="F263" i="2"/>
  <c r="H263" i="2" s="1"/>
  <c r="F264" i="2"/>
  <c r="H264" i="2" s="1"/>
  <c r="F265" i="2"/>
  <c r="H265" i="2" s="1"/>
  <c r="F266" i="2"/>
  <c r="H266" i="2" s="1"/>
  <c r="F267" i="2"/>
  <c r="H267" i="2" s="1"/>
  <c r="F268" i="2"/>
  <c r="H268" i="2" s="1"/>
  <c r="F269" i="2"/>
  <c r="H269" i="2" s="1"/>
  <c r="F270" i="2"/>
  <c r="H270" i="2" s="1"/>
  <c r="F271" i="2"/>
  <c r="H271" i="2" s="1"/>
  <c r="F272" i="2"/>
  <c r="H272" i="2" s="1"/>
  <c r="F273" i="2"/>
  <c r="H273" i="2" s="1"/>
  <c r="F274" i="2"/>
  <c r="H274" i="2" s="1"/>
  <c r="F275" i="2"/>
  <c r="H275" i="2" s="1"/>
  <c r="F276" i="2"/>
  <c r="H276" i="2" s="1"/>
  <c r="F277" i="2"/>
  <c r="H277" i="2" s="1"/>
  <c r="F278" i="2"/>
  <c r="H278" i="2" s="1"/>
  <c r="F279" i="2"/>
  <c r="H279" i="2" s="1"/>
  <c r="F280" i="2"/>
  <c r="H280" i="2" s="1"/>
  <c r="F281" i="2"/>
  <c r="H281" i="2" s="1"/>
  <c r="F282" i="2"/>
  <c r="H282" i="2" s="1"/>
  <c r="F283" i="2"/>
  <c r="H283" i="2" s="1"/>
  <c r="F284" i="2"/>
  <c r="H284" i="2" s="1"/>
  <c r="F285" i="2"/>
  <c r="H285" i="2" s="1"/>
  <c r="F286" i="2"/>
  <c r="H286" i="2" s="1"/>
  <c r="F287" i="2"/>
  <c r="H287" i="2" s="1"/>
  <c r="F288" i="2"/>
  <c r="H288" i="2" s="1"/>
  <c r="F289" i="2"/>
  <c r="H289" i="2" s="1"/>
  <c r="F290" i="2"/>
  <c r="H290" i="2" s="1"/>
  <c r="F291" i="2"/>
  <c r="H291" i="2" s="1"/>
  <c r="F292" i="2"/>
  <c r="H292" i="2" s="1"/>
  <c r="F293" i="2"/>
  <c r="H293" i="2" s="1"/>
  <c r="F294" i="2"/>
  <c r="H294" i="2" s="1"/>
  <c r="F295" i="2"/>
  <c r="H295" i="2" s="1"/>
  <c r="F296" i="2"/>
  <c r="H296" i="2" s="1"/>
  <c r="F297" i="2"/>
  <c r="H297" i="2" s="1"/>
  <c r="F298" i="2"/>
  <c r="H298" i="2" s="1"/>
  <c r="F299" i="2"/>
  <c r="H299" i="2" s="1"/>
  <c r="F300" i="2"/>
  <c r="H300" i="2" s="1"/>
  <c r="F301" i="2"/>
  <c r="H301" i="2" s="1"/>
  <c r="F302" i="2"/>
  <c r="H302" i="2" s="1"/>
  <c r="F303" i="2"/>
  <c r="H303" i="2" s="1"/>
  <c r="F304" i="2"/>
  <c r="H304" i="2" s="1"/>
  <c r="F305" i="2"/>
  <c r="H305" i="2" s="1"/>
  <c r="F306" i="2"/>
  <c r="H306" i="2" s="1"/>
  <c r="F307" i="2"/>
  <c r="H307" i="2" s="1"/>
  <c r="F308" i="2"/>
  <c r="H308" i="2" s="1"/>
  <c r="F309" i="2"/>
  <c r="H309" i="2" s="1"/>
  <c r="F310" i="2"/>
  <c r="H310" i="2" s="1"/>
  <c r="F311" i="2"/>
  <c r="H311" i="2" s="1"/>
  <c r="F312" i="2"/>
  <c r="H312" i="2" s="1"/>
  <c r="F313" i="2"/>
  <c r="H313" i="2" s="1"/>
  <c r="F314" i="2"/>
  <c r="H314" i="2" s="1"/>
  <c r="F315" i="2"/>
  <c r="H315" i="2" s="1"/>
  <c r="F316" i="2"/>
  <c r="H316" i="2" s="1"/>
  <c r="F317" i="2"/>
  <c r="H317" i="2" s="1"/>
  <c r="F318" i="2"/>
  <c r="H318" i="2" s="1"/>
  <c r="F319" i="2"/>
  <c r="H319" i="2" s="1"/>
  <c r="F320" i="2"/>
  <c r="H320" i="2" s="1"/>
  <c r="F321" i="2"/>
  <c r="H321" i="2" s="1"/>
  <c r="F322" i="2"/>
  <c r="H322" i="2" s="1"/>
  <c r="F323" i="2"/>
  <c r="H323" i="2" s="1"/>
  <c r="F324" i="2"/>
  <c r="H324" i="2" s="1"/>
  <c r="F325" i="2"/>
  <c r="H325" i="2" s="1"/>
  <c r="F326" i="2"/>
  <c r="H326" i="2" s="1"/>
  <c r="F327" i="2"/>
  <c r="H327" i="2" s="1"/>
  <c r="F328" i="2"/>
  <c r="H328" i="2" s="1"/>
  <c r="F329" i="2"/>
  <c r="H329" i="2" s="1"/>
  <c r="F330" i="2"/>
  <c r="H330" i="2" s="1"/>
  <c r="F331" i="2"/>
  <c r="H331" i="2" s="1"/>
  <c r="F332" i="2"/>
  <c r="H332" i="2" s="1"/>
  <c r="F333" i="2"/>
  <c r="H333" i="2" s="1"/>
  <c r="F334" i="2"/>
  <c r="H334" i="2" s="1"/>
  <c r="F335" i="2"/>
  <c r="H335" i="2" s="1"/>
  <c r="F336" i="2"/>
  <c r="H336" i="2" s="1"/>
  <c r="F337" i="2"/>
  <c r="H337" i="2" s="1"/>
  <c r="F338" i="2"/>
  <c r="H338" i="2" s="1"/>
  <c r="F339" i="2"/>
  <c r="H339" i="2" s="1"/>
  <c r="F340" i="2"/>
  <c r="H340" i="2" s="1"/>
  <c r="F341" i="2"/>
  <c r="H341" i="2" s="1"/>
  <c r="F342" i="2"/>
  <c r="H342" i="2" s="1"/>
  <c r="F343" i="2"/>
  <c r="H343" i="2" s="1"/>
  <c r="F344" i="2"/>
  <c r="H344" i="2" s="1"/>
  <c r="F345" i="2"/>
  <c r="H345" i="2" s="1"/>
  <c r="F346" i="2"/>
  <c r="H346" i="2" s="1"/>
  <c r="F347" i="2"/>
  <c r="H347" i="2" s="1"/>
  <c r="F348" i="2"/>
  <c r="H348" i="2" s="1"/>
  <c r="F349" i="2"/>
  <c r="H349" i="2" s="1"/>
  <c r="F350" i="2"/>
  <c r="H350" i="2" s="1"/>
  <c r="F351" i="2"/>
  <c r="H351" i="2" s="1"/>
  <c r="F352" i="2"/>
  <c r="H352" i="2" s="1"/>
  <c r="F353" i="2"/>
  <c r="H353" i="2" s="1"/>
  <c r="F354" i="2"/>
  <c r="H354" i="2" s="1"/>
  <c r="F355" i="2"/>
  <c r="H355" i="2" s="1"/>
  <c r="F356" i="2"/>
  <c r="H356" i="2" s="1"/>
  <c r="F357" i="2"/>
  <c r="H357" i="2" s="1"/>
  <c r="F358" i="2"/>
  <c r="H358" i="2" s="1"/>
  <c r="F359" i="2"/>
  <c r="H359" i="2" s="1"/>
  <c r="F360" i="2"/>
  <c r="H360" i="2" s="1"/>
  <c r="F361" i="2"/>
  <c r="H361" i="2" s="1"/>
  <c r="F362" i="2"/>
  <c r="H362" i="2" s="1"/>
  <c r="F363" i="2"/>
  <c r="H363" i="2" s="1"/>
  <c r="F364" i="2"/>
  <c r="H364" i="2" s="1"/>
  <c r="F365" i="2"/>
  <c r="H365" i="2" s="1"/>
  <c r="F366" i="2"/>
  <c r="H366" i="2" s="1"/>
  <c r="F367" i="2"/>
  <c r="H367" i="2" s="1"/>
  <c r="F368" i="2"/>
  <c r="H368" i="2" s="1"/>
  <c r="F369" i="2"/>
  <c r="H369" i="2" s="1"/>
  <c r="F370" i="2"/>
  <c r="H370" i="2" s="1"/>
  <c r="F371" i="2"/>
  <c r="H371" i="2" s="1"/>
  <c r="F372" i="2"/>
  <c r="H372" i="2" s="1"/>
  <c r="F373" i="2"/>
  <c r="H373" i="2" s="1"/>
  <c r="F374" i="2"/>
  <c r="H374" i="2" s="1"/>
  <c r="F375" i="2"/>
  <c r="H375" i="2" s="1"/>
  <c r="F376" i="2"/>
  <c r="H376" i="2" s="1"/>
  <c r="F377" i="2"/>
  <c r="H377" i="2" s="1"/>
  <c r="F378" i="2"/>
  <c r="H378" i="2" s="1"/>
  <c r="F379" i="2"/>
  <c r="H379" i="2" s="1"/>
  <c r="F380" i="2"/>
  <c r="H380" i="2" s="1"/>
  <c r="F381" i="2"/>
  <c r="H381" i="2" s="1"/>
  <c r="F382" i="2"/>
  <c r="H382" i="2" s="1"/>
  <c r="F383" i="2"/>
  <c r="H383" i="2" s="1"/>
  <c r="F384" i="2"/>
  <c r="H384" i="2" s="1"/>
  <c r="F385" i="2"/>
  <c r="H385" i="2" s="1"/>
  <c r="F386" i="2"/>
  <c r="H386" i="2" s="1"/>
  <c r="F387" i="2"/>
  <c r="H387" i="2" s="1"/>
  <c r="F388" i="2"/>
  <c r="H388" i="2" s="1"/>
  <c r="F389" i="2"/>
  <c r="H389" i="2" s="1"/>
  <c r="F390" i="2"/>
  <c r="H390" i="2" s="1"/>
  <c r="F391" i="2"/>
  <c r="H391" i="2" s="1"/>
  <c r="F392" i="2"/>
  <c r="H392" i="2" s="1"/>
  <c r="F393" i="2"/>
  <c r="H393" i="2" s="1"/>
  <c r="F394" i="2"/>
  <c r="H394" i="2" s="1"/>
  <c r="F395" i="2"/>
  <c r="H395" i="2" s="1"/>
  <c r="F396" i="2"/>
  <c r="H396" i="2" s="1"/>
  <c r="F397" i="2"/>
  <c r="H397" i="2" s="1"/>
  <c r="F398" i="2"/>
  <c r="H398" i="2" s="1"/>
  <c r="F399" i="2"/>
  <c r="H399" i="2" s="1"/>
  <c r="F400" i="2"/>
  <c r="H400" i="2" s="1"/>
  <c r="F401" i="2"/>
  <c r="H401" i="2" s="1"/>
  <c r="F402" i="2"/>
  <c r="H402" i="2" s="1"/>
  <c r="F403" i="2"/>
  <c r="H403" i="2" s="1"/>
  <c r="F404" i="2"/>
  <c r="H404" i="2" s="1"/>
  <c r="F405" i="2"/>
  <c r="H405" i="2" s="1"/>
  <c r="F406" i="2"/>
  <c r="H406" i="2" s="1"/>
  <c r="F407" i="2"/>
  <c r="H407" i="2" s="1"/>
  <c r="F408" i="2"/>
  <c r="H408" i="2" s="1"/>
  <c r="F409" i="2"/>
  <c r="H409" i="2" s="1"/>
  <c r="F410" i="2"/>
  <c r="H410" i="2" s="1"/>
  <c r="F411" i="2"/>
  <c r="H411" i="2" s="1"/>
  <c r="F412" i="2"/>
  <c r="H412" i="2" s="1"/>
  <c r="F413" i="2"/>
  <c r="H413" i="2" s="1"/>
  <c r="F414" i="2"/>
  <c r="H414" i="2" s="1"/>
  <c r="F415" i="2"/>
  <c r="H415" i="2" s="1"/>
  <c r="F416" i="2"/>
  <c r="H416" i="2" s="1"/>
  <c r="F417" i="2"/>
  <c r="H417" i="2" s="1"/>
  <c r="F418" i="2"/>
  <c r="H418" i="2" s="1"/>
  <c r="F419" i="2"/>
  <c r="H419" i="2" s="1"/>
  <c r="F420" i="2"/>
  <c r="H420" i="2" s="1"/>
  <c r="F421" i="2"/>
  <c r="H421" i="2" s="1"/>
  <c r="F422" i="2"/>
  <c r="H422" i="2" s="1"/>
  <c r="F423" i="2"/>
  <c r="H423" i="2" s="1"/>
  <c r="F424" i="2"/>
  <c r="H424" i="2" s="1"/>
  <c r="F425" i="2"/>
  <c r="H425" i="2" s="1"/>
  <c r="F426" i="2"/>
  <c r="H426" i="2" s="1"/>
  <c r="F427" i="2"/>
  <c r="H427" i="2" s="1"/>
  <c r="F428" i="2"/>
  <c r="H428" i="2" s="1"/>
  <c r="F429" i="2"/>
  <c r="H429" i="2" s="1"/>
  <c r="F430" i="2"/>
  <c r="H430" i="2" s="1"/>
  <c r="F431" i="2"/>
  <c r="H431" i="2" s="1"/>
  <c r="F432" i="2"/>
  <c r="H432" i="2" s="1"/>
  <c r="F433" i="2"/>
  <c r="H433" i="2" s="1"/>
  <c r="F434" i="2"/>
  <c r="H434" i="2" s="1"/>
  <c r="F435" i="2"/>
  <c r="H435" i="2" s="1"/>
  <c r="F436" i="2"/>
  <c r="H436" i="2" s="1"/>
  <c r="F437" i="2"/>
  <c r="H437" i="2" s="1"/>
  <c r="F438" i="2"/>
  <c r="H438" i="2" s="1"/>
  <c r="F439" i="2"/>
  <c r="H439" i="2" s="1"/>
  <c r="F440" i="2"/>
  <c r="H440" i="2" s="1"/>
  <c r="F441" i="2"/>
  <c r="H441" i="2" s="1"/>
  <c r="F442" i="2"/>
  <c r="H442" i="2" s="1"/>
  <c r="F443" i="2"/>
  <c r="H443" i="2" s="1"/>
  <c r="F444" i="2"/>
  <c r="H444" i="2" s="1"/>
  <c r="F445" i="2"/>
  <c r="H445" i="2" s="1"/>
  <c r="F446" i="2"/>
  <c r="H446" i="2" s="1"/>
  <c r="F447" i="2"/>
  <c r="H447" i="2" s="1"/>
  <c r="F448" i="2"/>
  <c r="H448" i="2" s="1"/>
  <c r="F449" i="2"/>
  <c r="H449" i="2" s="1"/>
  <c r="F450" i="2"/>
  <c r="H450" i="2" s="1"/>
  <c r="F451" i="2"/>
  <c r="H451" i="2" s="1"/>
  <c r="F452" i="2"/>
  <c r="H452" i="2" s="1"/>
  <c r="F453" i="2"/>
  <c r="H453" i="2" s="1"/>
  <c r="F454" i="2"/>
  <c r="H454" i="2" s="1"/>
  <c r="F455" i="2"/>
  <c r="H455" i="2" s="1"/>
  <c r="F456" i="2"/>
  <c r="H456" i="2" s="1"/>
  <c r="F457" i="2"/>
  <c r="H457" i="2" s="1"/>
  <c r="F458" i="2"/>
  <c r="H458" i="2" s="1"/>
  <c r="F459" i="2"/>
  <c r="H459" i="2" s="1"/>
  <c r="F460" i="2"/>
  <c r="H460" i="2" s="1"/>
  <c r="F461" i="2"/>
  <c r="H461" i="2" s="1"/>
  <c r="F462" i="2"/>
  <c r="H462" i="2" s="1"/>
  <c r="F463" i="2"/>
  <c r="H463" i="2" s="1"/>
  <c r="F464" i="2"/>
  <c r="H464" i="2" s="1"/>
  <c r="F465" i="2"/>
  <c r="H465" i="2" s="1"/>
  <c r="F466" i="2"/>
  <c r="H466" i="2" s="1"/>
  <c r="F467" i="2"/>
  <c r="H467" i="2" s="1"/>
  <c r="F468" i="2"/>
  <c r="H468" i="2" s="1"/>
  <c r="F469" i="2"/>
  <c r="H469" i="2" s="1"/>
  <c r="F470" i="2"/>
  <c r="H470" i="2" s="1"/>
  <c r="F471" i="2"/>
  <c r="H471" i="2" s="1"/>
  <c r="F472" i="2"/>
  <c r="H472" i="2" s="1"/>
  <c r="F473" i="2"/>
  <c r="H473" i="2" s="1"/>
  <c r="F474" i="2"/>
  <c r="H474" i="2" s="1"/>
  <c r="F475" i="2"/>
  <c r="H475" i="2" s="1"/>
  <c r="F476" i="2"/>
  <c r="H476" i="2" s="1"/>
  <c r="F477" i="2"/>
  <c r="H477" i="2" s="1"/>
  <c r="F478" i="2"/>
  <c r="H478" i="2" s="1"/>
  <c r="F479" i="2"/>
  <c r="H479" i="2" s="1"/>
  <c r="F480" i="2"/>
  <c r="H480" i="2" s="1"/>
  <c r="F481" i="2"/>
  <c r="H481" i="2" s="1"/>
  <c r="F482" i="2"/>
  <c r="H482" i="2" s="1"/>
  <c r="F483" i="2"/>
  <c r="H483" i="2" s="1"/>
  <c r="F484" i="2"/>
  <c r="H484" i="2" s="1"/>
  <c r="F485" i="2"/>
  <c r="H485" i="2" s="1"/>
  <c r="F486" i="2"/>
  <c r="H486" i="2" s="1"/>
  <c r="F487" i="2"/>
  <c r="H487" i="2" s="1"/>
  <c r="F488" i="2"/>
  <c r="H488" i="2" s="1"/>
  <c r="F489" i="2"/>
  <c r="H489" i="2" s="1"/>
  <c r="F490" i="2"/>
  <c r="H490" i="2" s="1"/>
  <c r="F491" i="2"/>
  <c r="H491" i="2" s="1"/>
  <c r="F492" i="2"/>
  <c r="H492" i="2" s="1"/>
  <c r="F493" i="2"/>
  <c r="H493" i="2" s="1"/>
  <c r="F494" i="2"/>
  <c r="H494" i="2" s="1"/>
  <c r="F495" i="2"/>
  <c r="H495" i="2" s="1"/>
  <c r="F496" i="2"/>
  <c r="H496" i="2" s="1"/>
  <c r="F497" i="2"/>
  <c r="H497" i="2" s="1"/>
  <c r="F498" i="2"/>
  <c r="H498" i="2" s="1"/>
  <c r="F499" i="2"/>
  <c r="H499" i="2" s="1"/>
  <c r="F500" i="2"/>
  <c r="H500" i="2" s="1"/>
  <c r="F501" i="2"/>
  <c r="H501" i="2" s="1"/>
  <c r="F502" i="2"/>
  <c r="H502" i="2" s="1"/>
  <c r="F503" i="2"/>
  <c r="H503" i="2" s="1"/>
  <c r="F504" i="2"/>
  <c r="H504" i="2" s="1"/>
  <c r="F505" i="2"/>
  <c r="H505" i="2" s="1"/>
  <c r="F506" i="2"/>
  <c r="H506" i="2" s="1"/>
  <c r="F507" i="2"/>
  <c r="H507" i="2" s="1"/>
  <c r="F508" i="2"/>
  <c r="H508" i="2" s="1"/>
  <c r="F509" i="2"/>
  <c r="H509" i="2" s="1"/>
  <c r="F510" i="2"/>
  <c r="H510" i="2" s="1"/>
  <c r="F511" i="2"/>
  <c r="H511" i="2" s="1"/>
  <c r="F512" i="2"/>
  <c r="H512" i="2" s="1"/>
  <c r="F513" i="2"/>
  <c r="H513" i="2" s="1"/>
  <c r="F514" i="2"/>
  <c r="H514" i="2" s="1"/>
  <c r="F515" i="2"/>
  <c r="H515" i="2" s="1"/>
  <c r="F516" i="2"/>
  <c r="H516" i="2" s="1"/>
  <c r="F517" i="2"/>
  <c r="H517" i="2" s="1"/>
  <c r="F518" i="2"/>
  <c r="H518" i="2" s="1"/>
  <c r="F519" i="2"/>
  <c r="H519" i="2" s="1"/>
  <c r="F520" i="2"/>
  <c r="H520" i="2" s="1"/>
  <c r="F521" i="2"/>
  <c r="H521" i="2" s="1"/>
  <c r="F522" i="2"/>
  <c r="H522" i="2" s="1"/>
  <c r="F523" i="2"/>
  <c r="H523" i="2" s="1"/>
  <c r="F524" i="2"/>
  <c r="H524" i="2" s="1"/>
  <c r="F525" i="2"/>
  <c r="H525" i="2" s="1"/>
  <c r="F526" i="2"/>
  <c r="H526" i="2" s="1"/>
  <c r="F527" i="2"/>
  <c r="H527" i="2" s="1"/>
  <c r="F528" i="2"/>
  <c r="H528" i="2" s="1"/>
  <c r="F529" i="2"/>
  <c r="H529" i="2" s="1"/>
  <c r="F530" i="2"/>
  <c r="H530" i="2" s="1"/>
  <c r="F531" i="2"/>
  <c r="H531" i="2" s="1"/>
  <c r="F532" i="2"/>
  <c r="H532" i="2" s="1"/>
  <c r="F533" i="2"/>
  <c r="H533" i="2" s="1"/>
  <c r="F534" i="2"/>
  <c r="H534" i="2" s="1"/>
  <c r="F535" i="2"/>
  <c r="H535" i="2" s="1"/>
  <c r="F536" i="2"/>
  <c r="H536" i="2" s="1"/>
  <c r="F537" i="2"/>
  <c r="H537" i="2" s="1"/>
  <c r="F538" i="2"/>
  <c r="H538" i="2" s="1"/>
  <c r="F539" i="2"/>
  <c r="H539" i="2" s="1"/>
  <c r="F540" i="2"/>
  <c r="H540" i="2" s="1"/>
  <c r="F541" i="2"/>
  <c r="H541" i="2" s="1"/>
  <c r="F542" i="2"/>
  <c r="H542" i="2" s="1"/>
  <c r="F543" i="2"/>
  <c r="H543" i="2" s="1"/>
  <c r="F544" i="2"/>
  <c r="H544" i="2" s="1"/>
  <c r="F545" i="2"/>
  <c r="H545" i="2" s="1"/>
  <c r="F546" i="2"/>
  <c r="H546" i="2" s="1"/>
  <c r="F547" i="2"/>
  <c r="H547" i="2" s="1"/>
  <c r="F548" i="2"/>
  <c r="H548" i="2" s="1"/>
  <c r="F549" i="2"/>
  <c r="H549" i="2" s="1"/>
  <c r="F550" i="2"/>
  <c r="H550" i="2" s="1"/>
  <c r="F551" i="2"/>
  <c r="H551" i="2" s="1"/>
  <c r="F552" i="2"/>
  <c r="H552" i="2" s="1"/>
  <c r="F553" i="2"/>
  <c r="H553" i="2" s="1"/>
  <c r="F554" i="2"/>
  <c r="H554" i="2" s="1"/>
  <c r="F555" i="2"/>
  <c r="H555" i="2" s="1"/>
  <c r="F556" i="2"/>
  <c r="H556" i="2" s="1"/>
  <c r="F557" i="2"/>
  <c r="H557" i="2" s="1"/>
  <c r="F558" i="2"/>
  <c r="H558" i="2" s="1"/>
  <c r="F559" i="2"/>
  <c r="H559" i="2" s="1"/>
  <c r="F560" i="2"/>
  <c r="H560" i="2" s="1"/>
  <c r="F561" i="2"/>
  <c r="H561" i="2" s="1"/>
  <c r="F562" i="2"/>
  <c r="H562" i="2" s="1"/>
  <c r="F563" i="2"/>
  <c r="H563" i="2" s="1"/>
  <c r="F564" i="2"/>
  <c r="H564" i="2" s="1"/>
  <c r="F565" i="2"/>
  <c r="H565" i="2" s="1"/>
  <c r="F566" i="2"/>
  <c r="H566" i="2" s="1"/>
  <c r="F567" i="2"/>
  <c r="H567" i="2" s="1"/>
  <c r="F568" i="2"/>
  <c r="H568" i="2" s="1"/>
  <c r="F569" i="2"/>
  <c r="H569" i="2" s="1"/>
  <c r="F570" i="2"/>
  <c r="H570" i="2" s="1"/>
  <c r="F571" i="2"/>
  <c r="H571" i="2" s="1"/>
  <c r="F572" i="2"/>
  <c r="H572" i="2" s="1"/>
  <c r="F573" i="2"/>
  <c r="H573" i="2" s="1"/>
  <c r="F574" i="2"/>
  <c r="H574" i="2" s="1"/>
  <c r="F575" i="2"/>
  <c r="H575" i="2" s="1"/>
  <c r="F576" i="2"/>
  <c r="H576" i="2" s="1"/>
  <c r="F577" i="2"/>
  <c r="H577" i="2" s="1"/>
  <c r="F578" i="2"/>
  <c r="H578" i="2" s="1"/>
  <c r="F579" i="2"/>
  <c r="H579" i="2" s="1"/>
  <c r="F580" i="2"/>
  <c r="H580" i="2" s="1"/>
  <c r="F581" i="2"/>
  <c r="H581" i="2" s="1"/>
  <c r="F582" i="2"/>
  <c r="H582" i="2" s="1"/>
  <c r="F583" i="2"/>
  <c r="H583" i="2" s="1"/>
  <c r="F584" i="2"/>
  <c r="H584" i="2" s="1"/>
  <c r="F585" i="2"/>
  <c r="H585" i="2" s="1"/>
  <c r="F586" i="2"/>
  <c r="H586" i="2" s="1"/>
  <c r="F587" i="2"/>
  <c r="H587" i="2" s="1"/>
  <c r="F588" i="2"/>
  <c r="H588" i="2" s="1"/>
  <c r="F589" i="2"/>
  <c r="H589" i="2" s="1"/>
  <c r="F590" i="2"/>
  <c r="H590" i="2" s="1"/>
  <c r="F591" i="2"/>
  <c r="H591" i="2" s="1"/>
  <c r="F592" i="2"/>
  <c r="H592" i="2" s="1"/>
  <c r="F593" i="2"/>
  <c r="H593" i="2" s="1"/>
  <c r="F594" i="2"/>
  <c r="H594" i="2" s="1"/>
  <c r="F595" i="2"/>
  <c r="H595" i="2" s="1"/>
  <c r="F596" i="2"/>
  <c r="H596" i="2" s="1"/>
  <c r="F597" i="2"/>
  <c r="H597" i="2" s="1"/>
  <c r="F598" i="2"/>
  <c r="H598" i="2" s="1"/>
  <c r="F599" i="2"/>
  <c r="H599" i="2" s="1"/>
  <c r="F600" i="2"/>
  <c r="H600" i="2" s="1"/>
  <c r="F601" i="2"/>
  <c r="H601" i="2" s="1"/>
  <c r="F602" i="2"/>
  <c r="H602" i="2" s="1"/>
  <c r="F603" i="2"/>
  <c r="H603" i="2" s="1"/>
  <c r="F604" i="2"/>
  <c r="H604" i="2" s="1"/>
  <c r="F605" i="2"/>
  <c r="H605" i="2" s="1"/>
  <c r="F606" i="2"/>
  <c r="H606" i="2" s="1"/>
  <c r="F607" i="2"/>
  <c r="H607" i="2" s="1"/>
  <c r="F608" i="2"/>
  <c r="H608" i="2" s="1"/>
  <c r="F609" i="2"/>
  <c r="H609" i="2" s="1"/>
  <c r="F610" i="2"/>
  <c r="H610" i="2" s="1"/>
  <c r="F611" i="2"/>
  <c r="H611" i="2" s="1"/>
  <c r="F612" i="2"/>
  <c r="H612" i="2" s="1"/>
  <c r="F613" i="2"/>
  <c r="H613" i="2" s="1"/>
  <c r="F614" i="2"/>
  <c r="H614" i="2" s="1"/>
  <c r="F615" i="2"/>
  <c r="H615" i="2" s="1"/>
  <c r="F616" i="2"/>
  <c r="H616" i="2" s="1"/>
  <c r="F617" i="2"/>
  <c r="H617" i="2" s="1"/>
  <c r="F618" i="2"/>
  <c r="H618" i="2" s="1"/>
  <c r="F619" i="2"/>
  <c r="H619" i="2" s="1"/>
  <c r="F620" i="2"/>
  <c r="H620" i="2" s="1"/>
  <c r="F621" i="2"/>
  <c r="H621" i="2" s="1"/>
  <c r="F622" i="2"/>
  <c r="H622" i="2" s="1"/>
  <c r="F623" i="2"/>
  <c r="H623" i="2" s="1"/>
  <c r="F624" i="2"/>
  <c r="H624" i="2" s="1"/>
  <c r="F625" i="2"/>
  <c r="H625" i="2" s="1"/>
  <c r="F626" i="2"/>
  <c r="H626" i="2" s="1"/>
  <c r="F627" i="2"/>
  <c r="H627" i="2" s="1"/>
  <c r="F628" i="2"/>
  <c r="H628" i="2" s="1"/>
  <c r="F629" i="2"/>
  <c r="H629" i="2" s="1"/>
  <c r="F630" i="2"/>
  <c r="H630" i="2" s="1"/>
  <c r="F631" i="2"/>
  <c r="H631" i="2" s="1"/>
  <c r="F632" i="2"/>
  <c r="H632" i="2" s="1"/>
  <c r="F633" i="2"/>
  <c r="H633" i="2" s="1"/>
  <c r="F634" i="2"/>
  <c r="H634" i="2" s="1"/>
  <c r="F635" i="2"/>
  <c r="H635" i="2" s="1"/>
  <c r="F636" i="2"/>
  <c r="H636" i="2" s="1"/>
  <c r="F637" i="2"/>
  <c r="H637" i="2" s="1"/>
  <c r="F638" i="2"/>
  <c r="H638" i="2" s="1"/>
  <c r="F639" i="2"/>
  <c r="H639" i="2" s="1"/>
  <c r="F640" i="2"/>
  <c r="H640" i="2" s="1"/>
  <c r="F641" i="2"/>
  <c r="H641" i="2" s="1"/>
  <c r="F642" i="2"/>
  <c r="H642" i="2" s="1"/>
  <c r="F643" i="2"/>
  <c r="H643" i="2" s="1"/>
  <c r="F644" i="2"/>
  <c r="H644" i="2" s="1"/>
  <c r="F645" i="2"/>
  <c r="H645" i="2" s="1"/>
  <c r="F646" i="2"/>
  <c r="H646" i="2" s="1"/>
  <c r="F647" i="2"/>
  <c r="H647" i="2" s="1"/>
  <c r="F648" i="2"/>
  <c r="H648" i="2" s="1"/>
  <c r="F649" i="2"/>
  <c r="H649" i="2" s="1"/>
  <c r="F650" i="2"/>
  <c r="H650" i="2" s="1"/>
  <c r="F651" i="2"/>
  <c r="H651" i="2" s="1"/>
  <c r="F652" i="2"/>
  <c r="H652" i="2" s="1"/>
  <c r="F653" i="2"/>
  <c r="H653" i="2" s="1"/>
  <c r="F654" i="2"/>
  <c r="H654" i="2" s="1"/>
  <c r="F655" i="2"/>
  <c r="H655" i="2" s="1"/>
  <c r="F656" i="2"/>
  <c r="H656" i="2" s="1"/>
  <c r="F657" i="2"/>
  <c r="H657" i="2" s="1"/>
  <c r="F658" i="2"/>
  <c r="H658" i="2" s="1"/>
  <c r="F659" i="2"/>
  <c r="H659" i="2" s="1"/>
  <c r="F660" i="2"/>
  <c r="H660" i="2" s="1"/>
  <c r="F661" i="2"/>
  <c r="H661" i="2" s="1"/>
  <c r="F662" i="2"/>
  <c r="H662" i="2" s="1"/>
  <c r="F663" i="2"/>
  <c r="H663" i="2" s="1"/>
  <c r="F664" i="2"/>
  <c r="H664" i="2" s="1"/>
  <c r="F665" i="2"/>
  <c r="H665" i="2" s="1"/>
  <c r="F666" i="2"/>
  <c r="H666" i="2" s="1"/>
  <c r="F667" i="2"/>
  <c r="H667" i="2" s="1"/>
  <c r="F668" i="2"/>
  <c r="H668" i="2" s="1"/>
  <c r="F669" i="2"/>
  <c r="H669" i="2" s="1"/>
  <c r="F670" i="2"/>
  <c r="H670" i="2" s="1"/>
  <c r="F671" i="2"/>
  <c r="H671" i="2" s="1"/>
  <c r="F672" i="2"/>
  <c r="H672" i="2" s="1"/>
  <c r="F673" i="2"/>
  <c r="H673" i="2" s="1"/>
  <c r="F674" i="2"/>
  <c r="H674" i="2" s="1"/>
  <c r="F675" i="2"/>
  <c r="H675" i="2" s="1"/>
  <c r="F676" i="2"/>
  <c r="H676" i="2" s="1"/>
  <c r="F677" i="2"/>
  <c r="H677" i="2" s="1"/>
  <c r="F678" i="2"/>
  <c r="H678" i="2" s="1"/>
  <c r="F679" i="2"/>
  <c r="H679" i="2" s="1"/>
  <c r="F680" i="2"/>
  <c r="H680" i="2" s="1"/>
  <c r="F681" i="2"/>
  <c r="H681" i="2" s="1"/>
  <c r="F682" i="2"/>
  <c r="H682" i="2" s="1"/>
  <c r="F683" i="2"/>
  <c r="H683" i="2" s="1"/>
  <c r="F684" i="2"/>
  <c r="H684" i="2" s="1"/>
  <c r="F685" i="2"/>
  <c r="H685" i="2" s="1"/>
  <c r="F686" i="2"/>
  <c r="H686" i="2" s="1"/>
  <c r="F687" i="2"/>
  <c r="H687" i="2" s="1"/>
  <c r="F688" i="2"/>
  <c r="H688" i="2" s="1"/>
  <c r="F689" i="2"/>
  <c r="H689" i="2" s="1"/>
  <c r="F690" i="2"/>
  <c r="H690" i="2" s="1"/>
  <c r="F691" i="2"/>
  <c r="H691" i="2" s="1"/>
  <c r="F692" i="2"/>
  <c r="H692" i="2" s="1"/>
  <c r="F693" i="2"/>
  <c r="H693" i="2" s="1"/>
  <c r="F694" i="2"/>
  <c r="H694" i="2" s="1"/>
  <c r="F695" i="2"/>
  <c r="H695" i="2" s="1"/>
  <c r="F696" i="2"/>
  <c r="H696" i="2" s="1"/>
  <c r="F697" i="2"/>
  <c r="H697" i="2" s="1"/>
  <c r="F698" i="2"/>
  <c r="H698" i="2" s="1"/>
  <c r="F699" i="2"/>
  <c r="H699" i="2" s="1"/>
  <c r="F700" i="2"/>
  <c r="H700" i="2" s="1"/>
  <c r="F701" i="2"/>
  <c r="H701" i="2" s="1"/>
  <c r="F702" i="2"/>
  <c r="H702" i="2" s="1"/>
  <c r="F703" i="2"/>
  <c r="H703" i="2" s="1"/>
  <c r="F704" i="2"/>
  <c r="H704" i="2" s="1"/>
  <c r="F705" i="2"/>
  <c r="H705" i="2" s="1"/>
  <c r="F706" i="2"/>
  <c r="H706" i="2" s="1"/>
  <c r="F707" i="2"/>
  <c r="H707" i="2" s="1"/>
  <c r="F708" i="2"/>
  <c r="H708" i="2" s="1"/>
  <c r="F709" i="2"/>
  <c r="H709" i="2" s="1"/>
  <c r="F710" i="2"/>
  <c r="H710" i="2" s="1"/>
  <c r="F711" i="2"/>
  <c r="H711" i="2" s="1"/>
  <c r="F712" i="2"/>
  <c r="H712" i="2" s="1"/>
  <c r="F713" i="2"/>
  <c r="H713" i="2" s="1"/>
  <c r="F714" i="2"/>
  <c r="H714" i="2" s="1"/>
  <c r="F715" i="2"/>
  <c r="H715" i="2" s="1"/>
  <c r="F716" i="2"/>
  <c r="H716" i="2" s="1"/>
  <c r="F717" i="2"/>
  <c r="H717" i="2" s="1"/>
  <c r="F718" i="2"/>
  <c r="H718" i="2" s="1"/>
  <c r="F719" i="2"/>
  <c r="H719" i="2" s="1"/>
  <c r="F720" i="2"/>
  <c r="H720" i="2" s="1"/>
  <c r="F721" i="2"/>
  <c r="H721" i="2" s="1"/>
  <c r="F722" i="2"/>
  <c r="H722" i="2" s="1"/>
  <c r="F723" i="2"/>
  <c r="H723" i="2" s="1"/>
  <c r="F724" i="2"/>
  <c r="H724" i="2" s="1"/>
  <c r="F725" i="2"/>
  <c r="H725" i="2" s="1"/>
  <c r="F726" i="2"/>
  <c r="H726" i="2" s="1"/>
  <c r="F727" i="2"/>
  <c r="H727" i="2" s="1"/>
  <c r="F728" i="2"/>
  <c r="H728" i="2" s="1"/>
  <c r="F729" i="2"/>
  <c r="H729" i="2" s="1"/>
  <c r="F730" i="2"/>
  <c r="H730" i="2" s="1"/>
  <c r="F731" i="2"/>
  <c r="H731" i="2" s="1"/>
  <c r="F732" i="2"/>
  <c r="H732" i="2" s="1"/>
  <c r="F733" i="2"/>
  <c r="H733" i="2" s="1"/>
  <c r="F734" i="2"/>
  <c r="H734" i="2" s="1"/>
  <c r="F735" i="2"/>
  <c r="H735" i="2" s="1"/>
  <c r="F736" i="2"/>
  <c r="H736" i="2" s="1"/>
  <c r="F737" i="2"/>
  <c r="H737" i="2" s="1"/>
  <c r="F738" i="2"/>
  <c r="H738" i="2" s="1"/>
  <c r="F739" i="2"/>
  <c r="H739" i="2" s="1"/>
  <c r="F740" i="2"/>
  <c r="H740" i="2" s="1"/>
  <c r="F741" i="2"/>
  <c r="H741" i="2" s="1"/>
  <c r="F742" i="2"/>
  <c r="H742" i="2" s="1"/>
  <c r="F743" i="2"/>
  <c r="H743" i="2" s="1"/>
  <c r="F744" i="2"/>
  <c r="H744" i="2" s="1"/>
  <c r="F745" i="2"/>
  <c r="H745" i="2" s="1"/>
  <c r="F746" i="2"/>
  <c r="H746" i="2" s="1"/>
  <c r="F747" i="2"/>
  <c r="H747" i="2" s="1"/>
  <c r="F748" i="2"/>
  <c r="H748" i="2" s="1"/>
  <c r="F749" i="2"/>
  <c r="H749" i="2" s="1"/>
  <c r="F750" i="2"/>
  <c r="H750" i="2" s="1"/>
  <c r="F751" i="2"/>
  <c r="H751" i="2" s="1"/>
  <c r="F752" i="2"/>
  <c r="H752" i="2" s="1"/>
  <c r="F753" i="2"/>
  <c r="H753" i="2" s="1"/>
  <c r="F754" i="2"/>
  <c r="H754" i="2" s="1"/>
  <c r="F755" i="2"/>
  <c r="H755" i="2" s="1"/>
  <c r="F756" i="2"/>
  <c r="H756" i="2" s="1"/>
  <c r="F757" i="2"/>
  <c r="H757" i="2" s="1"/>
  <c r="F758" i="2"/>
  <c r="H758" i="2" s="1"/>
  <c r="F759" i="2"/>
  <c r="H759" i="2" s="1"/>
  <c r="F760" i="2"/>
  <c r="H760" i="2" s="1"/>
  <c r="F761" i="2"/>
  <c r="H761" i="2" s="1"/>
  <c r="F762" i="2"/>
  <c r="H762" i="2" s="1"/>
  <c r="F763" i="2"/>
  <c r="H763" i="2" s="1"/>
  <c r="F764" i="2"/>
  <c r="H764" i="2" s="1"/>
  <c r="F765" i="2"/>
  <c r="H765" i="2" s="1"/>
  <c r="F766" i="2"/>
  <c r="H766" i="2" s="1"/>
  <c r="F767" i="2"/>
  <c r="H767" i="2" s="1"/>
  <c r="F768" i="2"/>
  <c r="H768" i="2" s="1"/>
  <c r="F769" i="2"/>
  <c r="H769" i="2" s="1"/>
  <c r="F770" i="2"/>
  <c r="H770" i="2" s="1"/>
  <c r="F771" i="2"/>
  <c r="H771" i="2" s="1"/>
  <c r="F772" i="2"/>
  <c r="H772" i="2" s="1"/>
  <c r="F773" i="2"/>
  <c r="H773" i="2" s="1"/>
  <c r="F774" i="2"/>
  <c r="H774" i="2" s="1"/>
  <c r="F775" i="2"/>
  <c r="H775" i="2" s="1"/>
  <c r="F776" i="2"/>
  <c r="H776" i="2" s="1"/>
  <c r="F777" i="2"/>
  <c r="H777" i="2" s="1"/>
  <c r="F778" i="2"/>
  <c r="H778" i="2" s="1"/>
  <c r="F779" i="2"/>
  <c r="H779" i="2" s="1"/>
  <c r="F780" i="2"/>
  <c r="H780" i="2" s="1"/>
  <c r="F781" i="2"/>
  <c r="H781" i="2" s="1"/>
  <c r="F782" i="2"/>
  <c r="H782" i="2" s="1"/>
  <c r="F783" i="2"/>
  <c r="H783" i="2" s="1"/>
  <c r="F784" i="2"/>
  <c r="H784" i="2" s="1"/>
  <c r="F785" i="2"/>
  <c r="H785" i="2" s="1"/>
  <c r="F786" i="2"/>
  <c r="H786" i="2" s="1"/>
  <c r="F787" i="2"/>
  <c r="H787" i="2" s="1"/>
  <c r="F788" i="2"/>
  <c r="H788" i="2" s="1"/>
  <c r="F789" i="2"/>
  <c r="H789" i="2" s="1"/>
  <c r="F790" i="2"/>
  <c r="H790" i="2" s="1"/>
  <c r="F791" i="2"/>
  <c r="H791" i="2" s="1"/>
  <c r="F792" i="2"/>
  <c r="H792" i="2" s="1"/>
  <c r="F793" i="2"/>
  <c r="H793" i="2" s="1"/>
  <c r="F794" i="2"/>
  <c r="H794" i="2" s="1"/>
  <c r="F795" i="2"/>
  <c r="H795" i="2" s="1"/>
  <c r="F796" i="2"/>
  <c r="H796" i="2" s="1"/>
  <c r="F797" i="2"/>
  <c r="H797" i="2" s="1"/>
  <c r="F798" i="2"/>
  <c r="H798" i="2" s="1"/>
  <c r="F799" i="2"/>
  <c r="H799" i="2" s="1"/>
  <c r="F800" i="2"/>
  <c r="H800" i="2" s="1"/>
  <c r="F801" i="2"/>
  <c r="H801" i="2" s="1"/>
  <c r="F802" i="2"/>
  <c r="H802" i="2" s="1"/>
  <c r="F803" i="2"/>
  <c r="H803" i="2" s="1"/>
  <c r="F804" i="2"/>
  <c r="H804" i="2" s="1"/>
  <c r="F805" i="2"/>
  <c r="H805" i="2" s="1"/>
  <c r="F806" i="2"/>
  <c r="H806" i="2" s="1"/>
  <c r="F807" i="2"/>
  <c r="H807" i="2" s="1"/>
  <c r="F808" i="2"/>
  <c r="H808" i="2" s="1"/>
  <c r="F809" i="2"/>
  <c r="H809" i="2" s="1"/>
  <c r="F810" i="2"/>
  <c r="H810" i="2" s="1"/>
  <c r="F811" i="2"/>
  <c r="H811" i="2" s="1"/>
  <c r="F812" i="2"/>
  <c r="H812" i="2" s="1"/>
  <c r="F813" i="2"/>
  <c r="H813" i="2" s="1"/>
  <c r="F814" i="2"/>
  <c r="H814" i="2" s="1"/>
  <c r="F815" i="2"/>
  <c r="H815" i="2" s="1"/>
  <c r="F816" i="2"/>
  <c r="H816" i="2" s="1"/>
  <c r="F817" i="2"/>
  <c r="H817" i="2" s="1"/>
  <c r="F818" i="2"/>
  <c r="H818" i="2" s="1"/>
  <c r="F819" i="2"/>
  <c r="H819" i="2" s="1"/>
  <c r="F820" i="2"/>
  <c r="H820" i="2" s="1"/>
  <c r="F821" i="2"/>
  <c r="H821" i="2" s="1"/>
  <c r="F822" i="2"/>
  <c r="H822" i="2" s="1"/>
  <c r="F823" i="2"/>
  <c r="H823" i="2" s="1"/>
  <c r="F824" i="2"/>
  <c r="H824" i="2" s="1"/>
  <c r="F825" i="2"/>
  <c r="H825" i="2" s="1"/>
  <c r="F826" i="2"/>
  <c r="H826" i="2" s="1"/>
  <c r="F827" i="2"/>
  <c r="H827" i="2" s="1"/>
  <c r="F828" i="2"/>
  <c r="H828" i="2" s="1"/>
  <c r="F829" i="2"/>
  <c r="H829" i="2" s="1"/>
  <c r="F830" i="2"/>
  <c r="H830" i="2" s="1"/>
  <c r="F831" i="2"/>
  <c r="H831" i="2" s="1"/>
  <c r="F832" i="2"/>
  <c r="H832" i="2" s="1"/>
  <c r="F833" i="2"/>
  <c r="H833" i="2" s="1"/>
  <c r="F834" i="2"/>
  <c r="H834" i="2" s="1"/>
  <c r="F835" i="2"/>
  <c r="H835" i="2" s="1"/>
  <c r="F836" i="2"/>
  <c r="H836" i="2" s="1"/>
  <c r="F837" i="2"/>
  <c r="H837" i="2" s="1"/>
  <c r="F838" i="2"/>
  <c r="H838" i="2" s="1"/>
  <c r="F839" i="2"/>
  <c r="H839" i="2" s="1"/>
  <c r="F840" i="2"/>
  <c r="H840" i="2" s="1"/>
  <c r="F841" i="2"/>
  <c r="H841" i="2" s="1"/>
  <c r="F842" i="2"/>
  <c r="H842" i="2" s="1"/>
  <c r="F843" i="2"/>
  <c r="H843" i="2" s="1"/>
  <c r="F844" i="2"/>
  <c r="H844" i="2" s="1"/>
  <c r="F845" i="2"/>
  <c r="H845" i="2" s="1"/>
  <c r="F846" i="2"/>
  <c r="H846" i="2" s="1"/>
  <c r="F847" i="2"/>
  <c r="H847" i="2" s="1"/>
  <c r="F848" i="2"/>
  <c r="H848" i="2" s="1"/>
  <c r="F849" i="2"/>
  <c r="H849" i="2" s="1"/>
  <c r="F850" i="2"/>
  <c r="H850" i="2" s="1"/>
  <c r="F851" i="2"/>
  <c r="H851" i="2" s="1"/>
  <c r="F852" i="2"/>
  <c r="H852" i="2" s="1"/>
  <c r="F853" i="2"/>
  <c r="H853" i="2" s="1"/>
  <c r="F854" i="2"/>
  <c r="H854" i="2" s="1"/>
  <c r="F855" i="2"/>
  <c r="H855" i="2" s="1"/>
  <c r="F856" i="2"/>
  <c r="H856" i="2" s="1"/>
  <c r="F857" i="2"/>
  <c r="H857" i="2" s="1"/>
  <c r="F858" i="2"/>
  <c r="H858" i="2" s="1"/>
  <c r="F859" i="2"/>
  <c r="H859" i="2" s="1"/>
  <c r="F860" i="2"/>
  <c r="H860" i="2" s="1"/>
  <c r="F861" i="2"/>
  <c r="H861" i="2" s="1"/>
  <c r="F862" i="2"/>
  <c r="H862" i="2" s="1"/>
  <c r="F863" i="2"/>
  <c r="H863" i="2" s="1"/>
  <c r="F864" i="2"/>
  <c r="H864" i="2" s="1"/>
  <c r="F865" i="2"/>
  <c r="H865" i="2" s="1"/>
  <c r="F866" i="2"/>
  <c r="H866" i="2" s="1"/>
  <c r="F867" i="2"/>
  <c r="H867" i="2" s="1"/>
  <c r="F868" i="2"/>
  <c r="H868" i="2" s="1"/>
  <c r="F869" i="2"/>
  <c r="H869" i="2" s="1"/>
  <c r="F870" i="2"/>
  <c r="H870" i="2" s="1"/>
  <c r="F871" i="2"/>
  <c r="H871" i="2" s="1"/>
  <c r="F872" i="2"/>
  <c r="H872" i="2" s="1"/>
  <c r="F873" i="2"/>
  <c r="H873" i="2" s="1"/>
  <c r="F874" i="2"/>
  <c r="H874" i="2" s="1"/>
  <c r="F875" i="2"/>
  <c r="H875" i="2" s="1"/>
  <c r="F876" i="2"/>
  <c r="H876" i="2" s="1"/>
  <c r="F877" i="2"/>
  <c r="H877" i="2" s="1"/>
  <c r="F878" i="2"/>
  <c r="H878" i="2" s="1"/>
  <c r="F879" i="2"/>
  <c r="H879" i="2" s="1"/>
  <c r="F880" i="2"/>
  <c r="H880" i="2" s="1"/>
  <c r="F881" i="2"/>
  <c r="H881" i="2" s="1"/>
  <c r="F882" i="2"/>
  <c r="H882" i="2" s="1"/>
  <c r="F883" i="2"/>
  <c r="H883" i="2" s="1"/>
  <c r="F884" i="2"/>
  <c r="H884" i="2" s="1"/>
  <c r="F885" i="2"/>
  <c r="H885" i="2" s="1"/>
  <c r="F886" i="2"/>
  <c r="H886" i="2" s="1"/>
  <c r="F887" i="2"/>
  <c r="H887" i="2" s="1"/>
  <c r="F888" i="2"/>
  <c r="H888" i="2" s="1"/>
  <c r="F889" i="2"/>
  <c r="H889" i="2" s="1"/>
  <c r="F890" i="2"/>
  <c r="H890" i="2" s="1"/>
  <c r="F891" i="2"/>
  <c r="H891" i="2" s="1"/>
  <c r="F892" i="2"/>
  <c r="H892" i="2" s="1"/>
  <c r="F893" i="2"/>
  <c r="H893" i="2" s="1"/>
  <c r="F894" i="2"/>
  <c r="H894" i="2" s="1"/>
  <c r="F895" i="2"/>
  <c r="H895" i="2" s="1"/>
  <c r="F896" i="2"/>
  <c r="H896" i="2" s="1"/>
  <c r="F897" i="2"/>
  <c r="H897" i="2" s="1"/>
  <c r="F898" i="2"/>
  <c r="H898" i="2" s="1"/>
  <c r="F899" i="2"/>
  <c r="H899" i="2" s="1"/>
  <c r="F900" i="2"/>
  <c r="H900" i="2" s="1"/>
  <c r="F901" i="2"/>
  <c r="H901" i="2" s="1"/>
  <c r="F902" i="2"/>
  <c r="H902" i="2" s="1"/>
  <c r="F903" i="2"/>
  <c r="H903" i="2" s="1"/>
  <c r="F904" i="2"/>
  <c r="H904" i="2" s="1"/>
  <c r="F905" i="2"/>
  <c r="H905" i="2" s="1"/>
  <c r="F906" i="2"/>
  <c r="H906" i="2" s="1"/>
  <c r="F907" i="2"/>
  <c r="H907" i="2" s="1"/>
  <c r="F908" i="2"/>
  <c r="H908" i="2" s="1"/>
  <c r="F909" i="2"/>
  <c r="H909" i="2" s="1"/>
  <c r="F910" i="2"/>
  <c r="H910" i="2" s="1"/>
  <c r="F911" i="2"/>
  <c r="H911" i="2" s="1"/>
  <c r="F912" i="2"/>
  <c r="H912" i="2" s="1"/>
  <c r="F913" i="2"/>
  <c r="H913" i="2" s="1"/>
  <c r="F914" i="2"/>
  <c r="H914" i="2" s="1"/>
  <c r="F915" i="2"/>
  <c r="H915" i="2" s="1"/>
  <c r="F916" i="2"/>
  <c r="H916" i="2" s="1"/>
  <c r="F917" i="2"/>
  <c r="H917" i="2" s="1"/>
  <c r="F918" i="2"/>
  <c r="H918" i="2" s="1"/>
  <c r="F919" i="2"/>
  <c r="H919" i="2" s="1"/>
  <c r="F920" i="2"/>
  <c r="H920" i="2" s="1"/>
  <c r="F921" i="2"/>
  <c r="H921" i="2" s="1"/>
  <c r="F922" i="2"/>
  <c r="H922" i="2" s="1"/>
  <c r="F923" i="2"/>
  <c r="H923" i="2" s="1"/>
  <c r="F924" i="2"/>
  <c r="H924" i="2" s="1"/>
  <c r="F925" i="2"/>
  <c r="H925" i="2" s="1"/>
  <c r="F926" i="2"/>
  <c r="H926" i="2" s="1"/>
  <c r="F927" i="2"/>
  <c r="H927" i="2" s="1"/>
  <c r="F928" i="2"/>
  <c r="H928" i="2" s="1"/>
  <c r="F929" i="2"/>
  <c r="H929" i="2" s="1"/>
  <c r="F930" i="2"/>
  <c r="H930" i="2" s="1"/>
  <c r="F931" i="2"/>
  <c r="H931" i="2" s="1"/>
  <c r="F932" i="2"/>
  <c r="H932" i="2" s="1"/>
  <c r="F933" i="2"/>
  <c r="H933" i="2" s="1"/>
  <c r="F934" i="2"/>
  <c r="H934" i="2" s="1"/>
  <c r="F935" i="2"/>
  <c r="H935" i="2" s="1"/>
  <c r="F936" i="2"/>
  <c r="H936" i="2" s="1"/>
  <c r="F937" i="2"/>
  <c r="H937" i="2" s="1"/>
  <c r="F938" i="2"/>
  <c r="H938" i="2" s="1"/>
  <c r="F939" i="2"/>
  <c r="H939" i="2" s="1"/>
  <c r="F940" i="2"/>
  <c r="H940" i="2" s="1"/>
  <c r="F941" i="2"/>
  <c r="H941" i="2" s="1"/>
  <c r="F942" i="2"/>
  <c r="H942" i="2" s="1"/>
  <c r="F943" i="2"/>
  <c r="H943" i="2" s="1"/>
  <c r="F944" i="2"/>
  <c r="H944" i="2" s="1"/>
  <c r="F945" i="2"/>
  <c r="H945" i="2" s="1"/>
  <c r="F946" i="2"/>
  <c r="H946" i="2" s="1"/>
  <c r="F947" i="2"/>
  <c r="H947" i="2" s="1"/>
  <c r="F948" i="2"/>
  <c r="H948" i="2" s="1"/>
  <c r="F949" i="2"/>
  <c r="H949" i="2" s="1"/>
  <c r="F950" i="2"/>
  <c r="H950" i="2" s="1"/>
  <c r="F951" i="2"/>
  <c r="H951" i="2" s="1"/>
  <c r="F952" i="2"/>
  <c r="H952" i="2" s="1"/>
  <c r="F953" i="2"/>
  <c r="H953" i="2" s="1"/>
  <c r="F954" i="2"/>
  <c r="H954" i="2" s="1"/>
  <c r="F955" i="2"/>
  <c r="H955" i="2" s="1"/>
  <c r="F956" i="2"/>
  <c r="H956" i="2" s="1"/>
  <c r="F957" i="2"/>
  <c r="H957" i="2" s="1"/>
  <c r="F958" i="2"/>
  <c r="H958" i="2" s="1"/>
  <c r="F959" i="2"/>
  <c r="H959" i="2" s="1"/>
  <c r="F960" i="2"/>
  <c r="H960" i="2" s="1"/>
  <c r="F961" i="2"/>
  <c r="H961" i="2" s="1"/>
  <c r="F962" i="2"/>
  <c r="H962" i="2" s="1"/>
  <c r="F963" i="2"/>
  <c r="H963" i="2" s="1"/>
  <c r="F964" i="2"/>
  <c r="H964" i="2" s="1"/>
  <c r="F965" i="2"/>
  <c r="H965" i="2" s="1"/>
  <c r="F966" i="2"/>
  <c r="H966" i="2" s="1"/>
  <c r="F967" i="2"/>
  <c r="H967" i="2" s="1"/>
  <c r="F968" i="2"/>
  <c r="H968" i="2" s="1"/>
  <c r="F969" i="2"/>
  <c r="H969" i="2" s="1"/>
  <c r="F970" i="2"/>
  <c r="H970" i="2" s="1"/>
  <c r="F971" i="2"/>
  <c r="H971" i="2" s="1"/>
  <c r="F972" i="2"/>
  <c r="H972" i="2" s="1"/>
  <c r="F973" i="2"/>
  <c r="H973" i="2" s="1"/>
  <c r="F974" i="2"/>
  <c r="H974" i="2" s="1"/>
  <c r="F975" i="2"/>
  <c r="H975" i="2" s="1"/>
  <c r="F976" i="2"/>
  <c r="H976" i="2" s="1"/>
  <c r="F977" i="2"/>
  <c r="H977" i="2" s="1"/>
  <c r="F978" i="2"/>
  <c r="H978" i="2" s="1"/>
  <c r="F979" i="2"/>
  <c r="H979" i="2" s="1"/>
  <c r="F980" i="2"/>
  <c r="H980" i="2" s="1"/>
  <c r="F981" i="2"/>
  <c r="H981" i="2" s="1"/>
  <c r="F982" i="2"/>
  <c r="H982" i="2" s="1"/>
  <c r="F983" i="2"/>
  <c r="H983" i="2" s="1"/>
  <c r="F984" i="2"/>
  <c r="H984" i="2" s="1"/>
  <c r="F985" i="2"/>
  <c r="H985" i="2" s="1"/>
  <c r="F986" i="2"/>
  <c r="H986" i="2" s="1"/>
  <c r="F987" i="2"/>
  <c r="H987" i="2" s="1"/>
  <c r="F988" i="2"/>
  <c r="H988" i="2" s="1"/>
  <c r="F989" i="2"/>
  <c r="H989" i="2" s="1"/>
  <c r="F990" i="2"/>
  <c r="H990" i="2" s="1"/>
  <c r="F991" i="2"/>
  <c r="H991" i="2" s="1"/>
  <c r="F992" i="2"/>
  <c r="H992" i="2" s="1"/>
  <c r="F993" i="2"/>
  <c r="H993" i="2" s="1"/>
  <c r="F994" i="2"/>
  <c r="H994" i="2" s="1"/>
  <c r="F995" i="2"/>
  <c r="H995" i="2" s="1"/>
  <c r="F996" i="2"/>
  <c r="H996" i="2" s="1"/>
  <c r="F997" i="2"/>
  <c r="H997" i="2" s="1"/>
  <c r="F998" i="2"/>
  <c r="H998" i="2" s="1"/>
  <c r="F999" i="2"/>
  <c r="H999" i="2" s="1"/>
  <c r="F1000" i="2"/>
  <c r="H1000" i="2" s="1"/>
  <c r="F1001" i="2"/>
  <c r="H1001" i="2" s="1"/>
  <c r="F1002" i="2"/>
  <c r="H1002" i="2" s="1"/>
  <c r="F1003" i="2"/>
  <c r="H1003" i="2" s="1"/>
  <c r="F1004" i="2"/>
  <c r="H1004" i="2" s="1"/>
  <c r="F1005" i="2"/>
  <c r="H1005" i="2" s="1"/>
  <c r="F1006" i="2"/>
  <c r="H1006" i="2" s="1"/>
  <c r="F1007" i="2"/>
  <c r="H1007" i="2" s="1"/>
  <c r="F1008" i="2"/>
  <c r="H1008" i="2" s="1"/>
  <c r="F1009" i="2"/>
  <c r="H1009" i="2" s="1"/>
  <c r="F1010" i="2"/>
  <c r="H1010" i="2" s="1"/>
  <c r="F1011" i="2"/>
  <c r="H1011" i="2" s="1"/>
  <c r="F1012" i="2"/>
  <c r="H1012" i="2" s="1"/>
  <c r="F1013" i="2"/>
  <c r="H1013" i="2" s="1"/>
  <c r="F1014" i="2"/>
  <c r="H1014" i="2" s="1"/>
  <c r="F1015" i="2"/>
  <c r="H1015" i="2" s="1"/>
  <c r="F1016" i="2"/>
  <c r="H1016" i="2" s="1"/>
  <c r="F1017" i="2"/>
  <c r="H1017" i="2" s="1"/>
  <c r="F1018" i="2"/>
  <c r="H1018" i="2" s="1"/>
  <c r="F1019" i="2"/>
  <c r="H1019" i="2" s="1"/>
  <c r="F1020" i="2"/>
  <c r="H1020" i="2" s="1"/>
  <c r="F1021" i="2"/>
  <c r="H1021" i="2" s="1"/>
  <c r="F1022" i="2"/>
  <c r="H1022" i="2" s="1"/>
  <c r="F1023" i="2"/>
  <c r="H1023" i="2" s="1"/>
  <c r="F1024" i="2"/>
  <c r="H1024" i="2" s="1"/>
  <c r="F1025" i="2"/>
  <c r="H1025" i="2" s="1"/>
  <c r="F1026" i="2"/>
  <c r="H1026" i="2" s="1"/>
  <c r="F1027" i="2"/>
  <c r="H1027" i="2" s="1"/>
  <c r="F1028" i="2"/>
  <c r="H1028" i="2" s="1"/>
  <c r="F1029" i="2"/>
  <c r="H1029" i="2" s="1"/>
  <c r="F1030" i="2"/>
  <c r="H1030" i="2" s="1"/>
  <c r="F1031" i="2"/>
  <c r="H1031" i="2" s="1"/>
  <c r="F1032" i="2"/>
  <c r="H1032" i="2" s="1"/>
  <c r="F1033" i="2"/>
  <c r="H1033" i="2" s="1"/>
  <c r="F1034" i="2"/>
  <c r="H1034" i="2" s="1"/>
  <c r="F1035" i="2"/>
  <c r="H1035" i="2" s="1"/>
  <c r="F1036" i="2"/>
  <c r="H1036" i="2" s="1"/>
  <c r="F1037" i="2"/>
  <c r="H1037" i="2" s="1"/>
  <c r="F1038" i="2"/>
  <c r="H1038" i="2" s="1"/>
  <c r="F1039" i="2"/>
  <c r="H1039" i="2" s="1"/>
  <c r="F1040" i="2"/>
  <c r="H1040" i="2" s="1"/>
  <c r="F1041" i="2"/>
  <c r="H1041" i="2" s="1"/>
  <c r="F1042" i="2"/>
  <c r="H1042" i="2" s="1"/>
  <c r="F1043" i="2"/>
  <c r="H1043" i="2" s="1"/>
  <c r="F1044" i="2"/>
  <c r="H1044" i="2" s="1"/>
  <c r="F1045" i="2"/>
  <c r="H1045" i="2" s="1"/>
  <c r="F1046" i="2"/>
  <c r="H1046" i="2" s="1"/>
  <c r="F1047" i="2"/>
  <c r="H1047" i="2" s="1"/>
  <c r="F1048" i="2"/>
  <c r="H1048" i="2" s="1"/>
  <c r="F1049" i="2"/>
  <c r="H1049" i="2" s="1"/>
  <c r="F1050" i="2"/>
  <c r="H1050" i="2" s="1"/>
  <c r="F1051" i="2"/>
  <c r="H1051" i="2" s="1"/>
  <c r="F1052" i="2"/>
  <c r="H1052" i="2" s="1"/>
  <c r="F1053" i="2"/>
  <c r="H1053" i="2" s="1"/>
  <c r="F1054" i="2"/>
  <c r="H1054" i="2" s="1"/>
  <c r="F1055" i="2"/>
  <c r="H1055" i="2" s="1"/>
  <c r="F1056" i="2"/>
  <c r="H1056" i="2" s="1"/>
  <c r="F1057" i="2"/>
  <c r="H1057" i="2" s="1"/>
  <c r="F1058" i="2"/>
  <c r="H1058" i="2" s="1"/>
  <c r="F1059" i="2"/>
  <c r="H1059" i="2" s="1"/>
  <c r="F1060" i="2"/>
  <c r="H1060" i="2" s="1"/>
  <c r="F1061" i="2"/>
  <c r="H1061" i="2" s="1"/>
  <c r="F1062" i="2"/>
  <c r="H1062" i="2" s="1"/>
  <c r="F1063" i="2"/>
  <c r="H1063" i="2" s="1"/>
  <c r="F1064" i="2"/>
  <c r="H1064" i="2" s="1"/>
  <c r="F1065" i="2"/>
  <c r="H1065" i="2" s="1"/>
  <c r="F1066" i="2"/>
  <c r="H1066" i="2" s="1"/>
  <c r="F1067" i="2"/>
  <c r="H1067" i="2" s="1"/>
  <c r="F1068" i="2"/>
  <c r="H1068" i="2" s="1"/>
  <c r="F1069" i="2"/>
  <c r="H1069" i="2" s="1"/>
  <c r="F1070" i="2"/>
  <c r="H1070" i="2" s="1"/>
  <c r="F1071" i="2"/>
  <c r="H1071" i="2" s="1"/>
  <c r="F1072" i="2"/>
  <c r="H1072" i="2" s="1"/>
  <c r="F1073" i="2"/>
  <c r="H1073" i="2" s="1"/>
  <c r="F1074" i="2"/>
  <c r="H1074" i="2" s="1"/>
  <c r="F1075" i="2"/>
  <c r="H1075" i="2" s="1"/>
  <c r="F1076" i="2"/>
  <c r="H1076" i="2" s="1"/>
  <c r="F1077" i="2"/>
  <c r="H1077" i="2" s="1"/>
  <c r="F1078" i="2"/>
  <c r="H1078" i="2" s="1"/>
  <c r="F1079" i="2"/>
  <c r="H1079" i="2" s="1"/>
  <c r="F1080" i="2"/>
  <c r="H1080" i="2" s="1"/>
  <c r="F1081" i="2"/>
  <c r="H1081" i="2" s="1"/>
  <c r="F1082" i="2"/>
  <c r="H1082" i="2" s="1"/>
  <c r="F1083" i="2"/>
  <c r="H1083" i="2" s="1"/>
  <c r="F1084" i="2"/>
  <c r="H1084" i="2" s="1"/>
  <c r="F1085" i="2"/>
  <c r="H1085" i="2" s="1"/>
  <c r="F1086" i="2"/>
  <c r="H1086" i="2" s="1"/>
  <c r="F1087" i="2"/>
  <c r="H1087" i="2" s="1"/>
  <c r="F1088" i="2"/>
  <c r="H1088" i="2" s="1"/>
  <c r="F1089" i="2"/>
  <c r="H1089" i="2" s="1"/>
  <c r="F1090" i="2"/>
  <c r="H1090" i="2" s="1"/>
  <c r="F1091" i="2"/>
  <c r="H1091" i="2" s="1"/>
  <c r="F1092" i="2"/>
  <c r="H1092" i="2" s="1"/>
  <c r="F1093" i="2"/>
  <c r="H1093" i="2" s="1"/>
  <c r="F1094" i="2"/>
  <c r="H1094" i="2" s="1"/>
  <c r="F1095" i="2"/>
  <c r="H1095" i="2" s="1"/>
  <c r="F1096" i="2"/>
  <c r="H1096" i="2" s="1"/>
  <c r="F1097" i="2"/>
  <c r="H1097" i="2" s="1"/>
  <c r="F1098" i="2"/>
  <c r="H1098" i="2" s="1"/>
  <c r="F1099" i="2"/>
  <c r="H1099" i="2" s="1"/>
  <c r="F1100" i="2"/>
  <c r="H1100" i="2" s="1"/>
  <c r="F1101" i="2"/>
  <c r="H1101" i="2" s="1"/>
  <c r="F1102" i="2"/>
  <c r="H1102" i="2" s="1"/>
  <c r="F1103" i="2"/>
  <c r="H1103" i="2" s="1"/>
  <c r="F1104" i="2"/>
  <c r="H1104" i="2" s="1"/>
  <c r="F1105" i="2"/>
  <c r="H1105" i="2" s="1"/>
  <c r="F1106" i="2"/>
  <c r="H1106" i="2" s="1"/>
  <c r="F1107" i="2"/>
  <c r="H1107" i="2" s="1"/>
  <c r="F1108" i="2"/>
  <c r="H1108" i="2" s="1"/>
  <c r="F1109" i="2"/>
  <c r="H1109" i="2" s="1"/>
  <c r="F1110" i="2"/>
  <c r="H1110" i="2" s="1"/>
  <c r="F1111" i="2"/>
  <c r="H1111" i="2" s="1"/>
  <c r="F1112" i="2"/>
  <c r="H1112" i="2" s="1"/>
  <c r="F1113" i="2"/>
  <c r="H1113" i="2" s="1"/>
  <c r="F1114" i="2"/>
  <c r="H1114" i="2" s="1"/>
  <c r="F1115" i="2"/>
  <c r="H1115" i="2" s="1"/>
  <c r="F1116" i="2"/>
  <c r="H1116" i="2" s="1"/>
  <c r="F1117" i="2"/>
  <c r="H1117" i="2" s="1"/>
  <c r="F1118" i="2"/>
  <c r="H1118" i="2" s="1"/>
  <c r="F1119" i="2"/>
  <c r="H1119" i="2" s="1"/>
  <c r="F1120" i="2"/>
  <c r="H1120" i="2" s="1"/>
  <c r="F1121" i="2"/>
  <c r="H1121" i="2" s="1"/>
  <c r="F1122" i="2"/>
  <c r="H1122" i="2" s="1"/>
  <c r="F1123" i="2"/>
  <c r="H1123" i="2" s="1"/>
  <c r="F1124" i="2"/>
  <c r="H1124" i="2" s="1"/>
  <c r="F1125" i="2"/>
  <c r="H1125" i="2" s="1"/>
  <c r="F1126" i="2"/>
  <c r="H1126" i="2" s="1"/>
  <c r="F1127" i="2"/>
  <c r="H1127" i="2" s="1"/>
  <c r="F1128" i="2"/>
  <c r="H1128" i="2" s="1"/>
  <c r="F1129" i="2"/>
  <c r="H1129" i="2" s="1"/>
  <c r="F1130" i="2"/>
  <c r="H1130" i="2" s="1"/>
  <c r="F1131" i="2"/>
  <c r="H1131" i="2" s="1"/>
  <c r="F1132" i="2"/>
  <c r="H1132" i="2" s="1"/>
  <c r="F1133" i="2"/>
  <c r="H1133" i="2" s="1"/>
  <c r="F1134" i="2"/>
  <c r="H1134" i="2" s="1"/>
  <c r="F1135" i="2"/>
  <c r="H1135" i="2" s="1"/>
  <c r="F1136" i="2"/>
  <c r="H1136" i="2" s="1"/>
  <c r="F1137" i="2"/>
  <c r="H1137" i="2" s="1"/>
  <c r="F1138" i="2"/>
  <c r="H1138" i="2" s="1"/>
  <c r="F1139" i="2"/>
  <c r="H1139" i="2" s="1"/>
  <c r="F1140" i="2"/>
  <c r="H1140" i="2" s="1"/>
  <c r="F1141" i="2"/>
  <c r="H1141" i="2" s="1"/>
  <c r="F1142" i="2"/>
  <c r="H1142" i="2" s="1"/>
  <c r="F1143" i="2"/>
  <c r="H1143" i="2" s="1"/>
  <c r="F1144" i="2"/>
  <c r="H1144" i="2" s="1"/>
  <c r="F1145" i="2"/>
  <c r="H1145" i="2" s="1"/>
  <c r="F1146" i="2"/>
  <c r="H1146" i="2" s="1"/>
  <c r="F1147" i="2"/>
  <c r="H1147" i="2" s="1"/>
  <c r="F1148" i="2"/>
  <c r="H1148" i="2" s="1"/>
  <c r="F1149" i="2"/>
  <c r="H1149" i="2" s="1"/>
  <c r="F1150" i="2"/>
  <c r="H1150" i="2" s="1"/>
  <c r="F1151" i="2"/>
  <c r="H1151" i="2" s="1"/>
  <c r="F1152" i="2"/>
  <c r="H1152" i="2" s="1"/>
  <c r="F1153" i="2"/>
  <c r="H1153" i="2" s="1"/>
  <c r="F1154" i="2"/>
  <c r="H1154" i="2" s="1"/>
  <c r="F1155" i="2"/>
  <c r="H1155" i="2" s="1"/>
  <c r="F1156" i="2"/>
  <c r="H1156" i="2" s="1"/>
  <c r="F1157" i="2"/>
  <c r="H1157" i="2" s="1"/>
  <c r="F1158" i="2"/>
  <c r="H1158" i="2" s="1"/>
  <c r="F1159" i="2"/>
  <c r="H1159" i="2" s="1"/>
  <c r="F1160" i="2"/>
  <c r="H1160" i="2" s="1"/>
  <c r="F1161" i="2"/>
  <c r="H1161" i="2" s="1"/>
  <c r="F1162" i="2"/>
  <c r="H1162" i="2" s="1"/>
  <c r="F1163" i="2"/>
  <c r="H1163" i="2" s="1"/>
  <c r="F1164" i="2"/>
  <c r="H1164" i="2" s="1"/>
  <c r="F1165" i="2"/>
  <c r="H1165" i="2" s="1"/>
  <c r="F1166" i="2"/>
  <c r="H1166" i="2" s="1"/>
  <c r="F1167" i="2"/>
  <c r="H1167" i="2" s="1"/>
  <c r="F1168" i="2"/>
  <c r="H1168" i="2" s="1"/>
  <c r="F1169" i="2"/>
  <c r="H1169" i="2" s="1"/>
  <c r="F1170" i="2"/>
  <c r="H1170" i="2" s="1"/>
  <c r="F1171" i="2"/>
  <c r="H1171" i="2" s="1"/>
  <c r="F1172" i="2"/>
  <c r="H1172" i="2" s="1"/>
  <c r="F1173" i="2"/>
  <c r="H1173" i="2" s="1"/>
  <c r="F1174" i="2"/>
  <c r="H1174" i="2" s="1"/>
  <c r="F1175" i="2"/>
  <c r="H1175" i="2" s="1"/>
  <c r="F1176" i="2"/>
  <c r="H1176" i="2" s="1"/>
  <c r="F1177" i="2"/>
  <c r="H1177" i="2" s="1"/>
  <c r="F1178" i="2"/>
  <c r="H1178" i="2" s="1"/>
  <c r="F1179" i="2"/>
  <c r="H1179" i="2" s="1"/>
  <c r="F1180" i="2"/>
  <c r="H1180" i="2" s="1"/>
  <c r="F1181" i="2"/>
  <c r="H1181" i="2" s="1"/>
  <c r="F1182" i="2"/>
  <c r="H1182" i="2" s="1"/>
  <c r="F1183" i="2"/>
  <c r="H1183" i="2" s="1"/>
  <c r="F1184" i="2"/>
  <c r="H1184" i="2" s="1"/>
  <c r="F1185" i="2"/>
  <c r="H1185" i="2" s="1"/>
  <c r="F1186" i="2"/>
  <c r="H1186" i="2" s="1"/>
  <c r="F1187" i="2"/>
  <c r="H1187" i="2" s="1"/>
  <c r="F1188" i="2"/>
  <c r="H1188" i="2" s="1"/>
  <c r="F1189" i="2"/>
  <c r="H1189" i="2" s="1"/>
  <c r="F1190" i="2"/>
  <c r="H1190" i="2" s="1"/>
  <c r="F1191" i="2"/>
  <c r="H1191" i="2" s="1"/>
  <c r="F1192" i="2"/>
  <c r="H1192" i="2" s="1"/>
  <c r="F1193" i="2"/>
  <c r="H1193" i="2" s="1"/>
  <c r="F1194" i="2"/>
  <c r="H1194" i="2" s="1"/>
  <c r="F1195" i="2"/>
  <c r="H1195" i="2" s="1"/>
  <c r="F1196" i="2"/>
  <c r="H1196" i="2" s="1"/>
  <c r="F1197" i="2"/>
  <c r="H1197" i="2" s="1"/>
  <c r="F1198" i="2"/>
  <c r="H1198" i="2" s="1"/>
  <c r="F1199" i="2"/>
  <c r="H1199" i="2" s="1"/>
  <c r="F1200" i="2"/>
  <c r="H1200" i="2" s="1"/>
  <c r="F1201" i="2"/>
  <c r="H1201" i="2" s="1"/>
  <c r="F1202" i="2"/>
  <c r="H1202" i="2" s="1"/>
  <c r="F1203" i="2"/>
  <c r="H1203" i="2" s="1"/>
  <c r="F1204" i="2"/>
  <c r="H1204" i="2" s="1"/>
  <c r="F1205" i="2"/>
  <c r="H1205" i="2" s="1"/>
  <c r="F1206" i="2"/>
  <c r="H1206" i="2" s="1"/>
  <c r="F1207" i="2"/>
  <c r="H1207" i="2" s="1"/>
  <c r="F1208" i="2"/>
  <c r="H1208" i="2" s="1"/>
  <c r="F1209" i="2"/>
  <c r="H1209" i="2" s="1"/>
  <c r="F1210" i="2"/>
  <c r="H1210" i="2" s="1"/>
  <c r="F1211" i="2"/>
  <c r="H1211" i="2" s="1"/>
  <c r="F1212" i="2"/>
  <c r="H1212" i="2" s="1"/>
  <c r="F1213" i="2"/>
  <c r="H1213" i="2" s="1"/>
  <c r="F1214" i="2"/>
  <c r="H1214" i="2" s="1"/>
  <c r="F1215" i="2"/>
  <c r="H1215" i="2" s="1"/>
  <c r="F1216" i="2"/>
  <c r="H1216" i="2" s="1"/>
  <c r="F1217" i="2"/>
  <c r="H1217" i="2" s="1"/>
  <c r="F1218" i="2"/>
  <c r="H1218" i="2" s="1"/>
  <c r="F1219" i="2"/>
  <c r="H1219" i="2" s="1"/>
  <c r="F1220" i="2"/>
  <c r="H1220" i="2" s="1"/>
  <c r="F1221" i="2"/>
  <c r="H1221" i="2" s="1"/>
  <c r="F1222" i="2"/>
  <c r="H1222" i="2" s="1"/>
  <c r="F1223" i="2"/>
  <c r="H1223" i="2" s="1"/>
  <c r="F1224" i="2"/>
  <c r="H1224" i="2" s="1"/>
  <c r="F1225" i="2"/>
  <c r="H1225" i="2" s="1"/>
  <c r="F1226" i="2"/>
  <c r="H1226" i="2" s="1"/>
  <c r="F1227" i="2"/>
  <c r="H1227" i="2" s="1"/>
  <c r="F1228" i="2"/>
  <c r="H1228" i="2" s="1"/>
  <c r="F1229" i="2"/>
  <c r="H1229" i="2" s="1"/>
  <c r="F1230" i="2"/>
  <c r="H1230" i="2" s="1"/>
  <c r="F1231" i="2"/>
  <c r="H1231" i="2" s="1"/>
  <c r="F1232" i="2"/>
  <c r="H1232" i="2" s="1"/>
  <c r="F1233" i="2"/>
  <c r="H1233" i="2" s="1"/>
  <c r="F1234" i="2"/>
  <c r="H1234" i="2" s="1"/>
  <c r="F1235" i="2"/>
  <c r="H1235" i="2" s="1"/>
  <c r="F1236" i="2"/>
  <c r="H1236" i="2" s="1"/>
  <c r="F1237" i="2"/>
  <c r="H1237" i="2" s="1"/>
  <c r="F1238" i="2"/>
  <c r="H1238" i="2" s="1"/>
  <c r="F1239" i="2"/>
  <c r="H1239" i="2" s="1"/>
  <c r="F1240" i="2"/>
  <c r="H1240" i="2" s="1"/>
  <c r="F1241" i="2"/>
  <c r="H1241" i="2" s="1"/>
  <c r="F1242" i="2"/>
  <c r="H1242" i="2" s="1"/>
  <c r="F1243" i="2"/>
  <c r="H1243" i="2" s="1"/>
  <c r="F1244" i="2"/>
  <c r="H1244" i="2" s="1"/>
  <c r="F1245" i="2"/>
  <c r="H1245" i="2" s="1"/>
  <c r="F1246" i="2"/>
  <c r="H1246" i="2" s="1"/>
  <c r="F1247" i="2"/>
  <c r="H1247" i="2" s="1"/>
  <c r="F1248" i="2"/>
  <c r="H1248" i="2" s="1"/>
  <c r="F1249" i="2"/>
  <c r="H1249" i="2" s="1"/>
  <c r="F1250" i="2"/>
  <c r="H1250" i="2" s="1"/>
  <c r="F1251" i="2"/>
  <c r="H1251" i="2" s="1"/>
  <c r="F1252" i="2"/>
  <c r="H1252" i="2" s="1"/>
  <c r="F1253" i="2"/>
  <c r="H1253" i="2" s="1"/>
  <c r="F1254" i="2"/>
  <c r="H1254" i="2" s="1"/>
  <c r="F1255" i="2"/>
  <c r="H1255" i="2" s="1"/>
  <c r="F1256" i="2"/>
  <c r="H1256" i="2" s="1"/>
  <c r="F1257" i="2"/>
  <c r="H1257" i="2" s="1"/>
  <c r="F1258" i="2"/>
  <c r="H1258" i="2" s="1"/>
  <c r="F1259" i="2"/>
  <c r="H1259" i="2" s="1"/>
  <c r="F1260" i="2"/>
  <c r="H1260" i="2" s="1"/>
  <c r="F1261" i="2"/>
  <c r="H1261" i="2" s="1"/>
  <c r="F1262" i="2"/>
  <c r="H1262" i="2" s="1"/>
  <c r="F1263" i="2"/>
  <c r="H1263" i="2" s="1"/>
  <c r="F1264" i="2"/>
  <c r="H1264" i="2" s="1"/>
  <c r="F1265" i="2"/>
  <c r="H1265" i="2" s="1"/>
  <c r="F1266" i="2"/>
  <c r="H1266" i="2" s="1"/>
  <c r="F1267" i="2"/>
  <c r="H1267" i="2" s="1"/>
  <c r="F1268" i="2"/>
  <c r="H1268" i="2" s="1"/>
  <c r="F1269" i="2"/>
  <c r="H1269" i="2" s="1"/>
  <c r="F1270" i="2"/>
  <c r="H1270" i="2" s="1"/>
  <c r="F1271" i="2"/>
  <c r="H1271" i="2" s="1"/>
  <c r="F1272" i="2"/>
  <c r="H1272" i="2" s="1"/>
  <c r="F1273" i="2"/>
  <c r="H1273" i="2" s="1"/>
  <c r="F1274" i="2"/>
  <c r="H1274" i="2" s="1"/>
  <c r="F1275" i="2"/>
  <c r="H1275" i="2" s="1"/>
  <c r="F1276" i="2"/>
  <c r="H1276" i="2" s="1"/>
  <c r="F1277" i="2"/>
  <c r="H1277" i="2" s="1"/>
  <c r="F1278" i="2"/>
  <c r="H1278" i="2" s="1"/>
  <c r="F1279" i="2"/>
  <c r="H1279" i="2" s="1"/>
  <c r="F1280" i="2"/>
  <c r="H1280" i="2" s="1"/>
  <c r="F1281" i="2"/>
  <c r="H1281" i="2" s="1"/>
  <c r="F1282" i="2"/>
  <c r="H1282" i="2" s="1"/>
  <c r="F1283" i="2"/>
  <c r="H1283" i="2" s="1"/>
  <c r="F1284" i="2"/>
  <c r="H1284" i="2" s="1"/>
  <c r="F1285" i="2"/>
  <c r="H1285" i="2" s="1"/>
  <c r="F1286" i="2"/>
  <c r="H1286" i="2" s="1"/>
  <c r="F1287" i="2"/>
  <c r="H1287" i="2" s="1"/>
  <c r="F1288" i="2"/>
  <c r="H1288" i="2" s="1"/>
  <c r="F1289" i="2"/>
  <c r="H1289" i="2" s="1"/>
  <c r="F1290" i="2"/>
  <c r="H1290" i="2" s="1"/>
  <c r="F1291" i="2"/>
  <c r="H1291" i="2" s="1"/>
  <c r="F1292" i="2"/>
  <c r="H1292" i="2" s="1"/>
  <c r="F1293" i="2"/>
  <c r="H1293" i="2" s="1"/>
  <c r="F1294" i="2"/>
  <c r="H1294" i="2" s="1"/>
  <c r="F1295" i="2"/>
  <c r="H1295" i="2" s="1"/>
  <c r="F1296" i="2"/>
  <c r="H1296" i="2" s="1"/>
  <c r="F1297" i="2"/>
  <c r="H1297" i="2" s="1"/>
  <c r="F1298" i="2"/>
  <c r="H1298" i="2" s="1"/>
  <c r="F1299" i="2"/>
  <c r="H1299" i="2" s="1"/>
  <c r="F1300" i="2"/>
  <c r="H1300" i="2" s="1"/>
  <c r="F1301" i="2"/>
  <c r="H1301" i="2" s="1"/>
  <c r="F1302" i="2"/>
  <c r="H1302" i="2" s="1"/>
  <c r="F1303" i="2"/>
  <c r="H1303" i="2" s="1"/>
  <c r="F1304" i="2"/>
  <c r="H1304" i="2" s="1"/>
  <c r="F1305" i="2"/>
  <c r="H1305" i="2" s="1"/>
  <c r="F1306" i="2"/>
  <c r="H1306" i="2" s="1"/>
  <c r="F1307" i="2"/>
  <c r="H1307" i="2" s="1"/>
  <c r="F1308" i="2"/>
  <c r="H1308" i="2" s="1"/>
  <c r="F1309" i="2"/>
  <c r="H1309" i="2" s="1"/>
  <c r="F1310" i="2"/>
  <c r="H1310" i="2" s="1"/>
  <c r="F1311" i="2"/>
  <c r="H1311" i="2" s="1"/>
  <c r="F1312" i="2"/>
  <c r="H1312" i="2" s="1"/>
  <c r="F1313" i="2"/>
  <c r="H1313" i="2" s="1"/>
  <c r="F1314" i="2"/>
  <c r="H1314" i="2" s="1"/>
  <c r="F1315" i="2"/>
  <c r="H1315" i="2" s="1"/>
  <c r="F1316" i="2"/>
  <c r="H1316" i="2" s="1"/>
  <c r="F1317" i="2"/>
  <c r="H1317" i="2" s="1"/>
  <c r="F1318" i="2"/>
  <c r="H1318" i="2" s="1"/>
  <c r="F1319" i="2"/>
  <c r="H1319" i="2" s="1"/>
  <c r="F1320" i="2"/>
  <c r="H1320" i="2" s="1"/>
  <c r="F1321" i="2"/>
  <c r="H1321" i="2" s="1"/>
  <c r="F1322" i="2"/>
  <c r="H1322" i="2" s="1"/>
  <c r="F1323" i="2"/>
  <c r="H1323" i="2" s="1"/>
  <c r="F1324" i="2"/>
  <c r="H1324" i="2" s="1"/>
  <c r="F1325" i="2"/>
  <c r="H1325" i="2" s="1"/>
  <c r="F1326" i="2"/>
  <c r="H1326" i="2" s="1"/>
  <c r="F1327" i="2"/>
  <c r="H1327" i="2" s="1"/>
  <c r="F1328" i="2"/>
  <c r="H1328" i="2" s="1"/>
  <c r="F1329" i="2"/>
  <c r="H1329" i="2" s="1"/>
  <c r="F1330" i="2"/>
  <c r="H1330" i="2" s="1"/>
  <c r="F1331" i="2"/>
  <c r="H1331" i="2" s="1"/>
  <c r="F1332" i="2"/>
  <c r="H1332" i="2" s="1"/>
  <c r="F1333" i="2"/>
  <c r="H1333" i="2" s="1"/>
  <c r="F1334" i="2"/>
  <c r="H1334" i="2" s="1"/>
  <c r="F1335" i="2"/>
  <c r="H1335" i="2" s="1"/>
  <c r="F1336" i="2"/>
  <c r="H1336" i="2" s="1"/>
  <c r="F1337" i="2"/>
  <c r="H1337" i="2" s="1"/>
  <c r="F1338" i="2"/>
  <c r="H1338" i="2" s="1"/>
  <c r="F1339" i="2"/>
  <c r="H1339" i="2" s="1"/>
  <c r="F1340" i="2"/>
  <c r="H1340" i="2" s="1"/>
  <c r="F1341" i="2"/>
  <c r="H1341" i="2" s="1"/>
  <c r="F1342" i="2"/>
  <c r="H1342" i="2" s="1"/>
  <c r="F1343" i="2"/>
  <c r="H1343" i="2" s="1"/>
  <c r="F1344" i="2"/>
  <c r="H1344" i="2" s="1"/>
  <c r="F1345" i="2"/>
  <c r="H1345" i="2" s="1"/>
  <c r="F1346" i="2"/>
  <c r="H1346" i="2" s="1"/>
  <c r="F1347" i="2"/>
  <c r="H1347" i="2" s="1"/>
  <c r="F1348" i="2"/>
  <c r="H1348" i="2" s="1"/>
  <c r="F1349" i="2"/>
  <c r="H1349" i="2" s="1"/>
  <c r="F1350" i="2"/>
  <c r="H1350" i="2" s="1"/>
  <c r="F1351" i="2"/>
  <c r="H1351" i="2" s="1"/>
  <c r="F1352" i="2"/>
  <c r="H1352" i="2" s="1"/>
  <c r="F1353" i="2"/>
  <c r="H1353" i="2" s="1"/>
  <c r="F1354" i="2"/>
  <c r="H1354" i="2" s="1"/>
  <c r="F1355" i="2"/>
  <c r="H1355" i="2" s="1"/>
  <c r="F1356" i="2"/>
  <c r="H1356" i="2" s="1"/>
  <c r="F1357" i="2"/>
  <c r="H1357" i="2" s="1"/>
  <c r="F1358" i="2"/>
  <c r="H1358" i="2" s="1"/>
  <c r="F1359" i="2"/>
  <c r="H1359" i="2" s="1"/>
  <c r="F1360" i="2"/>
  <c r="H1360" i="2" s="1"/>
  <c r="F1361" i="2"/>
  <c r="H1361" i="2" s="1"/>
  <c r="F1362" i="2"/>
  <c r="H1362" i="2" s="1"/>
  <c r="F1363" i="2"/>
  <c r="H1363" i="2" s="1"/>
  <c r="F1364" i="2"/>
  <c r="H1364" i="2" s="1"/>
  <c r="F1365" i="2"/>
  <c r="H1365" i="2" s="1"/>
  <c r="F1366" i="2"/>
  <c r="H1366" i="2" s="1"/>
  <c r="F1367" i="2"/>
  <c r="H1367" i="2" s="1"/>
  <c r="F1368" i="2"/>
  <c r="H1368" i="2" s="1"/>
  <c r="F1369" i="2"/>
  <c r="H1369" i="2" s="1"/>
  <c r="F1370" i="2"/>
  <c r="H1370" i="2" s="1"/>
  <c r="F1371" i="2"/>
  <c r="H1371" i="2" s="1"/>
  <c r="F1372" i="2"/>
  <c r="H1372" i="2" s="1"/>
  <c r="F1373" i="2"/>
  <c r="H1373" i="2" s="1"/>
  <c r="F1374" i="2"/>
  <c r="H1374" i="2" s="1"/>
  <c r="F1375" i="2"/>
  <c r="H1375" i="2" s="1"/>
  <c r="F1376" i="2"/>
  <c r="H1376" i="2" s="1"/>
  <c r="F1377" i="2"/>
  <c r="H1377" i="2" s="1"/>
  <c r="F1378" i="2"/>
  <c r="H1378" i="2" s="1"/>
  <c r="F1379" i="2"/>
  <c r="H1379" i="2" s="1"/>
  <c r="F1380" i="2"/>
  <c r="H1380" i="2" s="1"/>
  <c r="F1381" i="2"/>
  <c r="H1381" i="2" s="1"/>
  <c r="F1382" i="2"/>
  <c r="H1382" i="2" s="1"/>
  <c r="F1383" i="2"/>
  <c r="H1383" i="2" s="1"/>
  <c r="F1384" i="2"/>
  <c r="H1384" i="2" s="1"/>
  <c r="F1385" i="2"/>
  <c r="H1385" i="2" s="1"/>
  <c r="F1386" i="2"/>
  <c r="H1386" i="2" s="1"/>
  <c r="F1387" i="2"/>
  <c r="H1387" i="2" s="1"/>
  <c r="F1388" i="2"/>
  <c r="H1388" i="2" s="1"/>
  <c r="F1389" i="2"/>
  <c r="H1389" i="2" s="1"/>
  <c r="F1390" i="2"/>
  <c r="H1390" i="2" s="1"/>
  <c r="F1391" i="2"/>
  <c r="H1391" i="2" s="1"/>
  <c r="F1392" i="2"/>
  <c r="H1392" i="2" s="1"/>
  <c r="F1393" i="2"/>
  <c r="H1393" i="2" s="1"/>
  <c r="F1394" i="2"/>
  <c r="H1394" i="2" s="1"/>
  <c r="F1395" i="2"/>
  <c r="H1395" i="2" s="1"/>
  <c r="F1396" i="2"/>
  <c r="H1396" i="2" s="1"/>
  <c r="F1397" i="2"/>
  <c r="H1397" i="2" s="1"/>
  <c r="F1398" i="2"/>
  <c r="H1398" i="2" s="1"/>
  <c r="F1399" i="2"/>
  <c r="H1399" i="2" s="1"/>
  <c r="F1400" i="2"/>
  <c r="H1400" i="2" s="1"/>
  <c r="F1401" i="2"/>
  <c r="H1401" i="2" s="1"/>
  <c r="F1402" i="2"/>
  <c r="H1402" i="2" s="1"/>
  <c r="F1403" i="2"/>
  <c r="H1403" i="2" s="1"/>
  <c r="F1404" i="2"/>
  <c r="H1404" i="2" s="1"/>
  <c r="F1405" i="2"/>
  <c r="H1405" i="2" s="1"/>
  <c r="F1406" i="2"/>
  <c r="H1406" i="2" s="1"/>
  <c r="F1407" i="2"/>
  <c r="H1407" i="2" s="1"/>
  <c r="F1408" i="2"/>
  <c r="H1408" i="2" s="1"/>
  <c r="F1409" i="2"/>
  <c r="H1409" i="2" s="1"/>
  <c r="F1410" i="2"/>
  <c r="H1410" i="2" s="1"/>
  <c r="F1411" i="2"/>
  <c r="H1411" i="2" s="1"/>
  <c r="F1412" i="2"/>
  <c r="H1412" i="2" s="1"/>
  <c r="F1413" i="2"/>
  <c r="H1413" i="2" s="1"/>
  <c r="F1414" i="2"/>
  <c r="H1414" i="2" s="1"/>
  <c r="F1415" i="2"/>
  <c r="H1415" i="2" s="1"/>
  <c r="F1416" i="2"/>
  <c r="H1416" i="2" s="1"/>
  <c r="F1417" i="2"/>
  <c r="H1417" i="2" s="1"/>
  <c r="F1418" i="2"/>
  <c r="H1418" i="2" s="1"/>
  <c r="F1419" i="2"/>
  <c r="H1419" i="2" s="1"/>
  <c r="F1420" i="2"/>
  <c r="H1420" i="2" s="1"/>
  <c r="F1421" i="2"/>
  <c r="H1421" i="2" s="1"/>
  <c r="F1422" i="2"/>
  <c r="H1422" i="2" s="1"/>
  <c r="F1423" i="2"/>
  <c r="H1423" i="2" s="1"/>
  <c r="F1424" i="2"/>
  <c r="H1424" i="2" s="1"/>
  <c r="F1425" i="2"/>
  <c r="H1425" i="2" s="1"/>
  <c r="F1426" i="2"/>
  <c r="H1426" i="2" s="1"/>
  <c r="F1427" i="2"/>
  <c r="H1427" i="2" s="1"/>
  <c r="F1428" i="2"/>
  <c r="H1428" i="2" s="1"/>
  <c r="F1429" i="2"/>
  <c r="H1429" i="2" s="1"/>
  <c r="F1430" i="2"/>
  <c r="H1430" i="2" s="1"/>
  <c r="F1431" i="2"/>
  <c r="H1431" i="2" s="1"/>
  <c r="F1432" i="2"/>
  <c r="H1432" i="2" s="1"/>
  <c r="F1433" i="2"/>
  <c r="H1433" i="2" s="1"/>
  <c r="F1434" i="2"/>
  <c r="H1434" i="2" s="1"/>
  <c r="F1435" i="2"/>
  <c r="H1435" i="2" s="1"/>
  <c r="F1436" i="2"/>
  <c r="H1436" i="2" s="1"/>
  <c r="F1437" i="2"/>
  <c r="H1437" i="2" s="1"/>
  <c r="F1438" i="2"/>
  <c r="H1438" i="2" s="1"/>
  <c r="F1439" i="2"/>
  <c r="H1439" i="2" s="1"/>
  <c r="F1440" i="2"/>
  <c r="H1440" i="2" s="1"/>
  <c r="F1441" i="2"/>
  <c r="H1441" i="2" s="1"/>
  <c r="F1442" i="2"/>
  <c r="H1442" i="2" s="1"/>
  <c r="F1443" i="2"/>
  <c r="H1443" i="2" s="1"/>
  <c r="F1444" i="2"/>
  <c r="H1444" i="2" s="1"/>
  <c r="F1445" i="2"/>
  <c r="H1445" i="2" s="1"/>
  <c r="F1446" i="2"/>
  <c r="H1446" i="2" s="1"/>
  <c r="F1447" i="2"/>
  <c r="H1447" i="2" s="1"/>
  <c r="F1448" i="2"/>
  <c r="H1448" i="2" s="1"/>
  <c r="F1449" i="2"/>
  <c r="H1449" i="2" s="1"/>
  <c r="F1450" i="2"/>
  <c r="H1450" i="2" s="1"/>
  <c r="F1451" i="2"/>
  <c r="H1451" i="2" s="1"/>
  <c r="F1452" i="2"/>
  <c r="H1452" i="2" s="1"/>
  <c r="F1453" i="2"/>
  <c r="H1453" i="2" s="1"/>
  <c r="F1454" i="2"/>
  <c r="H1454" i="2" s="1"/>
  <c r="F1455" i="2"/>
  <c r="H1455" i="2" s="1"/>
  <c r="F1456" i="2"/>
  <c r="H1456" i="2" s="1"/>
  <c r="F1457" i="2"/>
  <c r="H1457" i="2" s="1"/>
  <c r="F1458" i="2"/>
  <c r="H1458" i="2" s="1"/>
  <c r="F1459" i="2"/>
  <c r="H1459" i="2" s="1"/>
  <c r="F1460" i="2"/>
  <c r="H1460" i="2" s="1"/>
  <c r="F1461" i="2"/>
  <c r="H1461" i="2" s="1"/>
  <c r="F1462" i="2"/>
  <c r="H1462" i="2" s="1"/>
  <c r="F1463" i="2"/>
  <c r="H1463" i="2" s="1"/>
  <c r="F1464" i="2"/>
  <c r="H1464" i="2" s="1"/>
  <c r="F1465" i="2"/>
  <c r="H1465" i="2" s="1"/>
  <c r="F1466" i="2"/>
  <c r="H1466" i="2" s="1"/>
  <c r="F1467" i="2"/>
  <c r="H1467" i="2" s="1"/>
  <c r="F1468" i="2"/>
  <c r="H1468" i="2" s="1"/>
  <c r="F1469" i="2"/>
  <c r="H1469" i="2" s="1"/>
  <c r="F1470" i="2"/>
  <c r="H1470" i="2" s="1"/>
  <c r="F1471" i="2"/>
  <c r="H1471" i="2" s="1"/>
  <c r="F1472" i="2"/>
  <c r="H1472" i="2" s="1"/>
  <c r="F1473" i="2"/>
  <c r="H1473" i="2" s="1"/>
  <c r="F1474" i="2"/>
  <c r="H1474" i="2" s="1"/>
  <c r="F1475" i="2"/>
  <c r="H1475" i="2" s="1"/>
  <c r="F1476" i="2"/>
  <c r="H1476" i="2" s="1"/>
  <c r="F1477" i="2"/>
  <c r="H1477" i="2" s="1"/>
  <c r="F1478" i="2"/>
  <c r="H1478" i="2" s="1"/>
  <c r="F1479" i="2"/>
  <c r="H1479" i="2" s="1"/>
  <c r="F1480" i="2"/>
  <c r="H1480" i="2" s="1"/>
  <c r="F1481" i="2"/>
  <c r="H1481" i="2" s="1"/>
  <c r="F1482" i="2"/>
  <c r="H1482" i="2" s="1"/>
  <c r="F1483" i="2"/>
  <c r="H1483" i="2" s="1"/>
  <c r="F1484" i="2"/>
  <c r="H1484" i="2" s="1"/>
  <c r="F1485" i="2"/>
  <c r="H1485" i="2" s="1"/>
  <c r="F1486" i="2"/>
  <c r="H1486" i="2" s="1"/>
  <c r="F1487" i="2"/>
  <c r="H1487" i="2" s="1"/>
  <c r="F1488" i="2"/>
  <c r="H1488" i="2" s="1"/>
  <c r="F1489" i="2"/>
  <c r="H1489" i="2" s="1"/>
  <c r="F1490" i="2"/>
  <c r="H1490" i="2" s="1"/>
  <c r="F1491" i="2"/>
  <c r="H1491" i="2" s="1"/>
  <c r="F1492" i="2"/>
  <c r="H1492" i="2" s="1"/>
  <c r="F1493" i="2"/>
  <c r="H1493" i="2" s="1"/>
  <c r="F1494" i="2"/>
  <c r="H1494" i="2" s="1"/>
  <c r="F1495" i="2"/>
  <c r="H1495" i="2" s="1"/>
  <c r="F1496" i="2"/>
  <c r="H1496" i="2" s="1"/>
  <c r="F1497" i="2"/>
  <c r="H1497" i="2" s="1"/>
  <c r="F1498" i="2"/>
  <c r="H1498" i="2" s="1"/>
  <c r="F1499" i="2"/>
  <c r="H1499" i="2" s="1"/>
  <c r="F1500" i="2"/>
  <c r="H1500" i="2" s="1"/>
  <c r="F1501" i="2"/>
  <c r="H1501" i="2" s="1"/>
  <c r="F1502" i="2"/>
  <c r="H1502" i="2" s="1"/>
  <c r="F1503" i="2"/>
  <c r="H1503" i="2" s="1"/>
  <c r="F1504" i="2"/>
  <c r="H1504" i="2" s="1"/>
  <c r="F1505" i="2"/>
  <c r="H1505" i="2" s="1"/>
  <c r="F1506" i="2"/>
  <c r="H1506" i="2" s="1"/>
  <c r="F1507" i="2"/>
  <c r="H1507" i="2" s="1"/>
  <c r="F1508" i="2"/>
  <c r="H1508" i="2" s="1"/>
  <c r="F1509" i="2"/>
  <c r="H1509" i="2" s="1"/>
  <c r="F1510" i="2"/>
  <c r="H1510" i="2" s="1"/>
  <c r="F1511" i="2"/>
  <c r="H1511" i="2" s="1"/>
  <c r="F1512" i="2"/>
  <c r="H1512" i="2" s="1"/>
  <c r="F1513" i="2"/>
  <c r="H1513" i="2" s="1"/>
  <c r="F1514" i="2"/>
  <c r="H1514" i="2" s="1"/>
  <c r="F1515" i="2"/>
  <c r="H1515" i="2" s="1"/>
  <c r="F1516" i="2"/>
  <c r="H1516" i="2" s="1"/>
  <c r="F1517" i="2"/>
  <c r="H1517" i="2" s="1"/>
  <c r="F1518" i="2"/>
  <c r="H1518" i="2" s="1"/>
  <c r="F1519" i="2"/>
  <c r="H1519" i="2" s="1"/>
  <c r="F1520" i="2"/>
  <c r="H1520" i="2" s="1"/>
  <c r="F1521" i="2"/>
  <c r="H1521" i="2" s="1"/>
  <c r="F1522" i="2"/>
  <c r="H1522" i="2" s="1"/>
  <c r="F1523" i="2"/>
  <c r="H1523" i="2" s="1"/>
  <c r="F1524" i="2"/>
  <c r="H1524" i="2" s="1"/>
  <c r="F1525" i="2"/>
  <c r="H1525" i="2" s="1"/>
  <c r="F1526" i="2"/>
  <c r="H1526" i="2" s="1"/>
  <c r="F1527" i="2"/>
  <c r="H1527" i="2" s="1"/>
  <c r="F1528" i="2"/>
  <c r="H1528" i="2" s="1"/>
  <c r="F1529" i="2"/>
  <c r="H1529" i="2" s="1"/>
  <c r="F1530" i="2"/>
  <c r="H1530" i="2" s="1"/>
  <c r="F1531" i="2"/>
  <c r="H1531" i="2" s="1"/>
  <c r="F1532" i="2"/>
  <c r="H1532" i="2" s="1"/>
  <c r="F1533" i="2"/>
  <c r="H1533" i="2" s="1"/>
  <c r="F1534" i="2"/>
  <c r="H1534" i="2" s="1"/>
  <c r="F1535" i="2"/>
  <c r="H1535" i="2" s="1"/>
  <c r="F1536" i="2"/>
  <c r="H1536" i="2" s="1"/>
  <c r="F1537" i="2"/>
  <c r="H1537" i="2" s="1"/>
  <c r="F1538" i="2"/>
  <c r="H1538" i="2" s="1"/>
  <c r="F1539" i="2"/>
  <c r="H1539" i="2" s="1"/>
  <c r="F1540" i="2"/>
  <c r="H1540" i="2" s="1"/>
  <c r="F1541" i="2"/>
  <c r="H1541" i="2" s="1"/>
  <c r="F1542" i="2"/>
  <c r="H1542" i="2" s="1"/>
  <c r="F1543" i="2"/>
  <c r="H1543" i="2" s="1"/>
  <c r="F1544" i="2"/>
  <c r="H1544" i="2" s="1"/>
  <c r="F1545" i="2"/>
  <c r="H1545" i="2" s="1"/>
  <c r="F1546" i="2"/>
  <c r="H1546" i="2" s="1"/>
  <c r="F1547" i="2"/>
  <c r="H1547" i="2" s="1"/>
  <c r="F1548" i="2"/>
  <c r="H1548" i="2" s="1"/>
  <c r="F1549" i="2"/>
  <c r="H1549" i="2" s="1"/>
  <c r="F1550" i="2"/>
  <c r="H1550" i="2" s="1"/>
  <c r="F1551" i="2"/>
  <c r="H1551" i="2" s="1"/>
  <c r="F1552" i="2"/>
  <c r="H1552" i="2" s="1"/>
  <c r="F1553" i="2"/>
  <c r="H1553" i="2" s="1"/>
  <c r="F1554" i="2"/>
  <c r="H1554" i="2" s="1"/>
  <c r="F1555" i="2"/>
  <c r="H1555" i="2" s="1"/>
  <c r="F1556" i="2"/>
  <c r="H1556" i="2" s="1"/>
  <c r="F1557" i="2"/>
  <c r="H1557" i="2" s="1"/>
  <c r="F1558" i="2"/>
  <c r="H1558" i="2" s="1"/>
  <c r="F1559" i="2"/>
  <c r="H1559" i="2" s="1"/>
  <c r="F1560" i="2"/>
  <c r="H1560" i="2" s="1"/>
  <c r="F1561" i="2"/>
  <c r="H1561" i="2" s="1"/>
  <c r="F1562" i="2"/>
  <c r="H1562" i="2" s="1"/>
  <c r="F1563" i="2"/>
  <c r="H1563" i="2" s="1"/>
  <c r="F1564" i="2"/>
  <c r="H1564" i="2" s="1"/>
  <c r="F1565" i="2"/>
  <c r="H1565" i="2" s="1"/>
  <c r="F1566" i="2"/>
  <c r="H1566" i="2" s="1"/>
  <c r="F1567" i="2"/>
  <c r="H1567" i="2" s="1"/>
  <c r="F1568" i="2"/>
  <c r="H1568" i="2" s="1"/>
  <c r="F1569" i="2"/>
  <c r="H1569" i="2" s="1"/>
  <c r="F1570" i="2"/>
  <c r="H1570" i="2" s="1"/>
  <c r="F1571" i="2"/>
  <c r="H1571" i="2" s="1"/>
  <c r="F1572" i="2"/>
  <c r="H1572" i="2" s="1"/>
  <c r="F1573" i="2"/>
  <c r="H1573" i="2" s="1"/>
  <c r="F1574" i="2"/>
  <c r="H1574" i="2" s="1"/>
  <c r="F1575" i="2"/>
  <c r="H1575" i="2" s="1"/>
  <c r="F1576" i="2"/>
  <c r="H1576" i="2" s="1"/>
  <c r="F1577" i="2"/>
  <c r="H1577" i="2" s="1"/>
  <c r="F1578" i="2"/>
  <c r="H1578" i="2" s="1"/>
  <c r="F1579" i="2"/>
  <c r="H1579" i="2" s="1"/>
  <c r="F1580" i="2"/>
  <c r="H1580" i="2" s="1"/>
  <c r="F1581" i="2"/>
  <c r="H1581" i="2" s="1"/>
  <c r="F1582" i="2"/>
  <c r="H1582" i="2" s="1"/>
  <c r="F1583" i="2"/>
  <c r="H1583" i="2" s="1"/>
  <c r="F1584" i="2"/>
  <c r="H1584" i="2" s="1"/>
  <c r="F1585" i="2"/>
  <c r="H1585" i="2" s="1"/>
  <c r="F1586" i="2"/>
  <c r="H1586" i="2" s="1"/>
  <c r="F1587" i="2"/>
  <c r="H1587" i="2" s="1"/>
  <c r="F1588" i="2"/>
  <c r="H1588" i="2" s="1"/>
  <c r="F1589" i="2"/>
  <c r="H1589" i="2" s="1"/>
  <c r="F1590" i="2"/>
  <c r="H1590" i="2" s="1"/>
  <c r="F1591" i="2"/>
  <c r="H1591" i="2" s="1"/>
  <c r="F1592" i="2"/>
  <c r="H1592" i="2" s="1"/>
  <c r="F1593" i="2"/>
  <c r="H1593" i="2" s="1"/>
  <c r="F1594" i="2"/>
  <c r="H1594" i="2" s="1"/>
  <c r="F1595" i="2"/>
  <c r="H1595" i="2" s="1"/>
  <c r="F1596" i="2"/>
  <c r="H1596" i="2" s="1"/>
  <c r="F1597" i="2"/>
  <c r="H1597" i="2" s="1"/>
  <c r="F1598" i="2"/>
  <c r="H1598" i="2" s="1"/>
  <c r="F1599" i="2"/>
  <c r="H1599" i="2" s="1"/>
  <c r="F1600" i="2"/>
  <c r="H1600" i="2" s="1"/>
  <c r="F1601" i="2"/>
  <c r="H1601" i="2" s="1"/>
  <c r="F1602" i="2"/>
  <c r="H1602" i="2" s="1"/>
  <c r="F1603" i="2"/>
  <c r="H1603" i="2" s="1"/>
  <c r="F1604" i="2"/>
  <c r="H1604" i="2" s="1"/>
  <c r="F1605" i="2"/>
  <c r="H1605" i="2" s="1"/>
  <c r="F1606" i="2"/>
  <c r="H1606" i="2" s="1"/>
  <c r="F1607" i="2"/>
  <c r="H1607" i="2" s="1"/>
  <c r="F1608" i="2"/>
  <c r="H1608" i="2" s="1"/>
  <c r="F1609" i="2"/>
  <c r="H1609" i="2" s="1"/>
  <c r="F1610" i="2"/>
  <c r="H1610" i="2" s="1"/>
  <c r="F1611" i="2"/>
  <c r="H1611" i="2" s="1"/>
  <c r="F1612" i="2"/>
  <c r="H1612" i="2" s="1"/>
  <c r="F1613" i="2"/>
  <c r="H1613" i="2" s="1"/>
  <c r="F1614" i="2"/>
  <c r="H1614" i="2" s="1"/>
  <c r="F1615" i="2"/>
  <c r="H1615" i="2" s="1"/>
  <c r="F1616" i="2"/>
  <c r="H1616" i="2" s="1"/>
  <c r="F1617" i="2"/>
  <c r="H1617" i="2" s="1"/>
  <c r="F1618" i="2"/>
  <c r="H1618" i="2" s="1"/>
  <c r="F1619" i="2"/>
  <c r="H1619" i="2" s="1"/>
  <c r="F1620" i="2"/>
  <c r="H1620" i="2" s="1"/>
  <c r="F1621" i="2"/>
  <c r="H1621" i="2" s="1"/>
  <c r="F1622" i="2"/>
  <c r="H1622" i="2" s="1"/>
  <c r="F1623" i="2"/>
  <c r="H1623" i="2" s="1"/>
  <c r="F1624" i="2"/>
  <c r="H1624" i="2" s="1"/>
  <c r="F1625" i="2"/>
  <c r="H1625" i="2" s="1"/>
  <c r="F1626" i="2"/>
  <c r="H1626" i="2" s="1"/>
  <c r="F1627" i="2"/>
  <c r="H1627" i="2" s="1"/>
  <c r="F1628" i="2"/>
  <c r="H1628" i="2" s="1"/>
  <c r="F1629" i="2"/>
  <c r="H1629" i="2" s="1"/>
  <c r="F1630" i="2"/>
  <c r="H1630" i="2" s="1"/>
  <c r="F1631" i="2"/>
  <c r="H1631" i="2" s="1"/>
  <c r="F1632" i="2"/>
  <c r="H1632" i="2" s="1"/>
  <c r="F1633" i="2"/>
  <c r="H1633" i="2" s="1"/>
  <c r="F1634" i="2"/>
  <c r="H1634" i="2" s="1"/>
  <c r="F1635" i="2"/>
  <c r="H1635" i="2" s="1"/>
  <c r="F1636" i="2"/>
  <c r="H1636" i="2" s="1"/>
  <c r="F1637" i="2"/>
  <c r="H1637" i="2" s="1"/>
  <c r="F1638" i="2"/>
  <c r="H1638" i="2" s="1"/>
  <c r="F1639" i="2"/>
  <c r="H1639" i="2" s="1"/>
  <c r="F1640" i="2"/>
  <c r="H1640" i="2" s="1"/>
  <c r="F1641" i="2"/>
  <c r="H1641" i="2" s="1"/>
  <c r="F1642" i="2"/>
  <c r="H1642" i="2" s="1"/>
  <c r="F1643" i="2"/>
  <c r="H1643" i="2" s="1"/>
  <c r="F1644" i="2"/>
  <c r="H1644" i="2" s="1"/>
  <c r="F1645" i="2"/>
  <c r="H1645" i="2" s="1"/>
  <c r="F1646" i="2"/>
  <c r="H1646" i="2" s="1"/>
  <c r="F1647" i="2"/>
  <c r="H1647" i="2" s="1"/>
  <c r="F1648" i="2"/>
  <c r="H1648" i="2" s="1"/>
  <c r="F1649" i="2"/>
  <c r="H1649" i="2" s="1"/>
  <c r="F1650" i="2"/>
  <c r="H1650" i="2" s="1"/>
  <c r="F1651" i="2"/>
  <c r="H1651" i="2" s="1"/>
  <c r="F1652" i="2"/>
  <c r="H1652" i="2" s="1"/>
  <c r="F1653" i="2"/>
  <c r="H1653" i="2" s="1"/>
  <c r="F1654" i="2"/>
  <c r="H1654" i="2" s="1"/>
  <c r="F1655" i="2"/>
  <c r="H1655" i="2" s="1"/>
  <c r="F1656" i="2"/>
  <c r="H1656" i="2" s="1"/>
  <c r="F1657" i="2"/>
  <c r="H1657" i="2" s="1"/>
  <c r="F1658" i="2"/>
  <c r="H1658" i="2" s="1"/>
  <c r="F1659" i="2"/>
  <c r="H1659" i="2" s="1"/>
  <c r="F1660" i="2"/>
  <c r="H1660" i="2" s="1"/>
  <c r="F1661" i="2"/>
  <c r="H1661" i="2" s="1"/>
  <c r="F1662" i="2"/>
  <c r="H1662" i="2" s="1"/>
  <c r="F1663" i="2"/>
  <c r="H1663" i="2" s="1"/>
  <c r="F1664" i="2"/>
  <c r="H1664" i="2" s="1"/>
  <c r="F1665" i="2"/>
  <c r="H1665" i="2" s="1"/>
  <c r="F1666" i="2"/>
  <c r="H1666" i="2" s="1"/>
  <c r="F1667" i="2"/>
  <c r="H1667" i="2" s="1"/>
  <c r="F1668" i="2"/>
  <c r="H1668" i="2" s="1"/>
  <c r="F1669" i="2"/>
  <c r="H1669" i="2" s="1"/>
  <c r="F1670" i="2"/>
  <c r="H1670" i="2" s="1"/>
  <c r="F1671" i="2"/>
  <c r="H1671" i="2" s="1"/>
  <c r="F1672" i="2"/>
  <c r="H1672" i="2" s="1"/>
  <c r="F1673" i="2"/>
  <c r="H1673" i="2" s="1"/>
  <c r="F1674" i="2"/>
  <c r="H1674" i="2" s="1"/>
  <c r="F1675" i="2"/>
  <c r="H1675" i="2" s="1"/>
  <c r="F1676" i="2"/>
  <c r="H1676" i="2" s="1"/>
  <c r="F1677" i="2"/>
  <c r="H1677" i="2" s="1"/>
  <c r="F1678" i="2"/>
  <c r="H1678" i="2" s="1"/>
  <c r="F1679" i="2"/>
  <c r="H1679" i="2" s="1"/>
  <c r="F1680" i="2"/>
  <c r="H1680" i="2" s="1"/>
  <c r="F1681" i="2"/>
  <c r="H1681" i="2" s="1"/>
  <c r="F1682" i="2"/>
  <c r="H1682" i="2" s="1"/>
  <c r="F1683" i="2"/>
  <c r="H1683" i="2" s="1"/>
  <c r="F1684" i="2"/>
  <c r="H1684" i="2" s="1"/>
  <c r="F1685" i="2"/>
  <c r="H1685" i="2" s="1"/>
  <c r="F1686" i="2"/>
  <c r="H1686" i="2" s="1"/>
  <c r="F1687" i="2"/>
  <c r="H1687" i="2" s="1"/>
  <c r="F1688" i="2"/>
  <c r="H1688" i="2" s="1"/>
  <c r="F1689" i="2"/>
  <c r="H1689" i="2" s="1"/>
  <c r="F1690" i="2"/>
  <c r="H1690" i="2" s="1"/>
  <c r="F1691" i="2"/>
  <c r="H1691" i="2" s="1"/>
  <c r="F1692" i="2"/>
  <c r="H1692" i="2" s="1"/>
  <c r="F1693" i="2"/>
  <c r="H1693" i="2" s="1"/>
  <c r="F1694" i="2"/>
  <c r="H1694" i="2" s="1"/>
  <c r="F1695" i="2"/>
  <c r="H1695" i="2" s="1"/>
  <c r="F1696" i="2"/>
  <c r="H1696" i="2" s="1"/>
  <c r="F1697" i="2"/>
  <c r="H1697" i="2" s="1"/>
  <c r="F1698" i="2"/>
  <c r="H1698" i="2" s="1"/>
  <c r="F1699" i="2"/>
  <c r="H1699" i="2" s="1"/>
  <c r="F1700" i="2"/>
  <c r="H1700" i="2" s="1"/>
  <c r="F1701" i="2"/>
  <c r="H1701" i="2" s="1"/>
  <c r="F1702" i="2"/>
  <c r="H1702" i="2" s="1"/>
  <c r="F1703" i="2"/>
  <c r="H1703" i="2" s="1"/>
  <c r="F1704" i="2"/>
  <c r="H1704" i="2" s="1"/>
  <c r="F1705" i="2"/>
  <c r="H1705" i="2" s="1"/>
  <c r="F1706" i="2"/>
  <c r="H1706" i="2" s="1"/>
  <c r="F1707" i="2"/>
  <c r="H1707" i="2" s="1"/>
  <c r="F1708" i="2"/>
  <c r="H1708" i="2" s="1"/>
  <c r="F1709" i="2"/>
  <c r="H1709" i="2" s="1"/>
  <c r="F1710" i="2"/>
  <c r="H1710" i="2" s="1"/>
  <c r="F1711" i="2"/>
  <c r="H1711" i="2" s="1"/>
  <c r="F1712" i="2"/>
  <c r="H1712" i="2" s="1"/>
  <c r="F1713" i="2"/>
  <c r="H1713" i="2" s="1"/>
  <c r="F1714" i="2"/>
  <c r="H1714" i="2" s="1"/>
  <c r="F1715" i="2"/>
  <c r="H1715" i="2" s="1"/>
  <c r="F1716" i="2"/>
  <c r="H1716" i="2" s="1"/>
  <c r="F1717" i="2"/>
  <c r="H1717" i="2" s="1"/>
  <c r="F1718" i="2"/>
  <c r="H1718" i="2" s="1"/>
  <c r="F1719" i="2"/>
  <c r="H1719" i="2" s="1"/>
  <c r="F1720" i="2"/>
  <c r="H1720" i="2" s="1"/>
  <c r="F1721" i="2"/>
  <c r="H1721" i="2" s="1"/>
  <c r="F1722" i="2"/>
  <c r="H1722" i="2" s="1"/>
  <c r="F1723" i="2"/>
  <c r="H1723" i="2" s="1"/>
  <c r="F1724" i="2"/>
  <c r="H1724" i="2" s="1"/>
  <c r="F1725" i="2"/>
  <c r="H1725" i="2" s="1"/>
  <c r="F1726" i="2"/>
  <c r="H1726" i="2" s="1"/>
  <c r="F1727" i="2"/>
  <c r="H1727" i="2" s="1"/>
  <c r="F1728" i="2"/>
  <c r="H1728" i="2" s="1"/>
  <c r="F1729" i="2"/>
  <c r="H1729" i="2" s="1"/>
  <c r="F1730" i="2"/>
  <c r="H1730" i="2" s="1"/>
  <c r="F1731" i="2"/>
  <c r="H1731" i="2" s="1"/>
  <c r="F1732" i="2"/>
  <c r="H1732" i="2" s="1"/>
  <c r="F1733" i="2"/>
  <c r="H1733" i="2" s="1"/>
  <c r="F1734" i="2"/>
  <c r="H1734" i="2" s="1"/>
  <c r="F1735" i="2"/>
  <c r="H1735" i="2" s="1"/>
  <c r="F1736" i="2"/>
  <c r="H1736" i="2" s="1"/>
  <c r="F1737" i="2"/>
  <c r="H1737" i="2" s="1"/>
  <c r="F1738" i="2"/>
  <c r="H1738" i="2" s="1"/>
  <c r="F1739" i="2"/>
  <c r="H1739" i="2" s="1"/>
  <c r="F1740" i="2"/>
  <c r="H1740" i="2" s="1"/>
  <c r="F1741" i="2"/>
  <c r="H1741" i="2" s="1"/>
  <c r="F1742" i="2"/>
  <c r="H1742" i="2" s="1"/>
  <c r="F1743" i="2"/>
  <c r="H1743" i="2" s="1"/>
  <c r="F1744" i="2"/>
  <c r="H1744" i="2" s="1"/>
  <c r="F1745" i="2"/>
  <c r="H1745" i="2" s="1"/>
  <c r="F1746" i="2"/>
  <c r="H1746" i="2" s="1"/>
  <c r="F1747" i="2"/>
  <c r="H1747" i="2" s="1"/>
  <c r="F1748" i="2"/>
  <c r="H1748" i="2" s="1"/>
  <c r="F1749" i="2"/>
  <c r="H1749" i="2" s="1"/>
  <c r="F1750" i="2"/>
  <c r="H1750" i="2" s="1"/>
  <c r="F1751" i="2"/>
  <c r="H1751" i="2" s="1"/>
  <c r="F1752" i="2"/>
  <c r="H1752" i="2" s="1"/>
  <c r="F1753" i="2"/>
  <c r="H1753" i="2" s="1"/>
  <c r="F1754" i="2"/>
  <c r="H1754" i="2" s="1"/>
  <c r="F1755" i="2"/>
  <c r="H1755" i="2" s="1"/>
  <c r="F1756" i="2"/>
  <c r="H1756" i="2" s="1"/>
  <c r="F1757" i="2"/>
  <c r="H1757" i="2" s="1"/>
  <c r="F1758" i="2"/>
  <c r="H1758" i="2" s="1"/>
  <c r="F1759" i="2"/>
  <c r="H1759" i="2" s="1"/>
  <c r="F1760" i="2"/>
  <c r="H1760" i="2" s="1"/>
  <c r="F1761" i="2"/>
  <c r="H1761" i="2" s="1"/>
  <c r="F1762" i="2"/>
  <c r="H1762" i="2" s="1"/>
  <c r="F1763" i="2"/>
  <c r="H1763" i="2" s="1"/>
  <c r="F1764" i="2"/>
  <c r="H1764" i="2" s="1"/>
  <c r="F1765" i="2"/>
  <c r="H1765" i="2" s="1"/>
  <c r="F1766" i="2"/>
  <c r="H1766" i="2" s="1"/>
  <c r="F1767" i="2"/>
  <c r="H1767" i="2" s="1"/>
  <c r="F1768" i="2"/>
  <c r="H1768" i="2" s="1"/>
  <c r="F1769" i="2"/>
  <c r="H1769" i="2" s="1"/>
  <c r="F1770" i="2"/>
  <c r="H1770" i="2" s="1"/>
  <c r="F1771" i="2"/>
  <c r="H1771" i="2" s="1"/>
  <c r="F1772" i="2"/>
  <c r="H1772" i="2" s="1"/>
  <c r="F1773" i="2"/>
  <c r="H1773" i="2" s="1"/>
  <c r="F1774" i="2"/>
  <c r="H1774" i="2" s="1"/>
  <c r="F1775" i="2"/>
  <c r="H1775" i="2" s="1"/>
  <c r="F1776" i="2"/>
  <c r="H1776" i="2" s="1"/>
  <c r="F1777" i="2"/>
  <c r="H1777" i="2" s="1"/>
  <c r="F1778" i="2"/>
  <c r="H1778" i="2" s="1"/>
  <c r="F1779" i="2"/>
  <c r="H1779" i="2" s="1"/>
  <c r="F1780" i="2"/>
  <c r="H1780" i="2" s="1"/>
  <c r="F1781" i="2"/>
  <c r="H1781" i="2" s="1"/>
  <c r="F1782" i="2"/>
  <c r="H1782" i="2" s="1"/>
  <c r="F1783" i="2"/>
  <c r="H1783" i="2" s="1"/>
  <c r="F1784" i="2"/>
  <c r="H1784" i="2" s="1"/>
  <c r="F1785" i="2"/>
  <c r="H1785" i="2" s="1"/>
  <c r="F1786" i="2"/>
  <c r="H1786" i="2" s="1"/>
  <c r="F1787" i="2"/>
  <c r="H1787" i="2" s="1"/>
  <c r="F1788" i="2"/>
  <c r="H1788" i="2" s="1"/>
  <c r="F1789" i="2"/>
  <c r="H1789" i="2" s="1"/>
  <c r="F1790" i="2"/>
  <c r="H1790" i="2" s="1"/>
  <c r="F1791" i="2"/>
  <c r="H1791" i="2" s="1"/>
  <c r="F1792" i="2"/>
  <c r="H1792" i="2" s="1"/>
  <c r="F1793" i="2"/>
  <c r="H1793" i="2" s="1"/>
  <c r="F1794" i="2"/>
  <c r="H1794" i="2" s="1"/>
  <c r="F1795" i="2"/>
  <c r="H1795" i="2" s="1"/>
  <c r="F1796" i="2"/>
  <c r="H1796" i="2" s="1"/>
  <c r="F1797" i="2"/>
  <c r="H1797" i="2" s="1"/>
  <c r="F1798" i="2"/>
  <c r="H1798" i="2" s="1"/>
  <c r="F1799" i="2"/>
  <c r="H1799" i="2" s="1"/>
  <c r="F1800" i="2"/>
  <c r="H1800" i="2" s="1"/>
  <c r="F1801" i="2"/>
  <c r="H1801" i="2" s="1"/>
  <c r="F1802" i="2"/>
  <c r="H1802" i="2" s="1"/>
  <c r="F1803" i="2"/>
  <c r="H1803" i="2" s="1"/>
  <c r="F1804" i="2"/>
  <c r="H1804" i="2" s="1"/>
  <c r="F1805" i="2"/>
  <c r="H1805" i="2" s="1"/>
  <c r="F1806" i="2"/>
  <c r="H1806" i="2" s="1"/>
  <c r="F1807" i="2"/>
  <c r="H1807" i="2" s="1"/>
  <c r="F1808" i="2"/>
  <c r="H1808" i="2" s="1"/>
  <c r="F1809" i="2"/>
  <c r="H1809" i="2" s="1"/>
  <c r="F1810" i="2"/>
  <c r="H1810" i="2" s="1"/>
  <c r="F1811" i="2"/>
  <c r="H1811" i="2" s="1"/>
  <c r="F1812" i="2"/>
  <c r="H1812" i="2" s="1"/>
  <c r="F1813" i="2"/>
  <c r="H1813" i="2" s="1"/>
  <c r="F1814" i="2"/>
  <c r="H1814" i="2" s="1"/>
  <c r="F1815" i="2"/>
  <c r="H1815" i="2" s="1"/>
  <c r="F1816" i="2"/>
  <c r="H1816" i="2" s="1"/>
  <c r="F1817" i="2"/>
  <c r="H1817" i="2" s="1"/>
  <c r="F1818" i="2"/>
  <c r="H1818" i="2" s="1"/>
  <c r="F1819" i="2"/>
  <c r="H1819" i="2" s="1"/>
  <c r="F1820" i="2"/>
  <c r="H1820" i="2" s="1"/>
  <c r="F1821" i="2"/>
  <c r="H1821" i="2" s="1"/>
  <c r="F1822" i="2"/>
  <c r="H1822" i="2" s="1"/>
  <c r="F1823" i="2"/>
  <c r="H1823" i="2" s="1"/>
  <c r="F1824" i="2"/>
  <c r="H1824" i="2" s="1"/>
  <c r="F1825" i="2"/>
  <c r="H1825" i="2" s="1"/>
  <c r="F1826" i="2"/>
  <c r="H1826" i="2" s="1"/>
  <c r="F1827" i="2"/>
  <c r="H1827" i="2" s="1"/>
  <c r="F1828" i="2"/>
  <c r="H1828" i="2" s="1"/>
  <c r="F1829" i="2"/>
  <c r="H1829" i="2" s="1"/>
  <c r="F1830" i="2"/>
  <c r="H1830" i="2" s="1"/>
  <c r="F1831" i="2"/>
  <c r="H1831" i="2" s="1"/>
  <c r="F1832" i="2"/>
  <c r="H1832" i="2" s="1"/>
  <c r="F1833" i="2"/>
  <c r="H1833" i="2" s="1"/>
  <c r="F1834" i="2"/>
  <c r="H1834" i="2" s="1"/>
  <c r="F1835" i="2"/>
  <c r="H1835" i="2" s="1"/>
  <c r="F1836" i="2"/>
  <c r="H1836" i="2" s="1"/>
  <c r="F1837" i="2"/>
  <c r="H1837" i="2" s="1"/>
  <c r="F1838" i="2"/>
  <c r="H1838" i="2" s="1"/>
  <c r="F1839" i="2"/>
  <c r="H1839" i="2" s="1"/>
  <c r="F1840" i="2"/>
  <c r="H1840" i="2" s="1"/>
  <c r="F1841" i="2"/>
  <c r="H1841" i="2" s="1"/>
  <c r="F1842" i="2"/>
  <c r="H1842" i="2" s="1"/>
  <c r="F1843" i="2"/>
  <c r="H1843" i="2" s="1"/>
  <c r="F1844" i="2"/>
  <c r="H1844" i="2" s="1"/>
  <c r="F1845" i="2"/>
  <c r="H1845" i="2" s="1"/>
  <c r="F1846" i="2"/>
  <c r="H1846" i="2" s="1"/>
  <c r="F1847" i="2"/>
  <c r="H1847" i="2" s="1"/>
  <c r="F1848" i="2"/>
  <c r="H1848" i="2" s="1"/>
  <c r="F1849" i="2"/>
  <c r="H1849" i="2" s="1"/>
  <c r="F1850" i="2"/>
  <c r="H1850" i="2" s="1"/>
  <c r="F1851" i="2"/>
  <c r="H1851" i="2" s="1"/>
  <c r="F1852" i="2"/>
  <c r="H1852" i="2" s="1"/>
  <c r="F1853" i="2"/>
  <c r="H1853" i="2" s="1"/>
  <c r="F1854" i="2"/>
  <c r="H1854" i="2" s="1"/>
  <c r="F1855" i="2"/>
  <c r="H1855" i="2" s="1"/>
  <c r="F1856" i="2"/>
  <c r="H1856" i="2" s="1"/>
  <c r="F1857" i="2"/>
  <c r="H1857" i="2" s="1"/>
  <c r="F1858" i="2"/>
  <c r="H1858" i="2" s="1"/>
  <c r="F1859" i="2"/>
  <c r="H1859" i="2" s="1"/>
  <c r="F1860" i="2"/>
  <c r="H1860" i="2" s="1"/>
  <c r="F1861" i="2"/>
  <c r="H1861" i="2" s="1"/>
  <c r="F1862" i="2"/>
  <c r="H1862" i="2" s="1"/>
  <c r="F1863" i="2"/>
  <c r="H1863" i="2" s="1"/>
  <c r="F1864" i="2"/>
  <c r="H1864" i="2" s="1"/>
  <c r="F1865" i="2"/>
  <c r="H1865" i="2" s="1"/>
  <c r="F1866" i="2"/>
  <c r="H1866" i="2" s="1"/>
  <c r="F1867" i="2"/>
  <c r="H1867" i="2" s="1"/>
  <c r="F1868" i="2"/>
  <c r="H1868" i="2" s="1"/>
  <c r="F1869" i="2"/>
  <c r="H1869" i="2" s="1"/>
  <c r="F1870" i="2"/>
  <c r="H1870" i="2" s="1"/>
  <c r="F1871" i="2"/>
  <c r="H1871" i="2" s="1"/>
  <c r="F1872" i="2"/>
  <c r="H1872" i="2" s="1"/>
  <c r="F1873" i="2"/>
  <c r="H1873" i="2" s="1"/>
  <c r="F1874" i="2"/>
  <c r="H1874" i="2" s="1"/>
  <c r="F1875" i="2"/>
  <c r="H1875" i="2" s="1"/>
  <c r="F1876" i="2"/>
  <c r="H1876" i="2" s="1"/>
  <c r="F1877" i="2"/>
  <c r="H1877" i="2" s="1"/>
  <c r="F1878" i="2"/>
  <c r="H1878" i="2" s="1"/>
  <c r="F1879" i="2"/>
  <c r="H1879" i="2" s="1"/>
  <c r="F1880" i="2"/>
  <c r="H1880" i="2" s="1"/>
  <c r="F1881" i="2"/>
  <c r="H1881" i="2" s="1"/>
  <c r="F1882" i="2"/>
  <c r="H1882" i="2" s="1"/>
  <c r="F1883" i="2"/>
  <c r="H1883" i="2" s="1"/>
  <c r="F1884" i="2"/>
  <c r="H1884" i="2" s="1"/>
  <c r="F1885" i="2"/>
  <c r="H1885" i="2" s="1"/>
  <c r="F1886" i="2"/>
  <c r="H1886" i="2" s="1"/>
  <c r="F1887" i="2"/>
  <c r="H1887" i="2" s="1"/>
  <c r="F1888" i="2"/>
  <c r="H1888" i="2" s="1"/>
  <c r="F1889" i="2"/>
  <c r="H1889" i="2" s="1"/>
  <c r="F1890" i="2"/>
  <c r="H1890" i="2" s="1"/>
  <c r="F1891" i="2"/>
  <c r="H1891" i="2" s="1"/>
  <c r="F1892" i="2"/>
  <c r="H1892" i="2" s="1"/>
  <c r="F1893" i="2"/>
  <c r="H1893" i="2" s="1"/>
  <c r="F1894" i="2"/>
  <c r="H1894" i="2" s="1"/>
  <c r="F1895" i="2"/>
  <c r="H1895" i="2" s="1"/>
  <c r="F1896" i="2"/>
  <c r="H1896" i="2" s="1"/>
  <c r="F1897" i="2"/>
  <c r="H1897" i="2" s="1"/>
  <c r="F1898" i="2"/>
  <c r="H1898" i="2" s="1"/>
  <c r="F1899" i="2"/>
  <c r="H1899" i="2" s="1"/>
  <c r="F1900" i="2"/>
  <c r="H1900" i="2" s="1"/>
  <c r="F1901" i="2"/>
  <c r="H1901" i="2" s="1"/>
  <c r="F1902" i="2"/>
  <c r="H1902" i="2" s="1"/>
  <c r="F1903" i="2"/>
  <c r="H1903" i="2" s="1"/>
  <c r="F1904" i="2"/>
  <c r="H1904" i="2" s="1"/>
  <c r="F1905" i="2"/>
  <c r="H1905" i="2" s="1"/>
  <c r="F1906" i="2"/>
  <c r="H1906" i="2" s="1"/>
  <c r="F1907" i="2"/>
  <c r="H1907" i="2" s="1"/>
  <c r="F1908" i="2"/>
  <c r="H1908" i="2" s="1"/>
  <c r="F1909" i="2"/>
  <c r="H1909" i="2" s="1"/>
  <c r="F1910" i="2"/>
  <c r="H1910" i="2" s="1"/>
  <c r="F1911" i="2"/>
  <c r="H1911" i="2" s="1"/>
  <c r="F1912" i="2"/>
  <c r="H1912" i="2" s="1"/>
  <c r="F1913" i="2"/>
  <c r="H1913" i="2" s="1"/>
  <c r="F1914" i="2"/>
  <c r="H1914" i="2" s="1"/>
  <c r="F1915" i="2"/>
  <c r="H1915" i="2" s="1"/>
  <c r="F1916" i="2"/>
  <c r="H1916" i="2" s="1"/>
  <c r="F1917" i="2"/>
  <c r="H1917" i="2" s="1"/>
  <c r="F1918" i="2"/>
  <c r="H1918" i="2" s="1"/>
  <c r="F1919" i="2"/>
  <c r="H1919" i="2" s="1"/>
  <c r="F1920" i="2"/>
  <c r="H1920" i="2" s="1"/>
  <c r="F1921" i="2"/>
  <c r="H1921" i="2" s="1"/>
  <c r="F1922" i="2"/>
  <c r="H1922" i="2" s="1"/>
  <c r="F1923" i="2"/>
  <c r="H1923" i="2" s="1"/>
  <c r="F1924" i="2"/>
  <c r="H1924" i="2" s="1"/>
  <c r="F1925" i="2"/>
  <c r="H1925" i="2" s="1"/>
  <c r="F1926" i="2"/>
  <c r="H1926" i="2" s="1"/>
  <c r="F1927" i="2"/>
  <c r="H1927" i="2" s="1"/>
  <c r="F1928" i="2"/>
  <c r="H1928" i="2" s="1"/>
  <c r="F1929" i="2"/>
  <c r="H1929" i="2" s="1"/>
  <c r="F1930" i="2"/>
  <c r="H1930" i="2" s="1"/>
  <c r="F1931" i="2"/>
  <c r="H1931" i="2" s="1"/>
  <c r="F1932" i="2"/>
  <c r="H1932" i="2" s="1"/>
  <c r="F1933" i="2"/>
  <c r="H1933" i="2" s="1"/>
  <c r="F1934" i="2"/>
  <c r="H1934" i="2" s="1"/>
  <c r="F1935" i="2"/>
  <c r="H1935" i="2" s="1"/>
  <c r="F1936" i="2"/>
  <c r="H1936" i="2" s="1"/>
  <c r="F1937" i="2"/>
  <c r="H1937" i="2" s="1"/>
  <c r="F1938" i="2"/>
  <c r="H1938" i="2" s="1"/>
  <c r="F1939" i="2"/>
  <c r="H1939" i="2" s="1"/>
  <c r="F1940" i="2"/>
  <c r="H1940" i="2" s="1"/>
  <c r="F1941" i="2"/>
  <c r="H1941" i="2" s="1"/>
  <c r="F1942" i="2"/>
  <c r="H1942" i="2" s="1"/>
  <c r="F1943" i="2"/>
  <c r="H1943" i="2" s="1"/>
  <c r="F1944" i="2"/>
  <c r="H1944" i="2" s="1"/>
  <c r="F1945" i="2"/>
  <c r="H1945" i="2" s="1"/>
  <c r="F1946" i="2"/>
  <c r="H1946" i="2" s="1"/>
  <c r="F1947" i="2"/>
  <c r="H1947" i="2" s="1"/>
  <c r="F1948" i="2"/>
  <c r="H1948" i="2" s="1"/>
  <c r="F1949" i="2"/>
  <c r="H1949" i="2" s="1"/>
  <c r="F1950" i="2"/>
  <c r="H1950" i="2" s="1"/>
  <c r="F1951" i="2"/>
  <c r="H1951" i="2" s="1"/>
  <c r="F1952" i="2"/>
  <c r="H1952" i="2" s="1"/>
  <c r="F1953" i="2"/>
  <c r="H1953" i="2" s="1"/>
  <c r="F1954" i="2"/>
  <c r="H1954" i="2" s="1"/>
  <c r="F1955" i="2"/>
  <c r="H1955" i="2" s="1"/>
  <c r="F1956" i="2"/>
  <c r="H1956" i="2" s="1"/>
  <c r="F1957" i="2"/>
  <c r="H1957" i="2" s="1"/>
  <c r="F1958" i="2"/>
  <c r="H1958" i="2" s="1"/>
  <c r="F1959" i="2"/>
  <c r="H1959" i="2" s="1"/>
  <c r="F1960" i="2"/>
  <c r="H1960" i="2" s="1"/>
  <c r="F1961" i="2"/>
  <c r="H1961" i="2" s="1"/>
  <c r="F1962" i="2"/>
  <c r="H1962" i="2" s="1"/>
  <c r="F1963" i="2"/>
  <c r="H1963" i="2" s="1"/>
  <c r="F1964" i="2"/>
  <c r="H1964" i="2" s="1"/>
  <c r="F1965" i="2"/>
  <c r="H1965" i="2" s="1"/>
  <c r="F1966" i="2"/>
  <c r="H1966" i="2" s="1"/>
  <c r="F1967" i="2"/>
  <c r="H1967" i="2" s="1"/>
  <c r="F1968" i="2"/>
  <c r="H1968" i="2" s="1"/>
  <c r="F1969" i="2"/>
  <c r="H1969" i="2" s="1"/>
  <c r="F1970" i="2"/>
  <c r="H1970" i="2" s="1"/>
  <c r="F1971" i="2"/>
  <c r="H1971" i="2" s="1"/>
  <c r="F1972" i="2"/>
  <c r="H1972" i="2" s="1"/>
  <c r="F1973" i="2"/>
  <c r="H1973" i="2" s="1"/>
  <c r="F1974" i="2"/>
  <c r="H1974" i="2" s="1"/>
  <c r="F1975" i="2"/>
  <c r="H1975" i="2" s="1"/>
  <c r="F1976" i="2"/>
  <c r="H1976" i="2" s="1"/>
  <c r="F1977" i="2"/>
  <c r="H1977" i="2" s="1"/>
  <c r="F1978" i="2"/>
  <c r="H1978" i="2" s="1"/>
  <c r="F1979" i="2"/>
  <c r="H1979" i="2" s="1"/>
  <c r="F1980" i="2"/>
  <c r="H1980" i="2" s="1"/>
  <c r="F1981" i="2"/>
  <c r="H1981" i="2" s="1"/>
  <c r="F1982" i="2"/>
  <c r="H1982" i="2" s="1"/>
  <c r="F1983" i="2"/>
  <c r="H1983" i="2" s="1"/>
  <c r="F1984" i="2"/>
  <c r="H1984" i="2" s="1"/>
  <c r="F1985" i="2"/>
  <c r="H1985" i="2" s="1"/>
  <c r="F1986" i="2"/>
  <c r="H1986" i="2" s="1"/>
  <c r="F1987" i="2"/>
  <c r="H1987" i="2" s="1"/>
  <c r="F1988" i="2"/>
  <c r="H1988" i="2" s="1"/>
  <c r="F1989" i="2"/>
  <c r="H1989" i="2" s="1"/>
  <c r="F1990" i="2"/>
  <c r="H1990" i="2" s="1"/>
  <c r="F1991" i="2"/>
  <c r="H1991" i="2" s="1"/>
  <c r="F1992" i="2"/>
  <c r="H1992" i="2" s="1"/>
  <c r="F1993" i="2"/>
  <c r="H1993" i="2" s="1"/>
  <c r="F1994" i="2"/>
  <c r="H1994" i="2" s="1"/>
  <c r="F1995" i="2"/>
  <c r="H1995" i="2" s="1"/>
  <c r="F1996" i="2"/>
  <c r="H1996" i="2" s="1"/>
  <c r="F1997" i="2"/>
  <c r="H1997" i="2" s="1"/>
  <c r="F1998" i="2"/>
  <c r="H1998" i="2" s="1"/>
  <c r="F1999" i="2"/>
  <c r="H1999" i="2" s="1"/>
  <c r="F2000" i="2"/>
  <c r="H2000" i="2" s="1"/>
  <c r="F2001" i="2"/>
  <c r="H2001" i="2" s="1"/>
  <c r="F2002" i="2"/>
  <c r="H2002" i="2" s="1"/>
  <c r="F2003" i="2"/>
  <c r="H2003" i="2" s="1"/>
  <c r="F2004" i="2"/>
  <c r="H2004" i="2" s="1"/>
  <c r="F2005" i="2"/>
  <c r="H2005" i="2" s="1"/>
  <c r="F2006" i="2"/>
  <c r="H2006" i="2" s="1"/>
  <c r="F2007" i="2"/>
  <c r="H2007" i="2" s="1"/>
  <c r="F2008" i="2"/>
  <c r="H2008" i="2" s="1"/>
  <c r="F2009" i="2"/>
  <c r="H2009" i="2" s="1"/>
  <c r="F2010" i="2"/>
  <c r="H2010" i="2" s="1"/>
  <c r="F2011" i="2"/>
  <c r="H2011" i="2" s="1"/>
  <c r="F2012" i="2"/>
  <c r="H2012" i="2" s="1"/>
  <c r="F2013" i="2"/>
  <c r="H2013" i="2" s="1"/>
  <c r="F2014" i="2"/>
  <c r="H2014" i="2" s="1"/>
  <c r="F2015" i="2"/>
  <c r="H2015" i="2" s="1"/>
  <c r="F2016" i="2"/>
  <c r="H2016" i="2" s="1"/>
  <c r="F2017" i="2"/>
  <c r="H2017" i="2" s="1"/>
  <c r="F2018" i="2"/>
  <c r="H2018" i="2" s="1"/>
  <c r="F2019" i="2"/>
  <c r="H2019" i="2" s="1"/>
  <c r="F2020" i="2"/>
  <c r="H2020" i="2" s="1"/>
  <c r="F2021" i="2"/>
  <c r="H2021" i="2" s="1"/>
  <c r="F2022" i="2"/>
  <c r="H2022" i="2" s="1"/>
  <c r="F2023" i="2"/>
  <c r="H2023" i="2" s="1"/>
  <c r="F2024" i="2"/>
  <c r="H2024" i="2" s="1"/>
  <c r="F2025" i="2"/>
  <c r="H2025" i="2" s="1"/>
  <c r="F2026" i="2"/>
  <c r="H2026" i="2" s="1"/>
  <c r="F2027" i="2"/>
  <c r="H2027" i="2" s="1"/>
  <c r="F2028" i="2"/>
  <c r="H2028" i="2" s="1"/>
  <c r="F2029" i="2"/>
  <c r="H2029" i="2" s="1"/>
  <c r="F2030" i="2"/>
  <c r="H2030" i="2" s="1"/>
  <c r="F2031" i="2"/>
  <c r="H2031" i="2" s="1"/>
  <c r="F2032" i="2"/>
  <c r="H2032" i="2" s="1"/>
  <c r="F2033" i="2"/>
  <c r="H2033" i="2" s="1"/>
  <c r="F2034" i="2"/>
  <c r="H2034" i="2" s="1"/>
  <c r="F2035" i="2"/>
  <c r="H2035" i="2" s="1"/>
  <c r="F2036" i="2"/>
  <c r="H2036" i="2" s="1"/>
  <c r="F2037" i="2"/>
  <c r="H2037" i="2" s="1"/>
  <c r="F2038" i="2"/>
  <c r="H2038" i="2" s="1"/>
  <c r="F2039" i="2"/>
  <c r="H2039" i="2" s="1"/>
  <c r="F2040" i="2"/>
  <c r="H2040" i="2" s="1"/>
  <c r="F2041" i="2"/>
  <c r="H2041" i="2" s="1"/>
  <c r="F2042" i="2"/>
  <c r="H2042" i="2" s="1"/>
  <c r="F2043" i="2"/>
  <c r="H2043" i="2" s="1"/>
  <c r="F2044" i="2"/>
  <c r="H2044" i="2" s="1"/>
  <c r="F2045" i="2"/>
  <c r="H2045" i="2" s="1"/>
  <c r="F2046" i="2"/>
  <c r="H2046" i="2" s="1"/>
  <c r="F2047" i="2"/>
  <c r="H2047" i="2" s="1"/>
  <c r="F2048" i="2"/>
  <c r="H2048" i="2" s="1"/>
  <c r="F2049" i="2"/>
  <c r="H2049" i="2" s="1"/>
  <c r="F2050" i="2"/>
  <c r="H2050" i="2" s="1"/>
  <c r="F2051" i="2"/>
  <c r="H2051" i="2" s="1"/>
  <c r="F2052" i="2"/>
  <c r="H2052" i="2" s="1"/>
  <c r="F2053" i="2"/>
  <c r="H2053" i="2" s="1"/>
  <c r="F2054" i="2"/>
  <c r="H2054" i="2" s="1"/>
  <c r="F2055" i="2"/>
  <c r="H2055" i="2" s="1"/>
  <c r="F2056" i="2"/>
  <c r="H2056" i="2" s="1"/>
  <c r="F2057" i="2"/>
  <c r="H2057" i="2" s="1"/>
  <c r="F2058" i="2"/>
  <c r="H2058" i="2" s="1"/>
  <c r="F2059" i="2"/>
  <c r="H2059" i="2" s="1"/>
  <c r="F2060" i="2"/>
  <c r="H2060" i="2" s="1"/>
  <c r="F2061" i="2"/>
  <c r="H2061" i="2" s="1"/>
  <c r="F2062" i="2"/>
  <c r="H2062" i="2" s="1"/>
  <c r="F2063" i="2"/>
  <c r="H2063" i="2" s="1"/>
  <c r="F2064" i="2"/>
  <c r="H2064" i="2" s="1"/>
  <c r="F2065" i="2"/>
  <c r="H2065" i="2" s="1"/>
  <c r="F2066" i="2"/>
  <c r="H2066" i="2" s="1"/>
  <c r="F2067" i="2"/>
  <c r="H2067" i="2" s="1"/>
  <c r="F2068" i="2"/>
  <c r="H2068" i="2" s="1"/>
  <c r="F2069" i="2"/>
  <c r="H2069" i="2" s="1"/>
  <c r="F2070" i="2"/>
  <c r="H2070" i="2" s="1"/>
  <c r="F2071" i="2"/>
  <c r="H2071" i="2" s="1"/>
  <c r="F2072" i="2"/>
  <c r="H2072" i="2" s="1"/>
  <c r="F2073" i="2"/>
  <c r="H2073" i="2" s="1"/>
  <c r="F2074" i="2"/>
  <c r="H2074" i="2" s="1"/>
  <c r="F2075" i="2"/>
  <c r="H2075" i="2" s="1"/>
  <c r="F2076" i="2"/>
  <c r="H2076" i="2" s="1"/>
  <c r="F2077" i="2"/>
  <c r="H2077" i="2" s="1"/>
  <c r="F2078" i="2"/>
  <c r="H2078" i="2" s="1"/>
  <c r="F2079" i="2"/>
  <c r="H2079" i="2" s="1"/>
  <c r="F2080" i="2"/>
  <c r="H2080" i="2" s="1"/>
  <c r="F2081" i="2"/>
  <c r="H2081" i="2" s="1"/>
  <c r="F2082" i="2"/>
  <c r="H2082" i="2" s="1"/>
  <c r="F2083" i="2"/>
  <c r="H2083" i="2" s="1"/>
  <c r="F2084" i="2"/>
  <c r="H2084" i="2" s="1"/>
  <c r="F2085" i="2"/>
  <c r="H2085" i="2" s="1"/>
  <c r="F2086" i="2"/>
  <c r="H2086" i="2" s="1"/>
  <c r="F2087" i="2"/>
  <c r="H2087" i="2" s="1"/>
  <c r="F2088" i="2"/>
  <c r="H2088" i="2" s="1"/>
  <c r="F2089" i="2"/>
  <c r="H2089" i="2" s="1"/>
  <c r="F2090" i="2"/>
  <c r="H2090" i="2" s="1"/>
  <c r="F2091" i="2"/>
  <c r="H2091" i="2" s="1"/>
  <c r="F2092" i="2"/>
  <c r="H2092" i="2" s="1"/>
  <c r="F2093" i="2"/>
  <c r="H2093" i="2" s="1"/>
  <c r="F2094" i="2"/>
  <c r="H2094" i="2" s="1"/>
  <c r="F2095" i="2"/>
  <c r="H2095" i="2" s="1"/>
  <c r="F2096" i="2"/>
  <c r="H2096" i="2" s="1"/>
  <c r="F2097" i="2"/>
  <c r="H2097" i="2" s="1"/>
  <c r="F2098" i="2"/>
  <c r="H2098" i="2" s="1"/>
  <c r="F2099" i="2"/>
  <c r="H2099" i="2" s="1"/>
  <c r="F2100" i="2"/>
  <c r="H2100" i="2" s="1"/>
  <c r="F2101" i="2"/>
  <c r="H2101" i="2" s="1"/>
  <c r="F2102" i="2"/>
  <c r="H2102" i="2" s="1"/>
  <c r="F2103" i="2"/>
  <c r="H2103" i="2" s="1"/>
  <c r="F2104" i="2"/>
  <c r="H2104" i="2" s="1"/>
  <c r="F2105" i="2"/>
  <c r="H2105" i="2" s="1"/>
  <c r="F2106" i="2"/>
  <c r="H2106" i="2" s="1"/>
  <c r="F2107" i="2"/>
  <c r="H2107" i="2" s="1"/>
  <c r="F2108" i="2"/>
  <c r="H2108" i="2" s="1"/>
  <c r="F2109" i="2"/>
  <c r="H2109" i="2" s="1"/>
  <c r="F2110" i="2"/>
  <c r="H2110" i="2" s="1"/>
  <c r="F2111" i="2"/>
  <c r="H2111" i="2" s="1"/>
  <c r="F2112" i="2"/>
  <c r="H2112" i="2" s="1"/>
  <c r="F2113" i="2"/>
  <c r="H2113" i="2" s="1"/>
  <c r="F2114" i="2"/>
  <c r="H2114" i="2" s="1"/>
  <c r="F2115" i="2"/>
  <c r="H2115" i="2" s="1"/>
  <c r="F2116" i="2"/>
  <c r="H2116" i="2" s="1"/>
  <c r="F2117" i="2"/>
  <c r="H2117" i="2" s="1"/>
  <c r="F2118" i="2"/>
  <c r="H2118" i="2" s="1"/>
  <c r="F2119" i="2"/>
  <c r="H2119" i="2" s="1"/>
  <c r="F2120" i="2"/>
  <c r="H2120" i="2" s="1"/>
  <c r="F2121" i="2"/>
  <c r="H2121" i="2" s="1"/>
  <c r="F2122" i="2"/>
  <c r="H2122" i="2" s="1"/>
  <c r="F2123" i="2"/>
  <c r="H2123" i="2" s="1"/>
  <c r="F2124" i="2"/>
  <c r="H2124" i="2" s="1"/>
  <c r="F2125" i="2"/>
  <c r="H2125" i="2" s="1"/>
  <c r="F2126" i="2"/>
  <c r="H2126" i="2" s="1"/>
  <c r="F2127" i="2"/>
  <c r="H2127" i="2" s="1"/>
  <c r="F2128" i="2"/>
  <c r="H2128" i="2" s="1"/>
  <c r="F2129" i="2"/>
  <c r="H2129" i="2" s="1"/>
  <c r="F2130" i="2"/>
  <c r="H2130" i="2" s="1"/>
  <c r="F2131" i="2"/>
  <c r="H2131" i="2" s="1"/>
  <c r="F2132" i="2"/>
  <c r="H2132" i="2" s="1"/>
  <c r="F2133" i="2"/>
  <c r="H2133" i="2" s="1"/>
  <c r="F2134" i="2"/>
  <c r="H2134" i="2" s="1"/>
  <c r="F2135" i="2"/>
  <c r="H2135" i="2" s="1"/>
  <c r="F2136" i="2"/>
  <c r="H2136" i="2" s="1"/>
  <c r="F2137" i="2"/>
  <c r="H2137" i="2" s="1"/>
  <c r="F2138" i="2"/>
  <c r="H2138" i="2" s="1"/>
  <c r="F2139" i="2"/>
  <c r="H2139" i="2" s="1"/>
  <c r="F2140" i="2"/>
  <c r="H2140" i="2" s="1"/>
  <c r="F2141" i="2"/>
  <c r="H2141" i="2" s="1"/>
  <c r="F2142" i="2"/>
  <c r="H2142" i="2" s="1"/>
  <c r="F2143" i="2"/>
  <c r="H2143" i="2" s="1"/>
  <c r="F2144" i="2"/>
  <c r="H2144" i="2" s="1"/>
  <c r="F2145" i="2"/>
  <c r="H2145" i="2" s="1"/>
  <c r="F2146" i="2"/>
  <c r="H2146" i="2" s="1"/>
  <c r="F2147" i="2"/>
  <c r="H2147" i="2" s="1"/>
  <c r="F2148" i="2"/>
  <c r="H2148" i="2" s="1"/>
  <c r="F2149" i="2"/>
  <c r="H2149" i="2" s="1"/>
  <c r="F2150" i="2"/>
  <c r="H2150" i="2" s="1"/>
  <c r="F2151" i="2"/>
  <c r="H2151" i="2" s="1"/>
  <c r="F2152" i="2"/>
  <c r="H2152" i="2" s="1"/>
  <c r="F2153" i="2"/>
  <c r="H2153" i="2" s="1"/>
  <c r="F2154" i="2"/>
  <c r="H2154" i="2" s="1"/>
  <c r="F2155" i="2"/>
  <c r="H2155" i="2" s="1"/>
  <c r="F2156" i="2"/>
  <c r="H2156" i="2" s="1"/>
  <c r="F2157" i="2"/>
  <c r="H2157" i="2" s="1"/>
  <c r="F2158" i="2"/>
  <c r="H2158" i="2" s="1"/>
  <c r="F2159" i="2"/>
  <c r="H2159" i="2" s="1"/>
  <c r="F2160" i="2"/>
  <c r="H2160" i="2" s="1"/>
  <c r="F2161" i="2"/>
  <c r="H2161" i="2" s="1"/>
  <c r="F2162" i="2"/>
  <c r="H2162" i="2" s="1"/>
  <c r="F2163" i="2"/>
  <c r="H2163" i="2" s="1"/>
  <c r="F2164" i="2"/>
  <c r="H2164" i="2" s="1"/>
  <c r="F2165" i="2"/>
  <c r="H2165" i="2" s="1"/>
  <c r="F2166" i="2"/>
  <c r="H2166" i="2" s="1"/>
  <c r="F2167" i="2"/>
  <c r="H2167" i="2" s="1"/>
  <c r="F2168" i="2"/>
  <c r="H2168" i="2" s="1"/>
  <c r="F2169" i="2"/>
  <c r="H2169" i="2" s="1"/>
  <c r="F2170" i="2"/>
  <c r="H2170" i="2" s="1"/>
  <c r="F2171" i="2"/>
  <c r="H2171" i="2" s="1"/>
  <c r="F2172" i="2"/>
  <c r="H2172" i="2" s="1"/>
  <c r="F2173" i="2"/>
  <c r="H2173" i="2" s="1"/>
  <c r="F2174" i="2"/>
  <c r="H2174" i="2" s="1"/>
  <c r="F2175" i="2"/>
  <c r="H2175" i="2" s="1"/>
  <c r="F2176" i="2"/>
  <c r="H2176" i="2" s="1"/>
  <c r="F2177" i="2"/>
  <c r="H2177" i="2" s="1"/>
  <c r="F2178" i="2"/>
  <c r="H2178" i="2" s="1"/>
  <c r="F2179" i="2"/>
  <c r="H2179" i="2" s="1"/>
  <c r="F2180" i="2"/>
  <c r="H2180" i="2" s="1"/>
  <c r="F2181" i="2"/>
  <c r="H2181" i="2" s="1"/>
  <c r="F2182" i="2"/>
  <c r="H2182" i="2" s="1"/>
  <c r="F2183" i="2"/>
  <c r="H2183" i="2" s="1"/>
  <c r="F2184" i="2"/>
  <c r="H2184" i="2" s="1"/>
  <c r="F2185" i="2"/>
  <c r="H2185" i="2" s="1"/>
  <c r="F2186" i="2"/>
  <c r="H2186" i="2" s="1"/>
  <c r="F2187" i="2"/>
  <c r="H2187" i="2" s="1"/>
  <c r="F2188" i="2"/>
  <c r="H2188" i="2" s="1"/>
  <c r="F2189" i="2"/>
  <c r="H2189" i="2" s="1"/>
  <c r="F2190" i="2"/>
  <c r="H2190" i="2" s="1"/>
  <c r="F2191" i="2"/>
  <c r="H2191" i="2" s="1"/>
  <c r="F2192" i="2"/>
  <c r="H2192" i="2" s="1"/>
  <c r="F2193" i="2"/>
  <c r="H2193" i="2" s="1"/>
  <c r="F2194" i="2"/>
  <c r="H2194" i="2" s="1"/>
  <c r="F2195" i="2"/>
  <c r="H2195" i="2" s="1"/>
  <c r="F2196" i="2"/>
  <c r="H2196" i="2" s="1"/>
  <c r="F2197" i="2"/>
  <c r="H2197" i="2" s="1"/>
  <c r="F2198" i="2"/>
  <c r="H2198" i="2" s="1"/>
  <c r="F2199" i="2"/>
  <c r="H2199" i="2" s="1"/>
  <c r="F2200" i="2"/>
  <c r="H2200" i="2" s="1"/>
  <c r="F2201" i="2"/>
  <c r="H2201" i="2" s="1"/>
  <c r="F2202" i="2"/>
  <c r="H2202" i="2" s="1"/>
  <c r="F2203" i="2"/>
  <c r="H2203" i="2" s="1"/>
  <c r="F2204" i="2"/>
  <c r="H2204" i="2" s="1"/>
  <c r="F2205" i="2"/>
  <c r="H2205" i="2" s="1"/>
  <c r="F2206" i="2"/>
  <c r="H2206" i="2" s="1"/>
  <c r="F2207" i="2"/>
  <c r="H2207" i="2" s="1"/>
  <c r="F2208" i="2"/>
  <c r="H2208" i="2" s="1"/>
  <c r="F2209" i="2"/>
  <c r="H2209" i="2" s="1"/>
  <c r="F2210" i="2"/>
  <c r="H2210" i="2" s="1"/>
  <c r="F2211" i="2"/>
  <c r="H2211" i="2" s="1"/>
  <c r="F2212" i="2"/>
  <c r="H2212" i="2" s="1"/>
  <c r="F2213" i="2"/>
  <c r="H2213" i="2" s="1"/>
  <c r="F2214" i="2"/>
  <c r="H2214" i="2" s="1"/>
  <c r="F2215" i="2"/>
  <c r="H2215" i="2" s="1"/>
  <c r="F2216" i="2"/>
  <c r="H2216" i="2" s="1"/>
  <c r="F2217" i="2"/>
  <c r="H2217" i="2" s="1"/>
  <c r="F2218" i="2"/>
  <c r="H2218" i="2" s="1"/>
  <c r="F2219" i="2"/>
  <c r="H2219" i="2" s="1"/>
  <c r="F2220" i="2"/>
  <c r="H2220" i="2" s="1"/>
  <c r="F2221" i="2"/>
  <c r="H2221" i="2" s="1"/>
  <c r="F2222" i="2"/>
  <c r="H2222" i="2" s="1"/>
  <c r="F2223" i="2"/>
  <c r="H2223" i="2" s="1"/>
  <c r="F2224" i="2"/>
  <c r="H2224" i="2" s="1"/>
  <c r="F2225" i="2"/>
  <c r="H2225" i="2" s="1"/>
  <c r="F2226" i="2"/>
  <c r="H2226" i="2" s="1"/>
  <c r="F2227" i="2"/>
  <c r="H2227" i="2" s="1"/>
  <c r="F2228" i="2"/>
  <c r="H2228" i="2" s="1"/>
  <c r="F2229" i="2"/>
  <c r="H2229" i="2" s="1"/>
  <c r="F2230" i="2"/>
  <c r="H2230" i="2" s="1"/>
  <c r="F2231" i="2"/>
  <c r="H2231" i="2" s="1"/>
  <c r="F2232" i="2"/>
  <c r="H2232" i="2" s="1"/>
  <c r="F2233" i="2"/>
  <c r="H2233" i="2" s="1"/>
  <c r="F2234" i="2"/>
  <c r="H2234" i="2" s="1"/>
  <c r="F2235" i="2"/>
  <c r="H2235" i="2" s="1"/>
  <c r="F2236" i="2"/>
  <c r="H2236" i="2" s="1"/>
  <c r="F2237" i="2"/>
  <c r="H2237" i="2" s="1"/>
  <c r="F2238" i="2"/>
  <c r="H2238" i="2" s="1"/>
  <c r="F2239" i="2"/>
  <c r="H2239" i="2" s="1"/>
  <c r="F2240" i="2"/>
  <c r="H2240" i="2" s="1"/>
  <c r="F2241" i="2"/>
  <c r="H2241" i="2" s="1"/>
  <c r="F2242" i="2"/>
  <c r="H2242" i="2" s="1"/>
  <c r="F2243" i="2"/>
  <c r="H2243" i="2" s="1"/>
  <c r="F2244" i="2"/>
  <c r="H2244" i="2" s="1"/>
  <c r="F2245" i="2"/>
  <c r="H2245" i="2" s="1"/>
  <c r="F2246" i="2"/>
  <c r="H22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CBD91-F72D-44D8-AD60-A4C382130D2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CCE44816-2E5B-49F0-9BB8-2A2C0347CF7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C1A60124-919C-4773-B633-A149FC4A7EB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0F439A1C-8BA7-464A-A611-9458264625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791D109F-E2AE-425B-8FD3-D46393DFF468}" name="WorksheetConnection_New XLSX Workshee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NewXLSXWorksheet.xlsxcustomers1"/>
        </x15:connection>
      </ext>
    </extLst>
  </connection>
  <connection id="6" xr16:uid="{1C7A5E8E-F10B-404B-9961-719F1C5324E4}" name="WorksheetConnection_New XLSX Worksheet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NewXLSXWorksheet.xlsxORDERS1"/>
        </x15:connection>
      </ext>
    </extLst>
  </connection>
  <connection id="7" xr16:uid="{71579834-3F74-4153-B16A-EBA471D971C2}" name="WorksheetConnection_New XLSX Workshee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NewXLSXWorksheet.xlsxProducts1"/>
        </x15:connection>
      </ext>
    </extLst>
  </connection>
</connections>
</file>

<file path=xl/sharedStrings.xml><?xml version="1.0" encoding="utf-8"?>
<sst xmlns="http://schemas.openxmlformats.org/spreadsheetml/2006/main" count="96" uniqueCount="85">
  <si>
    <t>OrderID</t>
  </si>
  <si>
    <t>CustomerID</t>
  </si>
  <si>
    <t>ProductID</t>
  </si>
  <si>
    <t>OrderDate</t>
  </si>
  <si>
    <t>UnitsOrdered</t>
  </si>
  <si>
    <t>Discount</t>
  </si>
  <si>
    <t>Name</t>
  </si>
  <si>
    <t>Street</t>
  </si>
  <si>
    <t>City</t>
  </si>
  <si>
    <t>State</t>
  </si>
  <si>
    <t>Zip</t>
  </si>
  <si>
    <t>Phone</t>
  </si>
  <si>
    <t>Threads</t>
  </si>
  <si>
    <t>Pond Hill Road</t>
  </si>
  <si>
    <t>Seattle</t>
  </si>
  <si>
    <t>WA</t>
  </si>
  <si>
    <t>(207) 792-3546</t>
  </si>
  <si>
    <t>A Shirts Life</t>
  </si>
  <si>
    <t>1935 Snow Street SE</t>
  </si>
  <si>
    <t>Portland</t>
  </si>
  <si>
    <t>OR</t>
  </si>
  <si>
    <t>(203) 575-6731</t>
  </si>
  <si>
    <t>Shirts R Us</t>
  </si>
  <si>
    <t>215/9 Causewayside</t>
  </si>
  <si>
    <t>Los Angeles</t>
  </si>
  <si>
    <t>CA</t>
  </si>
  <si>
    <t>(2090 555-5555</t>
  </si>
  <si>
    <t>Tshirt Unlimited</t>
  </si>
  <si>
    <t>4090 Division Street NW</t>
  </si>
  <si>
    <t>Phoenix</t>
  </si>
  <si>
    <t>AZ</t>
  </si>
  <si>
    <t>(305) 888-2046</t>
  </si>
  <si>
    <t>Rags to Riches</t>
  </si>
  <si>
    <t>2140 Edgewood Parkway</t>
  </si>
  <si>
    <t>Las Vegas</t>
  </si>
  <si>
    <t>NV</t>
  </si>
  <si>
    <t>(807) 889-6003</t>
  </si>
  <si>
    <t>Abracadaba Ink</t>
  </si>
  <si>
    <t>95 North Bay Boulevard</t>
  </si>
  <si>
    <t>Salt Lake City</t>
  </si>
  <si>
    <t>UT</t>
  </si>
  <si>
    <t>(401) 111-9148</t>
  </si>
  <si>
    <t>The Shirt on Your Back</t>
  </si>
  <si>
    <t>82 Mix Avenue</t>
  </si>
  <si>
    <t>Bonners Ferry</t>
  </si>
  <si>
    <t>ID</t>
  </si>
  <si>
    <t>(208) 643-8821</t>
  </si>
  <si>
    <t>Description</t>
  </si>
  <si>
    <t>Gender</t>
  </si>
  <si>
    <t>UnitPrice</t>
  </si>
  <si>
    <t>Short-sleeve Mesh</t>
  </si>
  <si>
    <t>Both</t>
  </si>
  <si>
    <t>Short-sleeve Polo</t>
  </si>
  <si>
    <t>Long-sleeve Super-T</t>
  </si>
  <si>
    <t>Short-sleeve Seersucker</t>
  </si>
  <si>
    <t>Sleeveless Top</t>
  </si>
  <si>
    <t>Female</t>
  </si>
  <si>
    <t>Long-sleeve Tunic</t>
  </si>
  <si>
    <t>Short-sleeve Rib-knit Tunic</t>
  </si>
  <si>
    <t>Long-sleeve Broadcloth</t>
  </si>
  <si>
    <t>Long-sleeve Oxford</t>
  </si>
  <si>
    <t>Male</t>
  </si>
  <si>
    <t>Long-sleeve Silk Pinpoint</t>
  </si>
  <si>
    <t>unit price</t>
  </si>
  <si>
    <t>revenue</t>
  </si>
  <si>
    <t>customername</t>
  </si>
  <si>
    <t>customerCity</t>
  </si>
  <si>
    <t>productGender</t>
  </si>
  <si>
    <t>Sum of UnitsOrdered</t>
  </si>
  <si>
    <t>Total of units orderd</t>
  </si>
  <si>
    <t>Sum of revenue</t>
  </si>
  <si>
    <t>Total revenue</t>
  </si>
  <si>
    <t>Average of Discount</t>
  </si>
  <si>
    <t>Count of OrderID</t>
  </si>
  <si>
    <t>Num of orders</t>
  </si>
  <si>
    <t>Row Labels</t>
  </si>
  <si>
    <t>Grand Total</t>
  </si>
  <si>
    <t>2012</t>
  </si>
  <si>
    <t>2013</t>
  </si>
  <si>
    <t>2014</t>
  </si>
  <si>
    <t>2015</t>
  </si>
  <si>
    <t>2016</t>
  </si>
  <si>
    <t>Year</t>
  </si>
  <si>
    <t>Day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</si>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</sst>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EGP]\ #,##0;[Red][$EGP]\ #,##0"/>
    <numFmt numFmtId="167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0">
    <dxf>
      <numFmt numFmtId="166" formatCode="[$EGP]\ #,##0;[Red][$EGP]\ #,##0"/>
    </dxf>
    <dxf>
      <numFmt numFmtId="166" formatCode="[$EGP]\ #,##0;[Red][$EGP]\ #,##0"/>
    </dxf>
    <dxf>
      <numFmt numFmtId="0" formatCode="General"/>
    </dxf>
    <dxf>
      <numFmt numFmtId="0" formatCode="General"/>
    </dxf>
    <dxf>
      <numFmt numFmtId="1" formatCode="0"/>
    </dxf>
    <dxf>
      <numFmt numFmtId="167" formatCode="0.0%"/>
    </dxf>
    <dxf>
      <numFmt numFmtId="166" formatCode="[$EGP]\ #,##0;[Red][$EGP]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XLSX Worksheet.xlsx]pivots!PivotTable5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6527263"/>
        <c:axId val="1816531103"/>
      </c:barChart>
      <c:catAx>
        <c:axId val="181652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31103"/>
        <c:crosses val="autoZero"/>
        <c:auto val="1"/>
        <c:lblAlgn val="ctr"/>
        <c:lblOffset val="100"/>
        <c:noMultiLvlLbl val="0"/>
      </c:catAx>
      <c:valAx>
        <c:axId val="1816531103"/>
        <c:scaling>
          <c:orientation val="minMax"/>
        </c:scaling>
        <c:delete val="0"/>
        <c:axPos val="l"/>
        <c:numFmt formatCode="[$EGP]\ #,##0;[Red][$EGP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2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25400" cap="rnd" cmpd="sng" algn="ctr">
      <a:solidFill>
        <a:schemeClr val="accent1"/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99060</xdr:rowOff>
    </xdr:from>
    <xdr:to>
      <xdr:col>3</xdr:col>
      <xdr:colOff>449580</xdr:colOff>
      <xdr:row>4</xdr:row>
      <xdr:rowOff>68580</xdr:rowOff>
    </xdr:to>
    <xdr:sp macro="" textlink="pivots!D4">
      <xdr:nvSpPr>
        <xdr:cNvPr id="2" name="Rectangle: Rounded Corners 1">
          <a:extLst>
            <a:ext uri="{FF2B5EF4-FFF2-40B4-BE49-F238E27FC236}">
              <a16:creationId xmlns:a16="http://schemas.microsoft.com/office/drawing/2014/main" id="{B42CA9DB-CCA5-9458-DD1C-03C8D122653E}"/>
            </a:ext>
          </a:extLst>
        </xdr:cNvPr>
        <xdr:cNvSpPr/>
      </xdr:nvSpPr>
      <xdr:spPr>
        <a:xfrm>
          <a:off x="571500" y="99060"/>
          <a:ext cx="1706880" cy="70104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E98C439-9032-4658-A0A7-33DB8C59567D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EGP 5,286,331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571500</xdr:colOff>
      <xdr:row>4</xdr:row>
      <xdr:rowOff>137160</xdr:rowOff>
    </xdr:from>
    <xdr:to>
      <xdr:col>3</xdr:col>
      <xdr:colOff>449580</xdr:colOff>
      <xdr:row>8</xdr:row>
      <xdr:rowOff>106680</xdr:rowOff>
    </xdr:to>
    <xdr:sp macro="" textlink="pivots!H4">
      <xdr:nvSpPr>
        <xdr:cNvPr id="3" name="Rectangle: Rounded Corners 2">
          <a:extLst>
            <a:ext uri="{FF2B5EF4-FFF2-40B4-BE49-F238E27FC236}">
              <a16:creationId xmlns:a16="http://schemas.microsoft.com/office/drawing/2014/main" id="{1AF95DD8-D088-4DDD-9337-4CCF5719B598}"/>
            </a:ext>
          </a:extLst>
        </xdr:cNvPr>
        <xdr:cNvSpPr/>
      </xdr:nvSpPr>
      <xdr:spPr>
        <a:xfrm>
          <a:off x="571500" y="868680"/>
          <a:ext cx="1706880" cy="7010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BFE3962-F868-4EEA-AF0C-0307D68509EC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2245</a:t>
          </a:fld>
          <a:endParaRPr lang="en-GB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571500</xdr:colOff>
      <xdr:row>9</xdr:row>
      <xdr:rowOff>7620</xdr:rowOff>
    </xdr:from>
    <xdr:to>
      <xdr:col>3</xdr:col>
      <xdr:colOff>449580</xdr:colOff>
      <xdr:row>12</xdr:row>
      <xdr:rowOff>160020</xdr:rowOff>
    </xdr:to>
    <xdr:sp macro="" textlink="pivots!A4">
      <xdr:nvSpPr>
        <xdr:cNvPr id="4" name="Rectangle: Rounded Corners 3">
          <a:extLst>
            <a:ext uri="{FF2B5EF4-FFF2-40B4-BE49-F238E27FC236}">
              <a16:creationId xmlns:a16="http://schemas.microsoft.com/office/drawing/2014/main" id="{6BDCA705-3D3B-4BD9-9B5B-D6CC2CE73D5F}"/>
            </a:ext>
          </a:extLst>
        </xdr:cNvPr>
        <xdr:cNvSpPr/>
      </xdr:nvSpPr>
      <xdr:spPr>
        <a:xfrm>
          <a:off x="571500" y="1653540"/>
          <a:ext cx="1706880" cy="7010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1431D99-C885-4569-9D0E-DA167E35F9F9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198145</a:t>
          </a:fld>
          <a:endParaRPr lang="en-GB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579120</xdr:colOff>
      <xdr:row>13</xdr:row>
      <xdr:rowOff>99060</xdr:rowOff>
    </xdr:from>
    <xdr:to>
      <xdr:col>3</xdr:col>
      <xdr:colOff>457200</xdr:colOff>
      <xdr:row>17</xdr:row>
      <xdr:rowOff>68580</xdr:rowOff>
    </xdr:to>
    <xdr:sp macro="" textlink="pivots!F4">
      <xdr:nvSpPr>
        <xdr:cNvPr id="5" name="Rectangle: Rounded Corners 4">
          <a:extLst>
            <a:ext uri="{FF2B5EF4-FFF2-40B4-BE49-F238E27FC236}">
              <a16:creationId xmlns:a16="http://schemas.microsoft.com/office/drawing/2014/main" id="{6EAB114A-6254-4AC4-AEBE-A9646BD573BC}"/>
            </a:ext>
          </a:extLst>
        </xdr:cNvPr>
        <xdr:cNvSpPr/>
      </xdr:nvSpPr>
      <xdr:spPr>
        <a:xfrm>
          <a:off x="579120" y="2476500"/>
          <a:ext cx="1706880" cy="7010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88895C5-3419-4C33-85D8-D5B2FC7A104D}" type="TxLink">
            <a:rPr lang="en-US" sz="16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1.7%</a:t>
          </a:fld>
          <a:endParaRPr lang="en-GB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175260</xdr:colOff>
      <xdr:row>0</xdr:row>
      <xdr:rowOff>137160</xdr:rowOff>
    </xdr:from>
    <xdr:to>
      <xdr:col>3</xdr:col>
      <xdr:colOff>297180</xdr:colOff>
      <xdr:row>2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856BEB-A690-0E6B-ECB2-A01D78890D49}"/>
            </a:ext>
          </a:extLst>
        </xdr:cNvPr>
        <xdr:cNvSpPr txBox="1"/>
      </xdr:nvSpPr>
      <xdr:spPr>
        <a:xfrm>
          <a:off x="784860" y="137160"/>
          <a:ext cx="1341120" cy="2667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1"/>
              </a:solidFill>
            </a:rPr>
            <a:t>Total</a:t>
          </a:r>
          <a:r>
            <a:rPr lang="en-GB" sz="1400" b="1" baseline="0">
              <a:solidFill>
                <a:schemeClr val="bg1"/>
              </a:solidFill>
            </a:rPr>
            <a:t> Revenue</a:t>
          </a:r>
          <a:endParaRPr lang="en-GB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129540</xdr:colOff>
      <xdr:row>5</xdr:row>
      <xdr:rowOff>38100</xdr:rowOff>
    </xdr:from>
    <xdr:to>
      <xdr:col>3</xdr:col>
      <xdr:colOff>251460</xdr:colOff>
      <xdr:row>6</xdr:row>
      <xdr:rowOff>121920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DE7C5C-AE3D-44DF-8F15-B6269DB2C6D0}"/>
            </a:ext>
          </a:extLst>
        </xdr:cNvPr>
        <xdr:cNvSpPr txBox="1"/>
      </xdr:nvSpPr>
      <xdr:spPr>
        <a:xfrm>
          <a:off x="739140" y="952500"/>
          <a:ext cx="1341120" cy="2667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1"/>
              </a:solidFill>
            </a:rPr>
            <a:t>Total</a:t>
          </a:r>
          <a:r>
            <a:rPr lang="en-GB" sz="1400" b="1" baseline="0">
              <a:solidFill>
                <a:schemeClr val="bg1"/>
              </a:solidFill>
            </a:rPr>
            <a:t> Orders</a:t>
          </a:r>
          <a:endParaRPr lang="en-GB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594360</xdr:colOff>
      <xdr:row>9</xdr:row>
      <xdr:rowOff>114300</xdr:rowOff>
    </xdr:from>
    <xdr:to>
      <xdr:col>3</xdr:col>
      <xdr:colOff>419100</xdr:colOff>
      <xdr:row>11</xdr:row>
      <xdr:rowOff>15240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4DB86E6-5C11-4F4B-BF20-1DE7AC3DAE50}"/>
            </a:ext>
          </a:extLst>
        </xdr:cNvPr>
        <xdr:cNvSpPr txBox="1"/>
      </xdr:nvSpPr>
      <xdr:spPr>
        <a:xfrm>
          <a:off x="594360" y="1760220"/>
          <a:ext cx="1653540" cy="2667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1"/>
              </a:solidFill>
            </a:rPr>
            <a:t>Total Units</a:t>
          </a:r>
          <a:r>
            <a:rPr lang="en-GB" sz="1400" b="1" baseline="0">
              <a:solidFill>
                <a:schemeClr val="bg1"/>
              </a:solidFill>
            </a:rPr>
            <a:t> Oederd</a:t>
          </a:r>
          <a:endParaRPr lang="en-GB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190500</xdr:colOff>
      <xdr:row>13</xdr:row>
      <xdr:rowOff>175260</xdr:rowOff>
    </xdr:from>
    <xdr:to>
      <xdr:col>3</xdr:col>
      <xdr:colOff>312420</xdr:colOff>
      <xdr:row>15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018A33-B7DC-4B88-9A59-3E4155B2A0F4}"/>
            </a:ext>
          </a:extLst>
        </xdr:cNvPr>
        <xdr:cNvSpPr txBox="1"/>
      </xdr:nvSpPr>
      <xdr:spPr>
        <a:xfrm>
          <a:off x="800100" y="2552700"/>
          <a:ext cx="1341120" cy="2667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1"/>
              </a:solidFill>
            </a:rPr>
            <a:t>Avg Discount</a:t>
          </a:r>
        </a:p>
      </xdr:txBody>
    </xdr:sp>
    <xdr:clientData/>
  </xdr:twoCellAnchor>
  <xdr:twoCellAnchor>
    <xdr:from>
      <xdr:col>3</xdr:col>
      <xdr:colOff>548640</xdr:colOff>
      <xdr:row>9</xdr:row>
      <xdr:rowOff>30480</xdr:rowOff>
    </xdr:from>
    <xdr:to>
      <xdr:col>11</xdr:col>
      <xdr:colOff>243840</xdr:colOff>
      <xdr:row>17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406EBDF-99E5-4F81-A20F-342916E3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er ramzy" refreshedDate="45804.612900115739" createdVersion="8" refreshedVersion="8" minRefreshableVersion="3" recordCount="2245" xr:uid="{F974F836-2054-4F81-A11E-6949E5FB30EA}">
  <cacheSource type="worksheet">
    <worksheetSource name="ORDERS"/>
  </cacheSource>
  <cacheFields count="16">
    <cacheField name="OrderID" numFmtId="0">
      <sharedItems containsSemiMixedTypes="0" containsString="0" containsNumber="1" containsInteger="1" minValue="1" maxValue="2245"/>
    </cacheField>
    <cacheField name="CustomerID" numFmtId="0">
      <sharedItems containsSemiMixedTypes="0" containsString="0" containsNumber="1" containsInteger="1" minValue="1" maxValue="7"/>
    </cacheField>
    <cacheField name="ProductID" numFmtId="0">
      <sharedItems containsSemiMixedTypes="0" containsString="0" containsNumber="1" containsInteger="1" minValue="1" maxValue="10"/>
    </cacheField>
    <cacheField name="OrderDate" numFmtId="14">
      <sharedItems containsSemiMixedTypes="0" containsNonDate="0" containsDate="1" containsString="0" minDate="2012-01-02T00:00:00" maxDate="2016-12-29T00:00:00" count="1270">
        <d v="2012-01-02T00:00:00"/>
        <d v="2012-01-03T00:00:00"/>
        <d v="2012-01-05T00:00:00"/>
        <d v="2012-01-07T00:00:00"/>
        <d v="2012-01-08T00:00:00"/>
        <d v="2012-01-09T00:00:00"/>
        <d v="2012-01-10T00:00:00"/>
        <d v="2012-01-12T00:00:00"/>
        <d v="2012-01-14T00:00:00"/>
        <d v="2012-01-15T00:00:00"/>
        <d v="2012-01-16T00:00:00"/>
        <d v="2012-01-18T00:00:00"/>
        <d v="2012-01-19T00:00:00"/>
        <d v="2012-01-20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2T00:00:00"/>
        <d v="2012-02-13T00:00:00"/>
        <d v="2012-02-15T00:00:00"/>
        <d v="2012-02-16T00:00:00"/>
        <d v="2012-02-17T00:00:00"/>
        <d v="2012-02-19T00:00:00"/>
        <d v="2012-02-20T00:00:00"/>
        <d v="2012-02-21T00:00:00"/>
        <d v="2012-02-24T00:00:00"/>
        <d v="2012-02-27T00:00:00"/>
        <d v="2012-03-01T00:00:00"/>
        <d v="2012-03-03T00:00:00"/>
        <d v="2012-03-04T00:00:00"/>
        <d v="2012-03-05T00:00:00"/>
        <d v="2012-03-06T00:00:00"/>
        <d v="2012-03-07T00:00:00"/>
        <d v="2012-03-08T00:00:00"/>
        <d v="2012-03-10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1T00:00:00"/>
        <d v="2012-03-22T00:00:00"/>
        <d v="2012-03-23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2T00:00:00"/>
        <d v="2012-04-04T00:00:00"/>
        <d v="2012-04-05T00:00:00"/>
        <d v="2012-04-07T00:00:00"/>
        <d v="2012-04-08T00:00:00"/>
        <d v="2012-04-09T00:00:00"/>
        <d v="2012-04-10T00:00:00"/>
        <d v="2012-04-11T00:00:00"/>
        <d v="2012-04-14T00:00:00"/>
        <d v="2012-04-15T00:00:00"/>
        <d v="2012-04-16T00:00:00"/>
        <d v="2012-04-17T00:00:00"/>
        <d v="2012-04-18T00:00:00"/>
        <d v="2012-04-20T00:00:00"/>
        <d v="2012-04-21T00:00:00"/>
        <d v="2012-04-22T00:00:00"/>
        <d v="2012-04-23T00:00:00"/>
        <d v="2012-04-24T00:00:00"/>
        <d v="2012-04-26T00:00:00"/>
        <d v="2012-04-30T00:00:00"/>
        <d v="2012-05-01T00:00:00"/>
        <d v="2012-05-02T00:00:00"/>
        <d v="2012-05-03T00:00:00"/>
        <d v="2012-05-05T00:00:00"/>
        <d v="2012-05-06T00:00:00"/>
        <d v="2012-05-09T00:00:00"/>
        <d v="2012-05-11T00:00:00"/>
        <d v="2012-05-12T00:00:00"/>
        <d v="2012-05-13T00:00:00"/>
        <d v="2012-05-14T00:00:00"/>
        <d v="2012-05-15T00:00:00"/>
        <d v="2012-05-16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10T00:00:00"/>
        <d v="2012-06-11T00:00:00"/>
        <d v="2012-06-13T00:00:00"/>
        <d v="2012-06-14T00:00:00"/>
        <d v="2012-06-15T00:00:00"/>
        <d v="2012-06-16T00:00:00"/>
        <d v="2012-06-17T00:00:00"/>
        <d v="2012-06-19T00:00:00"/>
        <d v="2012-06-21T00:00:00"/>
        <d v="2012-06-23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9T00:00:00"/>
        <d v="2012-07-11T00:00:00"/>
        <d v="2012-07-12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8-01T00:00:00"/>
        <d v="2012-08-03T00:00:00"/>
        <d v="2012-08-04T00:00:00"/>
        <d v="2012-08-06T00:00:00"/>
        <d v="2012-08-10T00:00:00"/>
        <d v="2012-08-12T00:00:00"/>
        <d v="2012-08-13T00:00:00"/>
        <d v="2012-08-14T00:00:00"/>
        <d v="2012-08-15T00:00:00"/>
        <d v="2012-08-16T00:00:00"/>
        <d v="2012-08-17T00:00:00"/>
        <d v="2012-08-22T00:00:00"/>
        <d v="2012-08-23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2T00:00:00"/>
        <d v="2012-09-13T00:00:00"/>
        <d v="2012-09-15T00:00:00"/>
        <d v="2012-09-16T00:00:00"/>
        <d v="2012-09-18T00:00:00"/>
        <d v="2012-09-20T00:00:00"/>
        <d v="2012-09-21T00:00:00"/>
        <d v="2012-09-22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8T00:00:00"/>
        <d v="2012-10-11T00:00:00"/>
        <d v="2012-10-12T00:00:00"/>
        <d v="2012-10-13T00:00:00"/>
        <d v="2012-10-15T00:00:00"/>
        <d v="2012-10-16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6T00:00:00"/>
        <d v="2012-10-28T00:00:00"/>
        <d v="2012-10-29T00:00:00"/>
        <d v="2012-10-31T00:00:00"/>
        <d v="2012-11-02T00:00:00"/>
        <d v="2012-11-03T00:00:00"/>
        <d v="2012-11-04T00:00:00"/>
        <d v="2012-11-05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6T00:00:00"/>
        <d v="2012-11-18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8T00:00:00"/>
        <d v="2012-11-29T00:00:00"/>
        <d v="2012-12-02T00:00:00"/>
        <d v="2012-12-03T00:00:00"/>
        <d v="2012-12-04T00:00:00"/>
        <d v="2012-12-05T00:00:00"/>
        <d v="2012-12-06T00:00:00"/>
        <d v="2012-12-08T00:00:00"/>
        <d v="2012-12-09T00:00:00"/>
        <d v="2012-12-10T00:00:00"/>
        <d v="2012-12-12T00:00:00"/>
        <d v="2012-12-15T00:00:00"/>
        <d v="2012-12-16T00:00:00"/>
        <d v="2012-12-17T00:00:00"/>
        <d v="2012-12-18T00:00:00"/>
        <d v="2012-12-19T00:00:00"/>
        <d v="2012-12-20T00:00:00"/>
        <d v="2012-12-24T00:00:00"/>
        <d v="2012-12-26T00:00:00"/>
        <d v="2012-12-27T00:00:00"/>
        <d v="2012-12-30T00:00:00"/>
        <d v="2013-01-01T00:00:00"/>
        <d v="2013-01-02T00:00:00"/>
        <d v="2013-01-03T00:00:00"/>
        <d v="2013-01-05T00:00:00"/>
        <d v="2013-01-06T00:00:00"/>
        <d v="2013-01-08T00:00:00"/>
        <d v="2013-01-09T00:00:00"/>
        <d v="2013-01-11T00:00:00"/>
        <d v="2013-01-12T00:00:00"/>
        <d v="2013-01-15T00:00:00"/>
        <d v="2013-01-17T00:00:00"/>
        <d v="2013-01-18T00:00:00"/>
        <d v="2013-01-20T00:00:00"/>
        <d v="2013-01-21T00:00:00"/>
        <d v="2013-01-22T00:00:00"/>
        <d v="2013-01-23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3T00:00:00"/>
        <d v="2013-02-04T00:00:00"/>
        <d v="2013-02-05T00:00:00"/>
        <d v="2013-02-07T00:00:00"/>
        <d v="2013-02-08T00:00:00"/>
        <d v="2013-02-10T00:00:00"/>
        <d v="2013-02-11T00:00:00"/>
        <d v="2013-02-12T00:00:00"/>
        <d v="2013-02-13T00:00:00"/>
        <d v="2013-02-16T00:00:00"/>
        <d v="2013-02-18T00:00:00"/>
        <d v="2013-02-19T00:00:00"/>
        <d v="2013-02-20T00:00:00"/>
        <d v="2013-02-21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4T00:00:00"/>
        <d v="2013-03-07T00:00:00"/>
        <d v="2013-03-08T00:00:00"/>
        <d v="2013-03-09T00:00:00"/>
        <d v="2013-03-12T00:00:00"/>
        <d v="2013-03-13T00:00:00"/>
        <d v="2013-03-15T00:00:00"/>
        <d v="2013-03-16T00:00:00"/>
        <d v="2013-03-17T00:00:00"/>
        <d v="2013-03-19T00:00:00"/>
        <d v="2013-03-21T00:00:00"/>
        <d v="2013-03-22T00:00:00"/>
        <d v="2013-03-23T00:00:00"/>
        <d v="2013-03-24T00:00:00"/>
        <d v="2013-03-26T00:00:00"/>
        <d v="2013-03-28T00:00:00"/>
        <d v="2013-03-29T00:00:00"/>
        <d v="2013-03-31T00:00:00"/>
        <d v="2013-04-01T00:00:00"/>
        <d v="2013-04-03T00:00:00"/>
        <d v="2013-04-06T00:00:00"/>
        <d v="2013-04-07T00:00:00"/>
        <d v="2013-04-09T00:00:00"/>
        <d v="2013-04-11T00:00:00"/>
        <d v="2013-04-12T00:00:00"/>
        <d v="2013-04-13T00:00:00"/>
        <d v="2013-04-14T00:00:00"/>
        <d v="2013-04-17T00:00:00"/>
        <d v="2013-04-19T00:00:00"/>
        <d v="2013-04-20T00:00:00"/>
        <d v="2013-04-21T00:00:00"/>
        <d v="2013-04-22T00:00:00"/>
        <d v="2013-04-24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6T00:00:00"/>
        <d v="2013-05-07T00:00:00"/>
        <d v="2013-05-08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2T00:00:00"/>
        <d v="2013-05-23T00:00:00"/>
        <d v="2013-05-24T00:00:00"/>
        <d v="2013-05-27T00:00:00"/>
        <d v="2013-05-29T00:00:00"/>
        <d v="2013-06-04T00:00:00"/>
        <d v="2013-06-05T00:00:00"/>
        <d v="2013-06-08T00:00:00"/>
        <d v="2013-06-09T00:00:00"/>
        <d v="2013-06-10T00:00:00"/>
        <d v="2013-06-11T00:00:00"/>
        <d v="2013-06-12T00:00:00"/>
        <d v="2013-06-14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6T00:00:00"/>
        <d v="2013-06-29T00:00:00"/>
        <d v="2013-06-30T00:00:00"/>
        <d v="2013-07-02T00:00:00"/>
        <d v="2013-07-03T00:00:00"/>
        <d v="2013-07-04T00:00:00"/>
        <d v="2013-07-06T00:00:00"/>
        <d v="2013-07-07T00:00:00"/>
        <d v="2013-07-08T00:00:00"/>
        <d v="2013-07-09T00:00:00"/>
        <d v="2013-07-14T00:00:00"/>
        <d v="2013-07-15T00:00:00"/>
        <d v="2013-07-17T00:00:00"/>
        <d v="2013-07-18T00:00:00"/>
        <d v="2013-07-20T00:00:00"/>
        <d v="2013-07-21T00:00:00"/>
        <d v="2013-07-22T00:00:00"/>
        <d v="2013-07-24T00:00:00"/>
        <d v="2013-07-25T00:00:00"/>
        <d v="2013-07-26T00:00:00"/>
        <d v="2013-07-28T00:00:00"/>
        <d v="2013-07-29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20T00:00:00"/>
        <d v="2013-08-21T00:00:00"/>
        <d v="2013-08-23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4T00:00:00"/>
        <d v="2013-09-05T00:00:00"/>
        <d v="2013-09-07T00:00:00"/>
        <d v="2013-09-09T00:00:00"/>
        <d v="2013-09-10T00:00:00"/>
        <d v="2013-09-11T00:00:00"/>
        <d v="2013-09-12T00:00:00"/>
        <d v="2013-09-13T00:00:00"/>
        <d v="2013-09-18T00:00:00"/>
        <d v="2013-09-19T00:00:00"/>
        <d v="2013-09-20T00:00:00"/>
        <d v="2013-09-23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6T00:00:00"/>
        <d v="2013-10-07T00:00:00"/>
        <d v="2013-10-08T00:00:00"/>
        <d v="2013-10-09T00:00:00"/>
        <d v="2013-10-10T00:00:00"/>
        <d v="2013-10-12T00:00:00"/>
        <d v="2013-10-14T00:00:00"/>
        <d v="2013-10-16T00:00:00"/>
        <d v="2013-10-17T00:00:00"/>
        <d v="2013-10-18T00:00:00"/>
        <d v="2013-10-21T00:00:00"/>
        <d v="2013-10-22T00:00:00"/>
        <d v="2013-10-24T00:00:00"/>
        <d v="2013-10-26T00:00:00"/>
        <d v="2013-10-27T00:00:00"/>
        <d v="2013-10-28T00:00:00"/>
        <d v="2013-10-29T00:00:00"/>
        <d v="2013-10-30T00:00:00"/>
        <d v="2013-10-31T00:00:00"/>
        <d v="2013-11-02T00:00:00"/>
        <d v="2013-11-04T00:00:00"/>
        <d v="2013-11-05T00:00:00"/>
        <d v="2013-11-07T00:00:00"/>
        <d v="2013-11-09T00:00:00"/>
        <d v="2013-11-10T00:00:00"/>
        <d v="2013-11-11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2T00:00:00"/>
        <d v="2013-11-23T00:00:00"/>
        <d v="2013-11-24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5T00:00:00"/>
        <d v="2013-12-07T00:00:00"/>
        <d v="2013-12-09T00:00:00"/>
        <d v="2013-12-10T00:00:00"/>
        <d v="2013-12-12T00:00:00"/>
        <d v="2013-12-13T00:00:00"/>
        <d v="2013-12-14T00:00:00"/>
        <d v="2013-12-15T00:00:00"/>
        <d v="2013-12-17T00:00:00"/>
        <d v="2013-12-18T00:00:00"/>
        <d v="2013-12-19T00:00:00"/>
        <d v="2013-12-20T00:00:00"/>
        <d v="2013-12-21T00:00:00"/>
        <d v="2013-12-24T00:00:00"/>
        <d v="2013-12-25T00:00:00"/>
        <d v="2013-12-27T00:00:00"/>
        <d v="2013-12-28T00:00:00"/>
        <d v="2013-12-31T00:00:00"/>
        <d v="2014-01-01T00:00:00"/>
        <d v="2014-01-02T00:00:00"/>
        <d v="2014-01-03T00:00:00"/>
        <d v="2014-01-04T00:00:00"/>
        <d v="2014-01-05T00:00:00"/>
        <d v="2014-01-07T00:00:00"/>
        <d v="2014-01-08T00:00:00"/>
        <d v="2014-01-09T00:00:00"/>
        <d v="2014-01-11T00:00:00"/>
        <d v="2014-01-12T00:00:00"/>
        <d v="2014-01-13T00:00:00"/>
        <d v="2014-01-16T00:00:00"/>
        <d v="2014-01-17T00:00:00"/>
        <d v="2014-01-18T00:00:00"/>
        <d v="2014-01-19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9T00:00:00"/>
        <d v="2014-02-10T00:00:00"/>
        <d v="2014-02-11T00:00:00"/>
        <d v="2014-02-12T00:00:00"/>
        <d v="2014-02-13T00:00:00"/>
        <d v="2014-02-14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4T00:00:00"/>
        <d v="2014-02-25T00:00:00"/>
        <d v="2014-02-26T00:00:00"/>
        <d v="2014-02-28T00:00:00"/>
        <d v="2014-03-02T00:00:00"/>
        <d v="2014-03-04T00:00:00"/>
        <d v="2014-03-05T00:00:00"/>
        <d v="2014-03-08T00:00:00"/>
        <d v="2014-03-11T00:00:00"/>
        <d v="2014-03-14T00:00:00"/>
        <d v="2014-03-15T00:00:00"/>
        <d v="2014-03-18T00:00:00"/>
        <d v="2014-03-19T00:00:00"/>
        <d v="2014-03-20T00:00:00"/>
        <d v="2014-03-21T00:00:00"/>
        <d v="2014-03-23T00:00:00"/>
        <d v="2014-03-25T00:00:00"/>
        <d v="2014-03-26T00:00:00"/>
        <d v="2014-03-27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9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2T00:00:00"/>
        <d v="2014-04-23T00:00:00"/>
        <d v="2014-04-24T00:00:00"/>
        <d v="2014-04-25T00:00:00"/>
        <d v="2014-04-27T00:00:00"/>
        <d v="2014-04-28T00:00:00"/>
        <d v="2014-04-29T00:00:00"/>
        <d v="2014-04-30T00:00:00"/>
        <d v="2014-05-02T00:00:00"/>
        <d v="2014-05-03T00:00:00"/>
        <d v="2014-05-05T00:00:00"/>
        <d v="2014-05-07T00:00:00"/>
        <d v="2014-05-08T00:00:00"/>
        <d v="2014-05-10T00:00:00"/>
        <d v="2014-05-11T00:00:00"/>
        <d v="2014-05-13T00:00:00"/>
        <d v="2014-05-14T00:00:00"/>
        <d v="2014-05-15T00:00:00"/>
        <d v="2014-05-17T00:00:00"/>
        <d v="2014-05-18T00:00:00"/>
        <d v="2014-05-20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8T00:00:00"/>
        <d v="2014-06-09T00:00:00"/>
        <d v="2014-06-10T00:00:00"/>
        <d v="2014-06-11T00:00:00"/>
        <d v="2014-06-13T00:00:00"/>
        <d v="2014-06-14T00:00:00"/>
        <d v="2014-06-15T00:00:00"/>
        <d v="2014-06-16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30T00:00:00"/>
        <d v="2014-07-01T00:00:00"/>
        <d v="2014-07-02T00:00:00"/>
        <d v="2014-07-03T00:00:00"/>
        <d v="2014-07-04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6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6T00:00:00"/>
        <d v="2014-08-07T00:00:00"/>
        <d v="2014-08-08T00:00:00"/>
        <d v="2014-08-10T00:00:00"/>
        <d v="2014-08-11T00:00:00"/>
        <d v="2014-08-12T00:00:00"/>
        <d v="2014-08-14T00:00:00"/>
        <d v="2014-08-18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9-01T00:00:00"/>
        <d v="2014-09-02T00:00:00"/>
        <d v="2014-09-03T00:00:00"/>
        <d v="2014-09-04T00:00:00"/>
        <d v="2014-09-06T00:00:00"/>
        <d v="2014-09-08T00:00:00"/>
        <d v="2014-09-09T00:00:00"/>
        <d v="2014-09-10T00:00:00"/>
        <d v="2014-09-11T00:00:00"/>
        <d v="2014-09-12T00:00:00"/>
        <d v="2014-09-13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6T00:00:00"/>
        <d v="2014-09-30T00:00:00"/>
        <d v="2014-10-01T00:00:00"/>
        <d v="2014-10-02T00:00:00"/>
        <d v="2014-10-03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4T00:00:00"/>
        <d v="2014-10-16T00:00:00"/>
        <d v="2014-10-18T00:00:00"/>
        <d v="2014-10-19T00:00:00"/>
        <d v="2014-10-20T00:00:00"/>
        <d v="2014-10-21T00:00:00"/>
        <d v="2014-10-22T00:00:00"/>
        <d v="2014-10-23T00:00:00"/>
        <d v="2014-10-26T00:00:00"/>
        <d v="2014-10-27T00:00:00"/>
        <d v="2014-10-28T00:00:00"/>
        <d v="2014-10-29T00:00:00"/>
        <d v="2014-10-30T00:00:00"/>
        <d v="2014-11-01T00:00:00"/>
        <d v="2014-11-03T00:00:00"/>
        <d v="2014-11-04T00:00:00"/>
        <d v="2014-11-05T00:00:00"/>
        <d v="2014-11-06T00:00:00"/>
        <d v="2014-11-07T00:00:00"/>
        <d v="2014-11-08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9T00:00:00"/>
        <d v="2014-11-20T00:00:00"/>
        <d v="2014-11-25T00:00:00"/>
        <d v="2014-11-27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3T00:00:00"/>
        <d v="2014-12-14T00:00:00"/>
        <d v="2014-12-19T00:00:00"/>
        <d v="2014-12-21T00:00:00"/>
        <d v="2014-12-22T00:00:00"/>
        <d v="2014-12-24T00:00:00"/>
        <d v="2014-12-26T00:00:00"/>
        <d v="2014-12-28T00:00:00"/>
        <d v="2014-12-29T00:00:00"/>
        <d v="2014-12-31T00:00:00"/>
        <d v="2015-01-01T00:00:00"/>
        <d v="2015-01-02T00:00:00"/>
        <d v="2015-01-05T00:00:00"/>
        <d v="2015-01-07T00:00:00"/>
        <d v="2015-01-09T00:00:00"/>
        <d v="2015-01-12T00:00:00"/>
        <d v="2015-01-14T00:00:00"/>
        <d v="2015-01-15T00:00:00"/>
        <d v="2015-01-16T00:00:00"/>
        <d v="2015-01-17T00:00:00"/>
        <d v="2015-01-18T00:00:00"/>
        <d v="2015-01-20T00:00:00"/>
        <d v="2015-01-21T00:00:00"/>
        <d v="2015-01-22T00:00:00"/>
        <d v="2015-01-23T00:00:00"/>
        <d v="2015-01-24T00:00:00"/>
        <d v="2015-01-26T00:00:00"/>
        <d v="2015-01-27T00:00:00"/>
        <d v="2015-01-29T00:00:00"/>
        <d v="2015-01-31T00:00:00"/>
        <d v="2015-02-01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7T00:00:00"/>
        <d v="2015-02-28T00:00:00"/>
        <d v="2015-03-02T00:00:00"/>
        <d v="2015-03-03T00:00:00"/>
        <d v="2015-03-04T00:00:00"/>
        <d v="2015-03-05T00:00:00"/>
        <d v="2015-03-06T00:00:00"/>
        <d v="2015-03-11T00:00:00"/>
        <d v="2015-03-12T00:00:00"/>
        <d v="2015-03-15T00:00:00"/>
        <d v="2015-03-16T00:00:00"/>
        <d v="2015-03-17T00:00:00"/>
        <d v="2015-03-18T00:00:00"/>
        <d v="2015-03-20T00:00:00"/>
        <d v="2015-03-21T00:00:00"/>
        <d v="2015-03-23T00:00:00"/>
        <d v="2015-03-25T00:00:00"/>
        <d v="2015-03-28T00:00:00"/>
        <d v="2015-03-29T00:00:00"/>
        <d v="2015-03-30T00:00:00"/>
        <d v="2015-03-31T00:00:00"/>
        <d v="2015-04-01T00:00:00"/>
        <d v="2015-04-02T00:00:00"/>
        <d v="2015-04-05T00:00:00"/>
        <d v="2015-04-07T00:00:00"/>
        <d v="2015-04-08T00:00:00"/>
        <d v="2015-04-09T00:00:00"/>
        <d v="2015-04-10T00:00:00"/>
        <d v="2015-04-12T00:00:00"/>
        <d v="2015-04-13T00:00:00"/>
        <d v="2015-04-14T00:00:00"/>
        <d v="2015-04-15T00:00:00"/>
        <d v="2015-04-18T00:00:00"/>
        <d v="2015-04-19T00:00:00"/>
        <d v="2015-04-21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3T00:00:00"/>
        <d v="2015-05-05T00:00:00"/>
        <d v="2015-05-07T00:00:00"/>
        <d v="2015-05-09T00:00:00"/>
        <d v="2015-05-10T00:00:00"/>
        <d v="2015-05-11T00:00:00"/>
        <d v="2015-05-15T00:00:00"/>
        <d v="2015-05-16T00:00:00"/>
        <d v="2015-05-17T00:00:00"/>
        <d v="2015-05-19T00:00:00"/>
        <d v="2015-05-20T00:00:00"/>
        <d v="2015-05-21T00:00:00"/>
        <d v="2015-05-23T00:00:00"/>
        <d v="2015-05-24T00:00:00"/>
        <d v="2015-05-25T00:00:00"/>
        <d v="2015-05-27T00:00:00"/>
        <d v="2015-05-28T00:00:00"/>
        <d v="2015-05-29T00:00:00"/>
        <d v="2015-05-30T00:00:00"/>
        <d v="2015-06-01T00:00:00"/>
        <d v="2015-06-02T00:00:00"/>
        <d v="2015-06-04T00:00:00"/>
        <d v="2015-06-06T00:00:00"/>
        <d v="2015-06-07T00:00:00"/>
        <d v="2015-06-08T00:00:00"/>
        <d v="2015-06-09T00:00:00"/>
        <d v="2015-06-11T00:00:00"/>
        <d v="2015-06-13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3T00:00:00"/>
        <d v="2015-07-15T00:00:00"/>
        <d v="2015-07-18T00:00:00"/>
        <d v="2015-07-19T00:00:00"/>
        <d v="2015-07-22T00:00:00"/>
        <d v="2015-07-23T00:00:00"/>
        <d v="2015-07-24T00:00:00"/>
        <d v="2015-07-25T00:00:00"/>
        <d v="2015-07-27T00:00:00"/>
        <d v="2015-07-30T00:00:00"/>
        <d v="2015-07-31T00:00:00"/>
        <d v="2015-08-02T00:00:00"/>
        <d v="2015-08-03T00:00:00"/>
        <d v="2015-08-07T00:00:00"/>
        <d v="2015-08-08T00:00:00"/>
        <d v="2015-08-09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8T00:00:00"/>
        <d v="2015-08-29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5T00:00:00"/>
        <d v="2015-09-26T00:00:00"/>
        <d v="2015-09-28T00:00:00"/>
        <d v="2015-10-01T00:00:00"/>
        <d v="2015-10-02T00:00:00"/>
        <d v="2015-10-03T00:00:00"/>
        <d v="2015-10-05T00:00:00"/>
        <d v="2015-10-06T00:00:00"/>
        <d v="2015-10-07T00:00:00"/>
        <d v="2015-10-09T00:00:00"/>
        <d v="2015-10-12T00:00:00"/>
        <d v="2015-10-13T00:00:00"/>
        <d v="2015-10-14T00:00:00"/>
        <d v="2015-10-16T00:00:00"/>
        <d v="2015-10-17T00:00:00"/>
        <d v="2015-10-18T00:00:00"/>
        <d v="2015-10-20T00:00:00"/>
        <d v="2015-10-21T00:00:00"/>
        <d v="2015-10-23T00:00:00"/>
        <d v="2015-10-25T00:00:00"/>
        <d v="2015-10-26T00:00:00"/>
        <d v="2015-10-28T00:00:00"/>
        <d v="2015-10-29T00:00:00"/>
        <d v="2015-10-30T00:00:00"/>
        <d v="2015-10-31T00:00:00"/>
        <d v="2015-11-02T00:00:00"/>
        <d v="2015-11-05T00:00:00"/>
        <d v="2015-11-06T00:00:00"/>
        <d v="2015-11-09T00:00:00"/>
        <d v="2015-11-11T00:00:00"/>
        <d v="2015-11-14T00:00:00"/>
        <d v="2015-11-15T00:00:00"/>
        <d v="2015-11-18T00:00:00"/>
        <d v="2015-11-19T00:00:00"/>
        <d v="2015-11-20T00:00:00"/>
        <d v="2015-11-21T00:00:00"/>
        <d v="2015-11-23T00:00:00"/>
        <d v="2015-11-24T00:00:00"/>
        <d v="2015-11-25T00:00:00"/>
        <d v="2015-11-26T00:00:00"/>
        <d v="2015-11-27T00:00:00"/>
        <d v="2015-11-29T00:00:00"/>
        <d v="2015-12-01T00:00:00"/>
        <d v="2015-12-02T00:00:00"/>
        <d v="2015-12-04T00:00:00"/>
        <d v="2015-12-05T00:00:00"/>
        <d v="2015-12-07T00:00:00"/>
        <d v="2015-12-08T00:00:00"/>
        <d v="2015-12-10T00:00:00"/>
        <d v="2015-12-11T00:00:00"/>
        <d v="2015-12-12T00:00:00"/>
        <d v="2015-12-13T00:00:00"/>
        <d v="2015-12-15T00:00:00"/>
        <d v="2015-12-17T00:00:00"/>
        <d v="2015-12-18T00:00:00"/>
        <d v="2015-12-19T00:00:00"/>
        <d v="2015-12-20T00:00:00"/>
        <d v="2015-12-21T00:00:00"/>
        <d v="2015-12-23T00:00:00"/>
        <d v="2015-12-24T00:00:00"/>
        <d v="2015-12-26T00:00:00"/>
        <d v="2015-12-28T00:00:00"/>
        <d v="2016-01-01T00:00:00"/>
        <d v="2016-01-03T00:00:00"/>
        <d v="2016-01-04T00:00:00"/>
        <d v="2016-01-07T00:00:00"/>
        <d v="2016-01-08T00:00:00"/>
        <d v="2016-01-09T00:00:00"/>
        <d v="2016-01-10T00:00:00"/>
        <d v="2016-01-11T00:00:00"/>
        <d v="2016-01-12T00:00:00"/>
        <d v="2016-01-14T00:00:00"/>
        <d v="2016-01-15T00:00:00"/>
        <d v="2016-01-18T00:00:00"/>
        <d v="2016-01-19T00:00:00"/>
        <d v="2016-01-20T00:00:00"/>
        <d v="2016-01-22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2T00:00:00"/>
        <d v="2016-02-03T00:00:00"/>
        <d v="2016-02-05T00:00:00"/>
        <d v="2016-02-07T00:00:00"/>
        <d v="2016-02-08T00:00:00"/>
        <d v="2016-02-11T00:00:00"/>
        <d v="2016-02-14T00:00:00"/>
        <d v="2016-02-15T00:00:00"/>
        <d v="2016-02-16T00:00:00"/>
        <d v="2016-02-18T00:00:00"/>
        <d v="2016-02-19T00:00:00"/>
        <d v="2016-02-21T00:00:00"/>
        <d v="2016-02-22T00:00:00"/>
        <d v="2016-02-25T00:00:00"/>
        <d v="2016-02-28T00:00:00"/>
        <d v="2016-03-03T00:00:00"/>
        <d v="2016-03-04T00:00:00"/>
        <d v="2016-03-05T00:00:00"/>
        <d v="2016-03-08T00:00:00"/>
        <d v="2016-03-10T00:00:00"/>
        <d v="2016-03-11T00:00:00"/>
        <d v="2016-03-12T00:00:00"/>
        <d v="2016-03-14T00:00:00"/>
        <d v="2016-03-15T00:00:00"/>
        <d v="2016-03-16T00:00:00"/>
        <d v="2016-03-17T00:00:00"/>
        <d v="2016-03-18T00:00:00"/>
        <d v="2016-03-21T00:00:00"/>
        <d v="2016-03-24T00:00:00"/>
        <d v="2016-03-25T00:00:00"/>
        <d v="2016-03-26T00:00:00"/>
        <d v="2016-03-28T00:00:00"/>
        <d v="2016-03-29T00:00:00"/>
        <d v="2016-04-01T00:00:00"/>
        <d v="2016-04-02T00:00:00"/>
        <d v="2016-04-03T00:00:00"/>
        <d v="2016-04-04T00:00:00"/>
        <d v="2016-04-07T00:00:00"/>
        <d v="2016-04-08T00:00:00"/>
        <d v="2016-04-09T00:00:00"/>
        <d v="2016-04-10T00:00:00"/>
        <d v="2016-04-11T00:00:00"/>
        <d v="2016-04-13T00:00:00"/>
        <d v="2016-04-14T00:00:00"/>
        <d v="2016-04-16T00:00:00"/>
        <d v="2016-04-17T00:00:00"/>
        <d v="2016-04-18T00:00:00"/>
        <d v="2016-04-20T00:00:00"/>
        <d v="2016-04-21T00:00:00"/>
        <d v="2016-04-22T00:00:00"/>
        <d v="2016-04-26T00:00:00"/>
        <d v="2016-04-27T00:00:00"/>
        <d v="2016-04-28T00:00:00"/>
        <d v="2016-04-29T00:00:00"/>
        <d v="2016-04-30T00:00:00"/>
        <d v="2016-05-01T00:00:00"/>
        <d v="2016-05-03T00:00:00"/>
        <d v="2016-05-04T00:00:00"/>
        <d v="2016-05-06T00:00:00"/>
        <d v="2016-05-09T00:00:00"/>
        <d v="2016-05-10T00:00:00"/>
        <d v="2016-05-11T00:00:00"/>
        <d v="2016-05-12T00:00:00"/>
        <d v="2016-05-13T00:00:00"/>
        <d v="2016-05-14T00:00:00"/>
        <d v="2016-05-17T00:00:00"/>
        <d v="2016-05-18T00:00:00"/>
        <d v="2016-05-19T00:00:00"/>
        <d v="2016-05-20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6-01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2T00:00:00"/>
        <d v="2016-06-13T00:00:00"/>
        <d v="2016-06-15T00:00:00"/>
        <d v="2016-06-16T00:00:00"/>
        <d v="2016-06-17T00:00:00"/>
        <d v="2016-06-19T00:00:00"/>
        <d v="2016-06-20T00:00:00"/>
        <d v="2016-06-21T00:00:00"/>
        <d v="2016-06-23T00:00:00"/>
        <d v="2016-06-24T00:00:00"/>
        <d v="2016-06-25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7T00:00:00"/>
        <d v="2016-07-08T00:00:00"/>
        <d v="2016-07-09T00:00:00"/>
        <d v="2016-07-10T00:00:00"/>
        <d v="2016-07-11T00:00:00"/>
        <d v="2016-07-12T00:00:00"/>
        <d v="2016-07-15T00:00:00"/>
        <d v="2016-07-17T00:00:00"/>
        <d v="2016-07-21T00:00:00"/>
        <d v="2016-07-22T00:00:00"/>
        <d v="2016-07-23T00:00:00"/>
        <d v="2016-07-25T00:00:00"/>
        <d v="2016-07-26T00:00:00"/>
        <d v="2016-07-29T00:00:00"/>
        <d v="2016-07-30T00:00:00"/>
        <d v="2016-07-31T00:00:00"/>
        <d v="2016-08-01T00:00:00"/>
        <d v="2016-08-02T00:00:00"/>
        <d v="2016-08-04T00:00:00"/>
        <d v="2016-08-05T00:00:00"/>
        <d v="2016-08-06T00:00:00"/>
        <d v="2016-08-08T00:00:00"/>
        <d v="2016-08-09T00:00:00"/>
        <d v="2016-08-10T00:00:00"/>
        <d v="2016-08-11T00:00:00"/>
        <d v="2016-08-13T00:00:00"/>
        <d v="2016-08-14T00:00:00"/>
        <d v="2016-08-18T00:00:00"/>
        <d v="2016-08-21T00:00:00"/>
        <d v="2016-08-24T00:00:00"/>
        <d v="2016-08-25T00:00:00"/>
        <d v="2016-08-26T00:00:00"/>
        <d v="2016-08-28T00:00:00"/>
        <d v="2016-08-30T00:00:00"/>
        <d v="2016-09-01T00:00:00"/>
        <d v="2016-09-02T00:00:00"/>
        <d v="2016-09-06T00:00:00"/>
        <d v="2016-09-07T00:00:00"/>
        <d v="2016-09-08T00:00:00"/>
        <d v="2016-09-09T00:00:00"/>
        <d v="2016-09-11T00:00:00"/>
        <d v="2016-09-12T00:00:00"/>
        <d v="2016-09-13T00:00:00"/>
        <d v="2016-09-14T00:00:00"/>
        <d v="2016-09-15T00:00:00"/>
        <d v="2016-09-19T00:00:00"/>
        <d v="2016-09-22T00:00:00"/>
        <d v="2016-09-23T00:00:00"/>
        <d v="2016-09-26T00:00:00"/>
        <d v="2016-09-27T00:00:00"/>
        <d v="2016-09-29T00:00:00"/>
        <d v="2016-09-30T00:00:00"/>
        <d v="2016-10-01T00:00:00"/>
        <d v="2016-10-04T00:00:00"/>
        <d v="2016-10-05T00:00:00"/>
        <d v="2016-10-06T00:00:00"/>
        <d v="2016-10-07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30T00:00:00"/>
        <d v="2016-10-31T00:00:00"/>
        <d v="2016-11-02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8T00:00:00"/>
        <d v="2016-11-19T00:00:00"/>
        <d v="2016-11-20T00:00:00"/>
        <d v="2016-11-22T00:00:00"/>
        <d v="2016-11-23T00:00:00"/>
        <d v="2016-11-24T00:00:00"/>
        <d v="2016-11-26T00:00:00"/>
        <d v="2016-11-27T00:00:00"/>
        <d v="2016-11-29T00:00:00"/>
        <d v="2016-11-30T00:00:00"/>
        <d v="2016-12-02T00:00:00"/>
        <d v="2016-12-03T00:00:00"/>
        <d v="2016-12-04T00:00:00"/>
        <d v="2016-12-05T00:00:00"/>
        <d v="2016-12-06T00:00:00"/>
        <d v="2016-12-08T00:00:00"/>
        <d v="2016-12-10T00:00:00"/>
        <d v="2016-12-11T00:00:00"/>
        <d v="2016-12-12T00:00:00"/>
        <d v="2016-12-15T00:00:00"/>
        <d v="2016-12-16T00:00:00"/>
        <d v="2016-12-18T00:00:00"/>
        <d v="2016-12-19T00:00:00"/>
        <d v="2016-12-20T00:00:00"/>
        <d v="2016-12-24T00:00:00"/>
        <d v="2016-12-26T00:00:00"/>
        <d v="2016-12-28T00:00:00"/>
      </sharedItems>
      <fieldGroup par="15"/>
    </cacheField>
    <cacheField name="UnitsOrdered" numFmtId="0">
      <sharedItems containsSemiMixedTypes="0" containsString="0" containsNumber="1" containsInteger="1" minValue="25" maxValue="150"/>
    </cacheField>
    <cacheField name="unit price" numFmtId="0">
      <sharedItems containsSemiMixedTypes="0" containsString="0" containsNumber="1" containsInteger="1" minValue="16" maxValue="38"/>
    </cacheField>
    <cacheField name="Discount" numFmtId="0">
      <sharedItems containsSemiMixedTypes="0" containsString="0" containsNumber="1" minValue="0" maxValue="0.15000000599999999"/>
    </cacheField>
    <cacheField name="revenue" numFmtId="0">
      <sharedItems containsSemiMixedTypes="0" containsString="0" containsNumber="1" minValue="410.399999568" maxValue="5700"/>
    </cacheField>
    <cacheField name="customername" numFmtId="0">
      <sharedItems/>
    </cacheField>
    <cacheField name="customerCity" numFmtId="0">
      <sharedItems/>
    </cacheField>
    <cacheField name="productGender" numFmtId="0">
      <sharedItems/>
    </cacheField>
    <cacheField name="Day" numFmtId="0">
      <sharedItems containsSemiMixedTypes="0" containsString="0" containsNumber="1" containsInteger="1" minValue="1" maxValue="31" count="31">
        <n v="2"/>
        <n v="3"/>
        <n v="5"/>
        <n v="7"/>
        <n v="8"/>
        <n v="9"/>
        <n v="10"/>
        <n v="12"/>
        <n v="14"/>
        <n v="15"/>
        <n v="16"/>
        <n v="18"/>
        <n v="19"/>
        <n v="20"/>
        <n v="22"/>
        <n v="23"/>
        <n v="24"/>
        <n v="25"/>
        <n v="26"/>
        <n v="27"/>
        <n v="28"/>
        <n v="29"/>
        <n v="30"/>
        <n v="4"/>
        <n v="6"/>
        <n v="13"/>
        <n v="17"/>
        <n v="21"/>
        <n v="1"/>
        <n v="31"/>
        <n v="11"/>
      </sharedItems>
    </cacheField>
    <cacheField name="years" numFmtId="0">
      <sharedItems containsSemiMixedTypes="0" containsString="0" containsNumber="1" containsInteger="1" minValue="2012" maxValue="2016"/>
    </cacheField>
    <cacheField name="Months (OrderDate)" numFmtId="0" databaseField="0">
      <fieldGroup base="3">
        <rangePr groupBy="months" startDate="2012-01-02T00:00:00" endDate="2016-12-29T00:00:00"/>
        <groupItems count="14">
          <s v="&lt;02/01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12/2016"/>
        </groupItems>
      </fieldGroup>
    </cacheField>
    <cacheField name="Quarters (OrderDate)" numFmtId="0" databaseField="0">
      <fieldGroup base="3">
        <rangePr groupBy="quarters" startDate="2012-01-02T00:00:00" endDate="2016-12-29T00:00:00"/>
        <groupItems count="6">
          <s v="&lt;02/01/2012"/>
          <s v="Qtr1"/>
          <s v="Qtr2"/>
          <s v="Qtr3"/>
          <s v="Qtr4"/>
          <s v="&gt;29/12/2016"/>
        </groupItems>
      </fieldGroup>
    </cacheField>
    <cacheField name="Years (OrderDate)" numFmtId="0" databaseField="0">
      <fieldGroup base="3">
        <rangePr groupBy="years" startDate="2012-01-02T00:00:00" endDate="2016-12-29T00:00:00"/>
        <groupItems count="7">
          <s v="&lt;02/01/2012"/>
          <s v="2012"/>
          <s v="2013"/>
          <s v="2014"/>
          <s v="2015"/>
          <s v="2016"/>
          <s v="&gt;29/1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5">
  <r>
    <n v="1"/>
    <n v="2"/>
    <n v="9"/>
    <x v="0"/>
    <n v="113"/>
    <n v="25"/>
    <n v="0"/>
    <n v="2825"/>
    <s v="A Shirts Life"/>
    <s v="Portland"/>
    <s v="Male"/>
    <x v="0"/>
    <n v="2012"/>
  </r>
  <r>
    <n v="2"/>
    <n v="3"/>
    <n v="8"/>
    <x v="0"/>
    <n v="38"/>
    <n v="27"/>
    <n v="0"/>
    <n v="1026"/>
    <s v="Shirts R Us"/>
    <s v="Los Angeles"/>
    <s v="Female"/>
    <x v="0"/>
    <n v="2012"/>
  </r>
  <r>
    <n v="3"/>
    <n v="3"/>
    <n v="2"/>
    <x v="0"/>
    <n v="65"/>
    <n v="30"/>
    <n v="0"/>
    <n v="1950"/>
    <s v="Shirts R Us"/>
    <s v="Los Angeles"/>
    <s v="Both"/>
    <x v="0"/>
    <n v="2012"/>
  </r>
  <r>
    <n v="4"/>
    <n v="2"/>
    <n v="6"/>
    <x v="1"/>
    <n v="99"/>
    <n v="28"/>
    <n v="0"/>
    <n v="2772"/>
    <s v="A Shirts Life"/>
    <s v="Portland"/>
    <s v="Female"/>
    <x v="1"/>
    <n v="2012"/>
  </r>
  <r>
    <n v="5"/>
    <n v="4"/>
    <n v="5"/>
    <x v="1"/>
    <n v="56"/>
    <n v="16"/>
    <n v="0"/>
    <n v="896"/>
    <s v="Tshirt Unlimited"/>
    <s v="Phoenix"/>
    <s v="Female"/>
    <x v="1"/>
    <n v="2012"/>
  </r>
  <r>
    <n v="6"/>
    <n v="2"/>
    <n v="3"/>
    <x v="2"/>
    <n v="41"/>
    <n v="22"/>
    <n v="0"/>
    <n v="902"/>
    <s v="A Shirts Life"/>
    <s v="Portland"/>
    <s v="Both"/>
    <x v="2"/>
    <n v="2012"/>
  </r>
  <r>
    <n v="7"/>
    <n v="3"/>
    <n v="10"/>
    <x v="2"/>
    <n v="142"/>
    <n v="35"/>
    <n v="0.10000000100000001"/>
    <n v="4472.9999950299998"/>
    <s v="Shirts R Us"/>
    <s v="Los Angeles"/>
    <s v="Male"/>
    <x v="2"/>
    <n v="2012"/>
  </r>
  <r>
    <n v="8"/>
    <n v="6"/>
    <n v="8"/>
    <x v="2"/>
    <n v="95"/>
    <n v="27"/>
    <n v="0"/>
    <n v="2565"/>
    <s v="Abracadaba Ink"/>
    <s v="Salt Lake City"/>
    <s v="Female"/>
    <x v="2"/>
    <n v="2012"/>
  </r>
  <r>
    <n v="9"/>
    <n v="2"/>
    <n v="9"/>
    <x v="3"/>
    <n v="106"/>
    <n v="25"/>
    <n v="0.10000000100000001"/>
    <n v="2384.9999973499998"/>
    <s v="A Shirts Life"/>
    <s v="Portland"/>
    <s v="Male"/>
    <x v="3"/>
    <n v="2012"/>
  </r>
  <r>
    <n v="10"/>
    <n v="1"/>
    <n v="9"/>
    <x v="4"/>
    <n v="91"/>
    <n v="25"/>
    <n v="0"/>
    <n v="2275"/>
    <s v="Threads"/>
    <s v="Seattle"/>
    <s v="Male"/>
    <x v="4"/>
    <n v="2012"/>
  </r>
  <r>
    <n v="11"/>
    <n v="4"/>
    <n v="6"/>
    <x v="5"/>
    <n v="80"/>
    <n v="28"/>
    <n v="0"/>
    <n v="2240"/>
    <s v="Tshirt Unlimited"/>
    <s v="Phoenix"/>
    <s v="Female"/>
    <x v="5"/>
    <n v="2012"/>
  </r>
  <r>
    <n v="12"/>
    <n v="3"/>
    <n v="6"/>
    <x v="6"/>
    <n v="98"/>
    <n v="28"/>
    <n v="0.10000000100000001"/>
    <n v="2469.5999972559998"/>
    <s v="Shirts R Us"/>
    <s v="Los Angeles"/>
    <s v="Female"/>
    <x v="6"/>
    <n v="2012"/>
  </r>
  <r>
    <n v="13"/>
    <n v="1"/>
    <n v="10"/>
    <x v="7"/>
    <n v="150"/>
    <n v="35"/>
    <n v="0"/>
    <n v="5250"/>
    <s v="Threads"/>
    <s v="Seattle"/>
    <s v="Male"/>
    <x v="7"/>
    <n v="2012"/>
  </r>
  <r>
    <n v="14"/>
    <n v="1"/>
    <n v="4"/>
    <x v="8"/>
    <n v="75"/>
    <n v="30"/>
    <n v="5.0000001000000002E-2"/>
    <n v="2137.4999977500001"/>
    <s v="Threads"/>
    <s v="Seattle"/>
    <s v="Both"/>
    <x v="8"/>
    <n v="2012"/>
  </r>
  <r>
    <n v="15"/>
    <n v="1"/>
    <n v="3"/>
    <x v="9"/>
    <n v="150"/>
    <n v="22"/>
    <n v="0"/>
    <n v="3300"/>
    <s v="Threads"/>
    <s v="Seattle"/>
    <s v="Both"/>
    <x v="9"/>
    <n v="2012"/>
  </r>
  <r>
    <n v="16"/>
    <n v="1"/>
    <n v="6"/>
    <x v="9"/>
    <n v="103"/>
    <n v="28"/>
    <n v="0"/>
    <n v="2884"/>
    <s v="Threads"/>
    <s v="Seattle"/>
    <s v="Female"/>
    <x v="9"/>
    <n v="2012"/>
  </r>
  <r>
    <n v="17"/>
    <n v="2"/>
    <n v="6"/>
    <x v="9"/>
    <n v="147"/>
    <n v="28"/>
    <n v="0"/>
    <n v="4116"/>
    <s v="A Shirts Life"/>
    <s v="Portland"/>
    <s v="Female"/>
    <x v="9"/>
    <n v="2012"/>
  </r>
  <r>
    <n v="18"/>
    <n v="3"/>
    <n v="8"/>
    <x v="9"/>
    <n v="117"/>
    <n v="27"/>
    <n v="0"/>
    <n v="3159"/>
    <s v="Shirts R Us"/>
    <s v="Los Angeles"/>
    <s v="Female"/>
    <x v="9"/>
    <n v="2012"/>
  </r>
  <r>
    <n v="19"/>
    <n v="4"/>
    <n v="1"/>
    <x v="9"/>
    <n v="93"/>
    <n v="20"/>
    <n v="5.0000001000000002E-2"/>
    <n v="1766.9999981400001"/>
    <s v="Tshirt Unlimited"/>
    <s v="Phoenix"/>
    <s v="Both"/>
    <x v="9"/>
    <n v="2012"/>
  </r>
  <r>
    <n v="20"/>
    <n v="4"/>
    <n v="4"/>
    <x v="9"/>
    <n v="38"/>
    <n v="30"/>
    <n v="0"/>
    <n v="1140"/>
    <s v="Tshirt Unlimited"/>
    <s v="Phoenix"/>
    <s v="Both"/>
    <x v="9"/>
    <n v="2012"/>
  </r>
  <r>
    <n v="21"/>
    <n v="4"/>
    <n v="6"/>
    <x v="9"/>
    <n v="132"/>
    <n v="28"/>
    <n v="0"/>
    <n v="3696"/>
    <s v="Tshirt Unlimited"/>
    <s v="Phoenix"/>
    <s v="Female"/>
    <x v="9"/>
    <n v="2012"/>
  </r>
  <r>
    <n v="22"/>
    <n v="5"/>
    <n v="7"/>
    <x v="9"/>
    <n v="32"/>
    <n v="38"/>
    <n v="0"/>
    <n v="1216"/>
    <s v="Rags to Riches"/>
    <s v="Las Vegas"/>
    <s v="Female"/>
    <x v="9"/>
    <n v="2012"/>
  </r>
  <r>
    <n v="23"/>
    <n v="1"/>
    <n v="7"/>
    <x v="10"/>
    <n v="99"/>
    <n v="38"/>
    <n v="0"/>
    <n v="3762"/>
    <s v="Threads"/>
    <s v="Seattle"/>
    <s v="Female"/>
    <x v="10"/>
    <n v="2012"/>
  </r>
  <r>
    <n v="24"/>
    <n v="2"/>
    <n v="8"/>
    <x v="10"/>
    <n v="134"/>
    <n v="27"/>
    <n v="0"/>
    <n v="3618"/>
    <s v="A Shirts Life"/>
    <s v="Portland"/>
    <s v="Female"/>
    <x v="10"/>
    <n v="2012"/>
  </r>
  <r>
    <n v="25"/>
    <n v="3"/>
    <n v="4"/>
    <x v="10"/>
    <n v="78"/>
    <n v="30"/>
    <n v="0"/>
    <n v="2340"/>
    <s v="Shirts R Us"/>
    <s v="Los Angeles"/>
    <s v="Both"/>
    <x v="10"/>
    <n v="2012"/>
  </r>
  <r>
    <n v="26"/>
    <n v="4"/>
    <n v="8"/>
    <x v="10"/>
    <n v="90"/>
    <n v="27"/>
    <n v="0"/>
    <n v="2430"/>
    <s v="Tshirt Unlimited"/>
    <s v="Phoenix"/>
    <s v="Female"/>
    <x v="10"/>
    <n v="2012"/>
  </r>
  <r>
    <n v="27"/>
    <n v="6"/>
    <n v="10"/>
    <x v="10"/>
    <n v="93"/>
    <n v="35"/>
    <n v="0"/>
    <n v="3255"/>
    <s v="Abracadaba Ink"/>
    <s v="Salt Lake City"/>
    <s v="Male"/>
    <x v="10"/>
    <n v="2012"/>
  </r>
  <r>
    <n v="28"/>
    <n v="7"/>
    <n v="9"/>
    <x v="10"/>
    <n v="137"/>
    <n v="25"/>
    <n v="0"/>
    <n v="3425"/>
    <s v="The Shirt on Your Back"/>
    <s v="Bonners Ferry"/>
    <s v="Male"/>
    <x v="10"/>
    <n v="2012"/>
  </r>
  <r>
    <n v="29"/>
    <n v="4"/>
    <n v="3"/>
    <x v="11"/>
    <n v="98"/>
    <n v="22"/>
    <n v="0"/>
    <n v="2156"/>
    <s v="Tshirt Unlimited"/>
    <s v="Phoenix"/>
    <s v="Both"/>
    <x v="11"/>
    <n v="2012"/>
  </r>
  <r>
    <n v="30"/>
    <n v="6"/>
    <n v="2"/>
    <x v="11"/>
    <n v="94"/>
    <n v="30"/>
    <n v="0"/>
    <n v="2820"/>
    <s v="Abracadaba Ink"/>
    <s v="Salt Lake City"/>
    <s v="Both"/>
    <x v="11"/>
    <n v="2012"/>
  </r>
  <r>
    <n v="31"/>
    <n v="3"/>
    <n v="6"/>
    <x v="12"/>
    <n v="142"/>
    <n v="28"/>
    <n v="0"/>
    <n v="3976"/>
    <s v="Shirts R Us"/>
    <s v="Los Angeles"/>
    <s v="Female"/>
    <x v="12"/>
    <n v="2012"/>
  </r>
  <r>
    <n v="32"/>
    <n v="3"/>
    <n v="8"/>
    <x v="12"/>
    <n v="29"/>
    <n v="27"/>
    <n v="0"/>
    <n v="783"/>
    <s v="Shirts R Us"/>
    <s v="Los Angeles"/>
    <s v="Female"/>
    <x v="12"/>
    <n v="2012"/>
  </r>
  <r>
    <n v="33"/>
    <n v="2"/>
    <n v="9"/>
    <x v="13"/>
    <n v="142"/>
    <n v="25"/>
    <n v="0"/>
    <n v="3550"/>
    <s v="A Shirts Life"/>
    <s v="Portland"/>
    <s v="Male"/>
    <x v="13"/>
    <n v="2012"/>
  </r>
  <r>
    <n v="34"/>
    <n v="1"/>
    <n v="5"/>
    <x v="14"/>
    <n v="42"/>
    <n v="16"/>
    <n v="0"/>
    <n v="672"/>
    <s v="Threads"/>
    <s v="Seattle"/>
    <s v="Female"/>
    <x v="14"/>
    <n v="2012"/>
  </r>
  <r>
    <n v="35"/>
    <n v="3"/>
    <n v="2"/>
    <x v="15"/>
    <n v="102"/>
    <n v="30"/>
    <n v="5.0000001000000002E-2"/>
    <n v="2906.9999969400001"/>
    <s v="Shirts R Us"/>
    <s v="Los Angeles"/>
    <s v="Both"/>
    <x v="15"/>
    <n v="2012"/>
  </r>
  <r>
    <n v="36"/>
    <n v="7"/>
    <n v="8"/>
    <x v="16"/>
    <n v="51"/>
    <n v="27"/>
    <n v="0"/>
    <n v="1377"/>
    <s v="The Shirt on Your Back"/>
    <s v="Bonners Ferry"/>
    <s v="Female"/>
    <x v="16"/>
    <n v="2012"/>
  </r>
  <r>
    <n v="37"/>
    <n v="2"/>
    <n v="6"/>
    <x v="17"/>
    <n v="129"/>
    <n v="28"/>
    <n v="0"/>
    <n v="3612"/>
    <s v="A Shirts Life"/>
    <s v="Portland"/>
    <s v="Female"/>
    <x v="17"/>
    <n v="2012"/>
  </r>
  <r>
    <n v="38"/>
    <n v="7"/>
    <n v="7"/>
    <x v="17"/>
    <n v="87"/>
    <n v="38"/>
    <n v="0"/>
    <n v="3306"/>
    <s v="The Shirt on Your Back"/>
    <s v="Bonners Ferry"/>
    <s v="Female"/>
    <x v="17"/>
    <n v="2012"/>
  </r>
  <r>
    <n v="39"/>
    <n v="1"/>
    <n v="8"/>
    <x v="18"/>
    <n v="110"/>
    <n v="27"/>
    <n v="0"/>
    <n v="2970"/>
    <s v="Threads"/>
    <s v="Seattle"/>
    <s v="Female"/>
    <x v="18"/>
    <n v="2012"/>
  </r>
  <r>
    <n v="40"/>
    <n v="6"/>
    <n v="4"/>
    <x v="18"/>
    <n v="142"/>
    <n v="30"/>
    <n v="0"/>
    <n v="4260"/>
    <s v="Abracadaba Ink"/>
    <s v="Salt Lake City"/>
    <s v="Both"/>
    <x v="18"/>
    <n v="2012"/>
  </r>
  <r>
    <n v="41"/>
    <n v="3"/>
    <n v="10"/>
    <x v="19"/>
    <n v="49"/>
    <n v="35"/>
    <n v="0"/>
    <n v="1715"/>
    <s v="Shirts R Us"/>
    <s v="Los Angeles"/>
    <s v="Male"/>
    <x v="19"/>
    <n v="2012"/>
  </r>
  <r>
    <n v="42"/>
    <n v="6"/>
    <n v="5"/>
    <x v="19"/>
    <n v="56"/>
    <n v="16"/>
    <n v="0"/>
    <n v="896"/>
    <s v="Abracadaba Ink"/>
    <s v="Salt Lake City"/>
    <s v="Female"/>
    <x v="19"/>
    <n v="2012"/>
  </r>
  <r>
    <n v="43"/>
    <n v="4"/>
    <n v="6"/>
    <x v="20"/>
    <n v="48"/>
    <n v="28"/>
    <n v="0"/>
    <n v="1344"/>
    <s v="Tshirt Unlimited"/>
    <s v="Phoenix"/>
    <s v="Female"/>
    <x v="20"/>
    <n v="2012"/>
  </r>
  <r>
    <n v="44"/>
    <n v="7"/>
    <n v="2"/>
    <x v="20"/>
    <n v="42"/>
    <n v="30"/>
    <n v="0"/>
    <n v="1260"/>
    <s v="The Shirt on Your Back"/>
    <s v="Bonners Ferry"/>
    <s v="Both"/>
    <x v="20"/>
    <n v="2012"/>
  </r>
  <r>
    <n v="45"/>
    <n v="3"/>
    <n v="3"/>
    <x v="21"/>
    <n v="74"/>
    <n v="22"/>
    <n v="0"/>
    <n v="1628"/>
    <s v="Shirts R Us"/>
    <s v="Los Angeles"/>
    <s v="Both"/>
    <x v="21"/>
    <n v="2012"/>
  </r>
  <r>
    <n v="46"/>
    <n v="1"/>
    <n v="1"/>
    <x v="22"/>
    <n v="95"/>
    <n v="20"/>
    <n v="0"/>
    <n v="1900"/>
    <s v="Threads"/>
    <s v="Seattle"/>
    <s v="Both"/>
    <x v="22"/>
    <n v="2012"/>
  </r>
  <r>
    <n v="47"/>
    <n v="4"/>
    <n v="6"/>
    <x v="23"/>
    <n v="45"/>
    <n v="28"/>
    <n v="0"/>
    <n v="1260"/>
    <s v="Tshirt Unlimited"/>
    <s v="Phoenix"/>
    <s v="Female"/>
    <x v="23"/>
    <n v="2012"/>
  </r>
  <r>
    <n v="48"/>
    <n v="2"/>
    <n v="1"/>
    <x v="24"/>
    <n v="49"/>
    <n v="20"/>
    <n v="0"/>
    <n v="980"/>
    <s v="A Shirts Life"/>
    <s v="Portland"/>
    <s v="Both"/>
    <x v="2"/>
    <n v="2012"/>
  </r>
  <r>
    <n v="49"/>
    <n v="1"/>
    <n v="10"/>
    <x v="25"/>
    <n v="107"/>
    <n v="35"/>
    <n v="5.0000001000000002E-2"/>
    <n v="3557.749996255"/>
    <s v="Threads"/>
    <s v="Seattle"/>
    <s v="Male"/>
    <x v="24"/>
    <n v="2012"/>
  </r>
  <r>
    <n v="50"/>
    <n v="4"/>
    <n v="3"/>
    <x v="25"/>
    <n v="128"/>
    <n v="22"/>
    <n v="0.10000000100000001"/>
    <n v="2534.3999971839999"/>
    <s v="Tshirt Unlimited"/>
    <s v="Phoenix"/>
    <s v="Both"/>
    <x v="24"/>
    <n v="2012"/>
  </r>
  <r>
    <n v="51"/>
    <n v="4"/>
    <n v="10"/>
    <x v="26"/>
    <n v="124"/>
    <n v="35"/>
    <n v="0"/>
    <n v="4340"/>
    <s v="Tshirt Unlimited"/>
    <s v="Phoenix"/>
    <s v="Male"/>
    <x v="3"/>
    <n v="2012"/>
  </r>
  <r>
    <n v="52"/>
    <n v="1"/>
    <n v="3"/>
    <x v="27"/>
    <n v="44"/>
    <n v="22"/>
    <n v="0"/>
    <n v="968"/>
    <s v="Threads"/>
    <s v="Seattle"/>
    <s v="Both"/>
    <x v="4"/>
    <n v="2012"/>
  </r>
  <r>
    <n v="53"/>
    <n v="6"/>
    <n v="8"/>
    <x v="28"/>
    <n v="34"/>
    <n v="27"/>
    <n v="0.10000000100000001"/>
    <n v="826.19999908199998"/>
    <s v="Abracadaba Ink"/>
    <s v="Salt Lake City"/>
    <s v="Female"/>
    <x v="5"/>
    <n v="2012"/>
  </r>
  <r>
    <n v="54"/>
    <n v="1"/>
    <n v="8"/>
    <x v="29"/>
    <n v="130"/>
    <n v="27"/>
    <n v="0.10000000100000001"/>
    <n v="3158.9999964899998"/>
    <s v="Threads"/>
    <s v="Seattle"/>
    <s v="Female"/>
    <x v="6"/>
    <n v="2012"/>
  </r>
  <r>
    <n v="55"/>
    <n v="2"/>
    <n v="4"/>
    <x v="30"/>
    <n v="110"/>
    <n v="30"/>
    <n v="0"/>
    <n v="3300"/>
    <s v="A Shirts Life"/>
    <s v="Portland"/>
    <s v="Both"/>
    <x v="7"/>
    <n v="2012"/>
  </r>
  <r>
    <n v="56"/>
    <n v="6"/>
    <n v="1"/>
    <x v="30"/>
    <n v="77"/>
    <n v="20"/>
    <n v="0"/>
    <n v="1540"/>
    <s v="Abracadaba Ink"/>
    <s v="Salt Lake City"/>
    <s v="Both"/>
    <x v="7"/>
    <n v="2012"/>
  </r>
  <r>
    <n v="57"/>
    <n v="7"/>
    <n v="9"/>
    <x v="30"/>
    <n v="98"/>
    <n v="25"/>
    <n v="0"/>
    <n v="2450"/>
    <s v="The Shirt on Your Back"/>
    <s v="Bonners Ferry"/>
    <s v="Male"/>
    <x v="7"/>
    <n v="2012"/>
  </r>
  <r>
    <n v="58"/>
    <n v="3"/>
    <n v="4"/>
    <x v="31"/>
    <n v="59"/>
    <n v="30"/>
    <n v="0.10000000100000001"/>
    <n v="1592.9999982300001"/>
    <s v="Shirts R Us"/>
    <s v="Los Angeles"/>
    <s v="Both"/>
    <x v="25"/>
    <n v="2012"/>
  </r>
  <r>
    <n v="59"/>
    <n v="7"/>
    <n v="1"/>
    <x v="32"/>
    <n v="127"/>
    <n v="20"/>
    <n v="0"/>
    <n v="2540"/>
    <s v="The Shirt on Your Back"/>
    <s v="Bonners Ferry"/>
    <s v="Both"/>
    <x v="9"/>
    <n v="2012"/>
  </r>
  <r>
    <n v="60"/>
    <n v="6"/>
    <n v="7"/>
    <x v="33"/>
    <n v="93"/>
    <n v="38"/>
    <n v="0.10000000100000001"/>
    <n v="3180.599996466"/>
    <s v="Abracadaba Ink"/>
    <s v="Salt Lake City"/>
    <s v="Female"/>
    <x v="10"/>
    <n v="2012"/>
  </r>
  <r>
    <n v="61"/>
    <n v="2"/>
    <n v="5"/>
    <x v="34"/>
    <n v="135"/>
    <n v="16"/>
    <n v="0"/>
    <n v="2160"/>
    <s v="A Shirts Life"/>
    <s v="Portland"/>
    <s v="Female"/>
    <x v="26"/>
    <n v="2012"/>
  </r>
  <r>
    <n v="62"/>
    <n v="4"/>
    <n v="3"/>
    <x v="35"/>
    <n v="97"/>
    <n v="22"/>
    <n v="0"/>
    <n v="2134"/>
    <s v="Tshirt Unlimited"/>
    <s v="Phoenix"/>
    <s v="Both"/>
    <x v="12"/>
    <n v="2012"/>
  </r>
  <r>
    <n v="63"/>
    <n v="3"/>
    <n v="6"/>
    <x v="36"/>
    <n v="72"/>
    <n v="28"/>
    <n v="0.10000000100000001"/>
    <n v="1814.399997984"/>
    <s v="Shirts R Us"/>
    <s v="Los Angeles"/>
    <s v="Female"/>
    <x v="13"/>
    <n v="2012"/>
  </r>
  <r>
    <n v="64"/>
    <n v="5"/>
    <n v="2"/>
    <x v="36"/>
    <n v="84"/>
    <n v="30"/>
    <n v="0"/>
    <n v="2520"/>
    <s v="Rags to Riches"/>
    <s v="Las Vegas"/>
    <s v="Both"/>
    <x v="13"/>
    <n v="2012"/>
  </r>
  <r>
    <n v="65"/>
    <n v="1"/>
    <n v="2"/>
    <x v="37"/>
    <n v="121"/>
    <n v="30"/>
    <n v="0"/>
    <n v="3630"/>
    <s v="Threads"/>
    <s v="Seattle"/>
    <s v="Both"/>
    <x v="27"/>
    <n v="2012"/>
  </r>
  <r>
    <n v="66"/>
    <n v="7"/>
    <n v="2"/>
    <x v="37"/>
    <n v="101"/>
    <n v="30"/>
    <n v="0"/>
    <n v="3030"/>
    <s v="The Shirt on Your Back"/>
    <s v="Bonners Ferry"/>
    <s v="Both"/>
    <x v="27"/>
    <n v="2012"/>
  </r>
  <r>
    <n v="67"/>
    <n v="7"/>
    <n v="5"/>
    <x v="38"/>
    <n v="107"/>
    <n v="16"/>
    <n v="0.15000000599999999"/>
    <n v="1455.199989728"/>
    <s v="The Shirt on Your Back"/>
    <s v="Bonners Ferry"/>
    <s v="Female"/>
    <x v="16"/>
    <n v="2012"/>
  </r>
  <r>
    <n v="68"/>
    <n v="3"/>
    <n v="2"/>
    <x v="39"/>
    <n v="74"/>
    <n v="30"/>
    <n v="0"/>
    <n v="2220"/>
    <s v="Shirts R Us"/>
    <s v="Los Angeles"/>
    <s v="Both"/>
    <x v="19"/>
    <n v="2012"/>
  </r>
  <r>
    <n v="69"/>
    <n v="5"/>
    <n v="7"/>
    <x v="39"/>
    <n v="73"/>
    <n v="38"/>
    <n v="0"/>
    <n v="2774"/>
    <s v="Rags to Riches"/>
    <s v="Las Vegas"/>
    <s v="Female"/>
    <x v="19"/>
    <n v="2012"/>
  </r>
  <r>
    <n v="70"/>
    <n v="5"/>
    <n v="10"/>
    <x v="39"/>
    <n v="76"/>
    <n v="35"/>
    <n v="0"/>
    <n v="2660"/>
    <s v="Rags to Riches"/>
    <s v="Las Vegas"/>
    <s v="Male"/>
    <x v="19"/>
    <n v="2012"/>
  </r>
  <r>
    <n v="71"/>
    <n v="7"/>
    <n v="8"/>
    <x v="39"/>
    <n v="62"/>
    <n v="27"/>
    <n v="0"/>
    <n v="1674"/>
    <s v="The Shirt on Your Back"/>
    <s v="Bonners Ferry"/>
    <s v="Female"/>
    <x v="19"/>
    <n v="2012"/>
  </r>
  <r>
    <n v="72"/>
    <n v="6"/>
    <n v="4"/>
    <x v="40"/>
    <n v="43"/>
    <n v="30"/>
    <n v="5.0000001000000002E-2"/>
    <n v="1225.49999871"/>
    <s v="Abracadaba Ink"/>
    <s v="Salt Lake City"/>
    <s v="Both"/>
    <x v="28"/>
    <n v="2012"/>
  </r>
  <r>
    <n v="73"/>
    <n v="5"/>
    <n v="3"/>
    <x v="41"/>
    <n v="133"/>
    <n v="22"/>
    <n v="5.0000001000000002E-2"/>
    <n v="2779.6999970739998"/>
    <s v="Rags to Riches"/>
    <s v="Las Vegas"/>
    <s v="Both"/>
    <x v="1"/>
    <n v="2012"/>
  </r>
  <r>
    <n v="74"/>
    <n v="4"/>
    <n v="2"/>
    <x v="42"/>
    <n v="120"/>
    <n v="30"/>
    <n v="0"/>
    <n v="3600"/>
    <s v="Tshirt Unlimited"/>
    <s v="Phoenix"/>
    <s v="Both"/>
    <x v="23"/>
    <n v="2012"/>
  </r>
  <r>
    <n v="75"/>
    <n v="1"/>
    <n v="9"/>
    <x v="43"/>
    <n v="68"/>
    <n v="25"/>
    <n v="0"/>
    <n v="1700"/>
    <s v="Threads"/>
    <s v="Seattle"/>
    <s v="Male"/>
    <x v="2"/>
    <n v="2012"/>
  </r>
  <r>
    <n v="76"/>
    <n v="7"/>
    <n v="9"/>
    <x v="43"/>
    <n v="103"/>
    <n v="25"/>
    <n v="5.0000001000000002E-2"/>
    <n v="2446.2499974249999"/>
    <s v="The Shirt on Your Back"/>
    <s v="Bonners Ferry"/>
    <s v="Male"/>
    <x v="2"/>
    <n v="2012"/>
  </r>
  <r>
    <n v="77"/>
    <n v="1"/>
    <n v="7"/>
    <x v="44"/>
    <n v="46"/>
    <n v="38"/>
    <n v="0"/>
    <n v="1748"/>
    <s v="Threads"/>
    <s v="Seattle"/>
    <s v="Female"/>
    <x v="24"/>
    <n v="2012"/>
  </r>
  <r>
    <n v="78"/>
    <n v="6"/>
    <n v="10"/>
    <x v="44"/>
    <n v="130"/>
    <n v="35"/>
    <n v="0"/>
    <n v="4550"/>
    <s v="Abracadaba Ink"/>
    <s v="Salt Lake City"/>
    <s v="Male"/>
    <x v="24"/>
    <n v="2012"/>
  </r>
  <r>
    <n v="79"/>
    <n v="7"/>
    <n v="1"/>
    <x v="44"/>
    <n v="103"/>
    <n v="20"/>
    <n v="0"/>
    <n v="2060"/>
    <s v="The Shirt on Your Back"/>
    <s v="Bonners Ferry"/>
    <s v="Both"/>
    <x v="24"/>
    <n v="2012"/>
  </r>
  <r>
    <n v="80"/>
    <n v="2"/>
    <n v="1"/>
    <x v="45"/>
    <n v="96"/>
    <n v="20"/>
    <n v="0"/>
    <n v="1920"/>
    <s v="A Shirts Life"/>
    <s v="Portland"/>
    <s v="Both"/>
    <x v="3"/>
    <n v="2012"/>
  </r>
  <r>
    <n v="81"/>
    <n v="3"/>
    <n v="4"/>
    <x v="45"/>
    <n v="32"/>
    <n v="30"/>
    <n v="0"/>
    <n v="960"/>
    <s v="Shirts R Us"/>
    <s v="Los Angeles"/>
    <s v="Both"/>
    <x v="3"/>
    <n v="2012"/>
  </r>
  <r>
    <n v="82"/>
    <n v="2"/>
    <n v="3"/>
    <x v="46"/>
    <n v="50"/>
    <n v="22"/>
    <n v="0"/>
    <n v="1100"/>
    <s v="A Shirts Life"/>
    <s v="Portland"/>
    <s v="Both"/>
    <x v="4"/>
    <n v="2012"/>
  </r>
  <r>
    <n v="83"/>
    <n v="2"/>
    <n v="3"/>
    <x v="47"/>
    <n v="135"/>
    <n v="22"/>
    <n v="0"/>
    <n v="2970"/>
    <s v="A Shirts Life"/>
    <s v="Portland"/>
    <s v="Both"/>
    <x v="6"/>
    <n v="2012"/>
  </r>
  <r>
    <n v="84"/>
    <n v="6"/>
    <n v="3"/>
    <x v="47"/>
    <n v="69"/>
    <n v="22"/>
    <n v="0"/>
    <n v="1518"/>
    <s v="Abracadaba Ink"/>
    <s v="Salt Lake City"/>
    <s v="Both"/>
    <x v="6"/>
    <n v="2012"/>
  </r>
  <r>
    <n v="85"/>
    <n v="1"/>
    <n v="1"/>
    <x v="48"/>
    <n v="37"/>
    <n v="20"/>
    <n v="0"/>
    <n v="740"/>
    <s v="Threads"/>
    <s v="Seattle"/>
    <s v="Both"/>
    <x v="7"/>
    <n v="2012"/>
  </r>
  <r>
    <n v="86"/>
    <n v="1"/>
    <n v="5"/>
    <x v="48"/>
    <n v="28"/>
    <n v="16"/>
    <n v="0"/>
    <n v="448"/>
    <s v="Threads"/>
    <s v="Seattle"/>
    <s v="Female"/>
    <x v="7"/>
    <n v="2012"/>
  </r>
  <r>
    <n v="87"/>
    <n v="4"/>
    <n v="7"/>
    <x v="49"/>
    <n v="69"/>
    <n v="38"/>
    <n v="0"/>
    <n v="2622"/>
    <s v="Tshirt Unlimited"/>
    <s v="Phoenix"/>
    <s v="Female"/>
    <x v="25"/>
    <n v="2012"/>
  </r>
  <r>
    <n v="88"/>
    <n v="5"/>
    <n v="9"/>
    <x v="49"/>
    <n v="89"/>
    <n v="25"/>
    <n v="0.10000000100000001"/>
    <n v="2002.4999977749999"/>
    <s v="Rags to Riches"/>
    <s v="Las Vegas"/>
    <s v="Male"/>
    <x v="25"/>
    <n v="2012"/>
  </r>
  <r>
    <n v="89"/>
    <n v="1"/>
    <n v="1"/>
    <x v="50"/>
    <n v="130"/>
    <n v="20"/>
    <n v="5.0000001000000002E-2"/>
    <n v="2469.9999974000002"/>
    <s v="Threads"/>
    <s v="Seattle"/>
    <s v="Both"/>
    <x v="8"/>
    <n v="2012"/>
  </r>
  <r>
    <n v="90"/>
    <n v="2"/>
    <n v="5"/>
    <x v="50"/>
    <n v="76"/>
    <n v="16"/>
    <n v="0"/>
    <n v="1216"/>
    <s v="A Shirts Life"/>
    <s v="Portland"/>
    <s v="Female"/>
    <x v="8"/>
    <n v="2012"/>
  </r>
  <r>
    <n v="91"/>
    <n v="2"/>
    <n v="7"/>
    <x v="51"/>
    <n v="121"/>
    <n v="38"/>
    <n v="0.10000000100000001"/>
    <n v="4138.1999954020002"/>
    <s v="A Shirts Life"/>
    <s v="Portland"/>
    <s v="Female"/>
    <x v="9"/>
    <n v="2012"/>
  </r>
  <r>
    <n v="92"/>
    <n v="6"/>
    <n v="4"/>
    <x v="51"/>
    <n v="45"/>
    <n v="30"/>
    <n v="5.0000001000000002E-2"/>
    <n v="1282.49999865"/>
    <s v="Abracadaba Ink"/>
    <s v="Salt Lake City"/>
    <s v="Both"/>
    <x v="9"/>
    <n v="2012"/>
  </r>
  <r>
    <n v="93"/>
    <n v="7"/>
    <n v="9"/>
    <x v="51"/>
    <n v="57"/>
    <n v="25"/>
    <n v="0"/>
    <n v="1425"/>
    <s v="The Shirt on Your Back"/>
    <s v="Bonners Ferry"/>
    <s v="Male"/>
    <x v="9"/>
    <n v="2012"/>
  </r>
  <r>
    <n v="94"/>
    <n v="5"/>
    <n v="10"/>
    <x v="52"/>
    <n v="35"/>
    <n v="35"/>
    <n v="0"/>
    <n v="1225"/>
    <s v="Rags to Riches"/>
    <s v="Las Vegas"/>
    <s v="Male"/>
    <x v="10"/>
    <n v="2012"/>
  </r>
  <r>
    <n v="95"/>
    <n v="3"/>
    <n v="8"/>
    <x v="53"/>
    <n v="25"/>
    <n v="27"/>
    <n v="0"/>
    <n v="675"/>
    <s v="Shirts R Us"/>
    <s v="Los Angeles"/>
    <s v="Female"/>
    <x v="26"/>
    <n v="2012"/>
  </r>
  <r>
    <n v="96"/>
    <n v="4"/>
    <n v="6"/>
    <x v="54"/>
    <n v="117"/>
    <n v="28"/>
    <n v="5.0000001000000002E-2"/>
    <n v="3112.1999967239999"/>
    <s v="Tshirt Unlimited"/>
    <s v="Phoenix"/>
    <s v="Female"/>
    <x v="11"/>
    <n v="2012"/>
  </r>
  <r>
    <n v="97"/>
    <n v="2"/>
    <n v="2"/>
    <x v="55"/>
    <n v="145"/>
    <n v="30"/>
    <n v="0"/>
    <n v="4350"/>
    <s v="A Shirts Life"/>
    <s v="Portland"/>
    <s v="Both"/>
    <x v="12"/>
    <n v="2012"/>
  </r>
  <r>
    <n v="98"/>
    <n v="5"/>
    <n v="6"/>
    <x v="55"/>
    <n v="129"/>
    <n v="28"/>
    <n v="0.10000000100000001"/>
    <n v="3250.7999963880002"/>
    <s v="Rags to Riches"/>
    <s v="Las Vegas"/>
    <s v="Female"/>
    <x v="12"/>
    <n v="2012"/>
  </r>
  <r>
    <n v="99"/>
    <n v="3"/>
    <n v="8"/>
    <x v="56"/>
    <n v="42"/>
    <n v="27"/>
    <n v="0"/>
    <n v="1134"/>
    <s v="Shirts R Us"/>
    <s v="Los Angeles"/>
    <s v="Female"/>
    <x v="27"/>
    <n v="2012"/>
  </r>
  <r>
    <n v="100"/>
    <n v="3"/>
    <n v="10"/>
    <x v="56"/>
    <n v="149"/>
    <n v="35"/>
    <n v="0"/>
    <n v="5215"/>
    <s v="Shirts R Us"/>
    <s v="Los Angeles"/>
    <s v="Male"/>
    <x v="27"/>
    <n v="2012"/>
  </r>
  <r>
    <n v="101"/>
    <n v="6"/>
    <n v="9"/>
    <x v="56"/>
    <n v="102"/>
    <n v="25"/>
    <n v="0"/>
    <n v="2550"/>
    <s v="Abracadaba Ink"/>
    <s v="Salt Lake City"/>
    <s v="Male"/>
    <x v="27"/>
    <n v="2012"/>
  </r>
  <r>
    <n v="102"/>
    <n v="1"/>
    <n v="1"/>
    <x v="57"/>
    <n v="44"/>
    <n v="20"/>
    <n v="0"/>
    <n v="880"/>
    <s v="Threads"/>
    <s v="Seattle"/>
    <s v="Both"/>
    <x v="14"/>
    <n v="2012"/>
  </r>
  <r>
    <n v="103"/>
    <n v="1"/>
    <n v="10"/>
    <x v="57"/>
    <n v="112"/>
    <n v="35"/>
    <n v="0"/>
    <n v="3920"/>
    <s v="Threads"/>
    <s v="Seattle"/>
    <s v="Male"/>
    <x v="14"/>
    <n v="2012"/>
  </r>
  <r>
    <n v="104"/>
    <n v="7"/>
    <n v="5"/>
    <x v="57"/>
    <n v="35"/>
    <n v="16"/>
    <n v="0"/>
    <n v="560"/>
    <s v="The Shirt on Your Back"/>
    <s v="Bonners Ferry"/>
    <s v="Female"/>
    <x v="14"/>
    <n v="2012"/>
  </r>
  <r>
    <n v="105"/>
    <n v="3"/>
    <n v="1"/>
    <x v="58"/>
    <n v="124"/>
    <n v="20"/>
    <n v="0"/>
    <n v="2480"/>
    <s v="Shirts R Us"/>
    <s v="Los Angeles"/>
    <s v="Both"/>
    <x v="15"/>
    <n v="2012"/>
  </r>
  <r>
    <n v="106"/>
    <n v="7"/>
    <n v="6"/>
    <x v="58"/>
    <n v="105"/>
    <n v="28"/>
    <n v="0"/>
    <n v="2940"/>
    <s v="The Shirt on Your Back"/>
    <s v="Bonners Ferry"/>
    <s v="Female"/>
    <x v="15"/>
    <n v="2012"/>
  </r>
  <r>
    <n v="107"/>
    <n v="6"/>
    <n v="7"/>
    <x v="59"/>
    <n v="95"/>
    <n v="38"/>
    <n v="0"/>
    <n v="3610"/>
    <s v="Abracadaba Ink"/>
    <s v="Salt Lake City"/>
    <s v="Female"/>
    <x v="17"/>
    <n v="2012"/>
  </r>
  <r>
    <n v="108"/>
    <n v="1"/>
    <n v="3"/>
    <x v="60"/>
    <n v="70"/>
    <n v="22"/>
    <n v="0"/>
    <n v="1540"/>
    <s v="Threads"/>
    <s v="Seattle"/>
    <s v="Both"/>
    <x v="18"/>
    <n v="2012"/>
  </r>
  <r>
    <n v="109"/>
    <n v="6"/>
    <n v="5"/>
    <x v="61"/>
    <n v="79"/>
    <n v="16"/>
    <n v="0"/>
    <n v="1264"/>
    <s v="Abracadaba Ink"/>
    <s v="Salt Lake City"/>
    <s v="Female"/>
    <x v="19"/>
    <n v="2012"/>
  </r>
  <r>
    <n v="110"/>
    <n v="1"/>
    <n v="5"/>
    <x v="62"/>
    <n v="40"/>
    <n v="16"/>
    <n v="0"/>
    <n v="640"/>
    <s v="Threads"/>
    <s v="Seattle"/>
    <s v="Female"/>
    <x v="20"/>
    <n v="2012"/>
  </r>
  <r>
    <n v="111"/>
    <n v="5"/>
    <n v="7"/>
    <x v="62"/>
    <n v="50"/>
    <n v="38"/>
    <n v="0"/>
    <n v="1900"/>
    <s v="Rags to Riches"/>
    <s v="Las Vegas"/>
    <s v="Female"/>
    <x v="20"/>
    <n v="2012"/>
  </r>
  <r>
    <n v="112"/>
    <n v="2"/>
    <n v="2"/>
    <x v="63"/>
    <n v="75"/>
    <n v="30"/>
    <n v="0"/>
    <n v="2250"/>
    <s v="A Shirts Life"/>
    <s v="Portland"/>
    <s v="Both"/>
    <x v="21"/>
    <n v="2012"/>
  </r>
  <r>
    <n v="113"/>
    <n v="5"/>
    <n v="2"/>
    <x v="63"/>
    <n v="74"/>
    <n v="30"/>
    <n v="0"/>
    <n v="2220"/>
    <s v="Rags to Riches"/>
    <s v="Las Vegas"/>
    <s v="Both"/>
    <x v="21"/>
    <n v="2012"/>
  </r>
  <r>
    <n v="114"/>
    <n v="5"/>
    <n v="4"/>
    <x v="64"/>
    <n v="89"/>
    <n v="30"/>
    <n v="0"/>
    <n v="2670"/>
    <s v="Rags to Riches"/>
    <s v="Las Vegas"/>
    <s v="Both"/>
    <x v="22"/>
    <n v="2012"/>
  </r>
  <r>
    <n v="115"/>
    <n v="2"/>
    <n v="5"/>
    <x v="65"/>
    <n v="131"/>
    <n v="16"/>
    <n v="0"/>
    <n v="2096"/>
    <s v="A Shirts Life"/>
    <s v="Portland"/>
    <s v="Female"/>
    <x v="29"/>
    <n v="2012"/>
  </r>
  <r>
    <n v="116"/>
    <n v="7"/>
    <n v="1"/>
    <x v="65"/>
    <n v="66"/>
    <n v="20"/>
    <n v="0"/>
    <n v="1320"/>
    <s v="The Shirt on Your Back"/>
    <s v="Bonners Ferry"/>
    <s v="Both"/>
    <x v="29"/>
    <n v="2012"/>
  </r>
  <r>
    <n v="117"/>
    <n v="7"/>
    <n v="2"/>
    <x v="66"/>
    <n v="130"/>
    <n v="30"/>
    <n v="0"/>
    <n v="3900"/>
    <s v="The Shirt on Your Back"/>
    <s v="Bonners Ferry"/>
    <s v="Both"/>
    <x v="0"/>
    <n v="2012"/>
  </r>
  <r>
    <n v="118"/>
    <n v="4"/>
    <n v="9"/>
    <x v="67"/>
    <n v="128"/>
    <n v="25"/>
    <n v="0"/>
    <n v="3200"/>
    <s v="Tshirt Unlimited"/>
    <s v="Phoenix"/>
    <s v="Male"/>
    <x v="23"/>
    <n v="2012"/>
  </r>
  <r>
    <n v="119"/>
    <n v="3"/>
    <n v="5"/>
    <x v="68"/>
    <n v="84"/>
    <n v="16"/>
    <n v="0"/>
    <n v="1344"/>
    <s v="Shirts R Us"/>
    <s v="Los Angeles"/>
    <s v="Female"/>
    <x v="2"/>
    <n v="2012"/>
  </r>
  <r>
    <n v="120"/>
    <n v="1"/>
    <n v="10"/>
    <x v="69"/>
    <n v="145"/>
    <n v="35"/>
    <n v="0"/>
    <n v="5075"/>
    <s v="Threads"/>
    <s v="Seattle"/>
    <s v="Male"/>
    <x v="3"/>
    <n v="2012"/>
  </r>
  <r>
    <n v="121"/>
    <n v="3"/>
    <n v="5"/>
    <x v="69"/>
    <n v="86"/>
    <n v="16"/>
    <n v="0"/>
    <n v="1376"/>
    <s v="Shirts R Us"/>
    <s v="Los Angeles"/>
    <s v="Female"/>
    <x v="3"/>
    <n v="2012"/>
  </r>
  <r>
    <n v="122"/>
    <n v="7"/>
    <n v="2"/>
    <x v="69"/>
    <n v="135"/>
    <n v="30"/>
    <n v="0"/>
    <n v="4050"/>
    <s v="The Shirt on Your Back"/>
    <s v="Bonners Ferry"/>
    <s v="Both"/>
    <x v="3"/>
    <n v="2012"/>
  </r>
  <r>
    <n v="123"/>
    <n v="1"/>
    <n v="5"/>
    <x v="70"/>
    <n v="131"/>
    <n v="16"/>
    <n v="0"/>
    <n v="2096"/>
    <s v="Threads"/>
    <s v="Seattle"/>
    <s v="Female"/>
    <x v="4"/>
    <n v="2012"/>
  </r>
  <r>
    <n v="124"/>
    <n v="3"/>
    <n v="6"/>
    <x v="70"/>
    <n v="56"/>
    <n v="28"/>
    <n v="0"/>
    <n v="1568"/>
    <s v="Shirts R Us"/>
    <s v="Los Angeles"/>
    <s v="Female"/>
    <x v="4"/>
    <n v="2012"/>
  </r>
  <r>
    <n v="125"/>
    <n v="5"/>
    <n v="4"/>
    <x v="70"/>
    <n v="95"/>
    <n v="30"/>
    <n v="5.0000001000000002E-2"/>
    <n v="2707.4999971500001"/>
    <s v="Rags to Riches"/>
    <s v="Las Vegas"/>
    <s v="Both"/>
    <x v="4"/>
    <n v="2012"/>
  </r>
  <r>
    <n v="126"/>
    <n v="7"/>
    <n v="8"/>
    <x v="70"/>
    <n v="129"/>
    <n v="27"/>
    <n v="0"/>
    <n v="3483"/>
    <s v="The Shirt on Your Back"/>
    <s v="Bonners Ferry"/>
    <s v="Female"/>
    <x v="4"/>
    <n v="2012"/>
  </r>
  <r>
    <n v="127"/>
    <n v="6"/>
    <n v="5"/>
    <x v="71"/>
    <n v="44"/>
    <n v="16"/>
    <n v="5.0000001000000002E-2"/>
    <n v="668.79999929600001"/>
    <s v="Abracadaba Ink"/>
    <s v="Salt Lake City"/>
    <s v="Female"/>
    <x v="5"/>
    <n v="2012"/>
  </r>
  <r>
    <n v="128"/>
    <n v="4"/>
    <n v="7"/>
    <x v="72"/>
    <n v="111"/>
    <n v="38"/>
    <n v="0"/>
    <n v="4218"/>
    <s v="Tshirt Unlimited"/>
    <s v="Phoenix"/>
    <s v="Female"/>
    <x v="6"/>
    <n v="2012"/>
  </r>
  <r>
    <n v="129"/>
    <n v="7"/>
    <n v="3"/>
    <x v="72"/>
    <n v="105"/>
    <n v="22"/>
    <n v="0.15000000599999999"/>
    <n v="1963.4999861400001"/>
    <s v="The Shirt on Your Back"/>
    <s v="Bonners Ferry"/>
    <s v="Both"/>
    <x v="6"/>
    <n v="2012"/>
  </r>
  <r>
    <n v="130"/>
    <n v="1"/>
    <n v="6"/>
    <x v="73"/>
    <n v="110"/>
    <n v="28"/>
    <n v="0"/>
    <n v="3080"/>
    <s v="Threads"/>
    <s v="Seattle"/>
    <s v="Female"/>
    <x v="30"/>
    <n v="2012"/>
  </r>
  <r>
    <n v="131"/>
    <n v="1"/>
    <n v="6"/>
    <x v="74"/>
    <n v="25"/>
    <n v="28"/>
    <n v="0"/>
    <n v="700"/>
    <s v="Threads"/>
    <s v="Seattle"/>
    <s v="Female"/>
    <x v="8"/>
    <n v="2012"/>
  </r>
  <r>
    <n v="132"/>
    <n v="1"/>
    <n v="9"/>
    <x v="74"/>
    <n v="130"/>
    <n v="25"/>
    <n v="5.0000001000000002E-2"/>
    <n v="3087.4999967499998"/>
    <s v="Threads"/>
    <s v="Seattle"/>
    <s v="Male"/>
    <x v="8"/>
    <n v="2012"/>
  </r>
  <r>
    <n v="133"/>
    <n v="5"/>
    <n v="3"/>
    <x v="75"/>
    <n v="123"/>
    <n v="22"/>
    <n v="0"/>
    <n v="2706"/>
    <s v="Rags to Riches"/>
    <s v="Las Vegas"/>
    <s v="Both"/>
    <x v="9"/>
    <n v="2012"/>
  </r>
  <r>
    <n v="134"/>
    <n v="6"/>
    <n v="8"/>
    <x v="75"/>
    <n v="109"/>
    <n v="27"/>
    <n v="0"/>
    <n v="2943"/>
    <s v="Abracadaba Ink"/>
    <s v="Salt Lake City"/>
    <s v="Female"/>
    <x v="9"/>
    <n v="2012"/>
  </r>
  <r>
    <n v="135"/>
    <n v="4"/>
    <n v="3"/>
    <x v="76"/>
    <n v="81"/>
    <n v="22"/>
    <n v="0.15000000599999999"/>
    <n v="1514.6999893080001"/>
    <s v="Tshirt Unlimited"/>
    <s v="Phoenix"/>
    <s v="Both"/>
    <x v="10"/>
    <n v="2012"/>
  </r>
  <r>
    <n v="136"/>
    <n v="7"/>
    <n v="5"/>
    <x v="77"/>
    <n v="150"/>
    <n v="16"/>
    <n v="0"/>
    <n v="2400"/>
    <s v="The Shirt on Your Back"/>
    <s v="Bonners Ferry"/>
    <s v="Female"/>
    <x v="26"/>
    <n v="2012"/>
  </r>
  <r>
    <n v="137"/>
    <n v="6"/>
    <n v="4"/>
    <x v="78"/>
    <n v="26"/>
    <n v="30"/>
    <n v="0"/>
    <n v="780"/>
    <s v="Abracadaba Ink"/>
    <s v="Salt Lake City"/>
    <s v="Both"/>
    <x v="11"/>
    <n v="2012"/>
  </r>
  <r>
    <n v="138"/>
    <n v="7"/>
    <n v="3"/>
    <x v="79"/>
    <n v="56"/>
    <n v="22"/>
    <n v="0"/>
    <n v="1232"/>
    <s v="The Shirt on Your Back"/>
    <s v="Bonners Ferry"/>
    <s v="Both"/>
    <x v="13"/>
    <n v="2012"/>
  </r>
  <r>
    <n v="139"/>
    <n v="1"/>
    <n v="3"/>
    <x v="80"/>
    <n v="63"/>
    <n v="22"/>
    <n v="0"/>
    <n v="1386"/>
    <s v="Threads"/>
    <s v="Seattle"/>
    <s v="Both"/>
    <x v="27"/>
    <n v="2012"/>
  </r>
  <r>
    <n v="140"/>
    <n v="1"/>
    <n v="6"/>
    <x v="80"/>
    <n v="145"/>
    <n v="28"/>
    <n v="0.10000000100000001"/>
    <n v="3653.9999959400002"/>
    <s v="Threads"/>
    <s v="Seattle"/>
    <s v="Female"/>
    <x v="27"/>
    <n v="2012"/>
  </r>
  <r>
    <n v="141"/>
    <n v="2"/>
    <n v="10"/>
    <x v="80"/>
    <n v="106"/>
    <n v="35"/>
    <n v="0"/>
    <n v="3710"/>
    <s v="A Shirts Life"/>
    <s v="Portland"/>
    <s v="Male"/>
    <x v="27"/>
    <n v="2012"/>
  </r>
  <r>
    <n v="142"/>
    <n v="1"/>
    <n v="10"/>
    <x v="81"/>
    <n v="136"/>
    <n v="35"/>
    <n v="0"/>
    <n v="4760"/>
    <s v="Threads"/>
    <s v="Seattle"/>
    <s v="Male"/>
    <x v="14"/>
    <n v="2012"/>
  </r>
  <r>
    <n v="143"/>
    <n v="2"/>
    <n v="3"/>
    <x v="81"/>
    <n v="145"/>
    <n v="22"/>
    <n v="0"/>
    <n v="3190"/>
    <s v="A Shirts Life"/>
    <s v="Portland"/>
    <s v="Both"/>
    <x v="14"/>
    <n v="2012"/>
  </r>
  <r>
    <n v="144"/>
    <n v="3"/>
    <n v="2"/>
    <x v="81"/>
    <n v="80"/>
    <n v="30"/>
    <n v="0"/>
    <n v="2400"/>
    <s v="Shirts R Us"/>
    <s v="Los Angeles"/>
    <s v="Both"/>
    <x v="14"/>
    <n v="2012"/>
  </r>
  <r>
    <n v="145"/>
    <n v="5"/>
    <n v="8"/>
    <x v="81"/>
    <n v="114"/>
    <n v="27"/>
    <n v="0.10000000100000001"/>
    <n v="2770.1999969220001"/>
    <s v="Rags to Riches"/>
    <s v="Las Vegas"/>
    <s v="Female"/>
    <x v="14"/>
    <n v="2012"/>
  </r>
  <r>
    <n v="146"/>
    <n v="6"/>
    <n v="10"/>
    <x v="81"/>
    <n v="28"/>
    <n v="35"/>
    <n v="0"/>
    <n v="980"/>
    <s v="Abracadaba Ink"/>
    <s v="Salt Lake City"/>
    <s v="Male"/>
    <x v="14"/>
    <n v="2012"/>
  </r>
  <r>
    <n v="147"/>
    <n v="1"/>
    <n v="2"/>
    <x v="82"/>
    <n v="150"/>
    <n v="30"/>
    <n v="0"/>
    <n v="4500"/>
    <s v="Threads"/>
    <s v="Seattle"/>
    <s v="Both"/>
    <x v="15"/>
    <n v="2012"/>
  </r>
  <r>
    <n v="148"/>
    <n v="2"/>
    <n v="3"/>
    <x v="83"/>
    <n v="148"/>
    <n v="22"/>
    <n v="5.0000001000000002E-2"/>
    <n v="3093.1999967440001"/>
    <s v="A Shirts Life"/>
    <s v="Portland"/>
    <s v="Both"/>
    <x v="16"/>
    <n v="2012"/>
  </r>
  <r>
    <n v="149"/>
    <n v="5"/>
    <n v="2"/>
    <x v="83"/>
    <n v="64"/>
    <n v="30"/>
    <n v="0.10000000100000001"/>
    <n v="1727.9999980800001"/>
    <s v="Rags to Riches"/>
    <s v="Las Vegas"/>
    <s v="Both"/>
    <x v="16"/>
    <n v="2012"/>
  </r>
  <r>
    <n v="150"/>
    <n v="7"/>
    <n v="7"/>
    <x v="84"/>
    <n v="122"/>
    <n v="38"/>
    <n v="0"/>
    <n v="4636"/>
    <s v="The Shirt on Your Back"/>
    <s v="Bonners Ferry"/>
    <s v="Female"/>
    <x v="18"/>
    <n v="2012"/>
  </r>
  <r>
    <n v="151"/>
    <n v="3"/>
    <n v="9"/>
    <x v="85"/>
    <n v="119"/>
    <n v="25"/>
    <n v="0"/>
    <n v="2975"/>
    <s v="Shirts R Us"/>
    <s v="Los Angeles"/>
    <s v="Male"/>
    <x v="22"/>
    <n v="2012"/>
  </r>
  <r>
    <n v="152"/>
    <n v="4"/>
    <n v="7"/>
    <x v="85"/>
    <n v="31"/>
    <n v="38"/>
    <n v="0"/>
    <n v="1178"/>
    <s v="Tshirt Unlimited"/>
    <s v="Phoenix"/>
    <s v="Female"/>
    <x v="22"/>
    <n v="2012"/>
  </r>
  <r>
    <n v="153"/>
    <n v="3"/>
    <n v="3"/>
    <x v="86"/>
    <n v="35"/>
    <n v="22"/>
    <n v="0.15000000599999999"/>
    <n v="654.49999537999997"/>
    <s v="Shirts R Us"/>
    <s v="Los Angeles"/>
    <s v="Both"/>
    <x v="28"/>
    <n v="2012"/>
  </r>
  <r>
    <n v="154"/>
    <n v="1"/>
    <n v="2"/>
    <x v="87"/>
    <n v="45"/>
    <n v="30"/>
    <n v="0"/>
    <n v="1350"/>
    <s v="Threads"/>
    <s v="Seattle"/>
    <s v="Both"/>
    <x v="0"/>
    <n v="2012"/>
  </r>
  <r>
    <n v="155"/>
    <n v="1"/>
    <n v="6"/>
    <x v="87"/>
    <n v="104"/>
    <n v="28"/>
    <n v="0"/>
    <n v="2912"/>
    <s v="Threads"/>
    <s v="Seattle"/>
    <s v="Female"/>
    <x v="0"/>
    <n v="2012"/>
  </r>
  <r>
    <n v="156"/>
    <n v="3"/>
    <n v="7"/>
    <x v="88"/>
    <n v="141"/>
    <n v="38"/>
    <n v="0"/>
    <n v="5358"/>
    <s v="Shirts R Us"/>
    <s v="Los Angeles"/>
    <s v="Female"/>
    <x v="1"/>
    <n v="2012"/>
  </r>
  <r>
    <n v="157"/>
    <n v="5"/>
    <n v="3"/>
    <x v="88"/>
    <n v="47"/>
    <n v="22"/>
    <n v="0"/>
    <n v="1034"/>
    <s v="Rags to Riches"/>
    <s v="Las Vegas"/>
    <s v="Both"/>
    <x v="1"/>
    <n v="2012"/>
  </r>
  <r>
    <n v="158"/>
    <n v="1"/>
    <n v="6"/>
    <x v="89"/>
    <n v="42"/>
    <n v="28"/>
    <n v="0"/>
    <n v="1176"/>
    <s v="Threads"/>
    <s v="Seattle"/>
    <s v="Female"/>
    <x v="2"/>
    <n v="2012"/>
  </r>
  <r>
    <n v="159"/>
    <n v="3"/>
    <n v="1"/>
    <x v="89"/>
    <n v="112"/>
    <n v="20"/>
    <n v="0"/>
    <n v="2240"/>
    <s v="Shirts R Us"/>
    <s v="Los Angeles"/>
    <s v="Both"/>
    <x v="2"/>
    <n v="2012"/>
  </r>
  <r>
    <n v="160"/>
    <n v="1"/>
    <n v="4"/>
    <x v="90"/>
    <n v="46"/>
    <n v="30"/>
    <n v="0"/>
    <n v="1380"/>
    <s v="Threads"/>
    <s v="Seattle"/>
    <s v="Both"/>
    <x v="24"/>
    <n v="2012"/>
  </r>
  <r>
    <n v="161"/>
    <n v="2"/>
    <n v="5"/>
    <x v="90"/>
    <n v="65"/>
    <n v="16"/>
    <n v="0"/>
    <n v="1040"/>
    <s v="A Shirts Life"/>
    <s v="Portland"/>
    <s v="Female"/>
    <x v="24"/>
    <n v="2012"/>
  </r>
  <r>
    <n v="162"/>
    <n v="5"/>
    <n v="10"/>
    <x v="91"/>
    <n v="78"/>
    <n v="35"/>
    <n v="0"/>
    <n v="2730"/>
    <s v="Rags to Riches"/>
    <s v="Las Vegas"/>
    <s v="Male"/>
    <x v="5"/>
    <n v="2012"/>
  </r>
  <r>
    <n v="163"/>
    <n v="2"/>
    <n v="10"/>
    <x v="92"/>
    <n v="112"/>
    <n v="35"/>
    <n v="5.0000001000000002E-2"/>
    <n v="3723.9999960800001"/>
    <s v="A Shirts Life"/>
    <s v="Portland"/>
    <s v="Male"/>
    <x v="30"/>
    <n v="2012"/>
  </r>
  <r>
    <n v="164"/>
    <n v="6"/>
    <n v="7"/>
    <x v="93"/>
    <n v="150"/>
    <n v="38"/>
    <n v="0"/>
    <n v="5700"/>
    <s v="Abracadaba Ink"/>
    <s v="Salt Lake City"/>
    <s v="Female"/>
    <x v="7"/>
    <n v="2012"/>
  </r>
  <r>
    <n v="165"/>
    <n v="4"/>
    <n v="5"/>
    <x v="94"/>
    <n v="93"/>
    <n v="16"/>
    <n v="0"/>
    <n v="1488"/>
    <s v="Tshirt Unlimited"/>
    <s v="Phoenix"/>
    <s v="Female"/>
    <x v="25"/>
    <n v="2012"/>
  </r>
  <r>
    <n v="166"/>
    <n v="6"/>
    <n v="4"/>
    <x v="94"/>
    <n v="25"/>
    <n v="30"/>
    <n v="0"/>
    <n v="750"/>
    <s v="Abracadaba Ink"/>
    <s v="Salt Lake City"/>
    <s v="Both"/>
    <x v="25"/>
    <n v="2012"/>
  </r>
  <r>
    <n v="167"/>
    <n v="4"/>
    <n v="4"/>
    <x v="95"/>
    <n v="51"/>
    <n v="30"/>
    <n v="0"/>
    <n v="1530"/>
    <s v="Tshirt Unlimited"/>
    <s v="Phoenix"/>
    <s v="Both"/>
    <x v="8"/>
    <n v="2012"/>
  </r>
  <r>
    <n v="168"/>
    <n v="5"/>
    <n v="2"/>
    <x v="95"/>
    <n v="117"/>
    <n v="30"/>
    <n v="0"/>
    <n v="3510"/>
    <s v="Rags to Riches"/>
    <s v="Las Vegas"/>
    <s v="Both"/>
    <x v="8"/>
    <n v="2012"/>
  </r>
  <r>
    <n v="169"/>
    <n v="6"/>
    <n v="5"/>
    <x v="95"/>
    <n v="49"/>
    <n v="16"/>
    <n v="0"/>
    <n v="784"/>
    <s v="Abracadaba Ink"/>
    <s v="Salt Lake City"/>
    <s v="Female"/>
    <x v="8"/>
    <n v="2012"/>
  </r>
  <r>
    <n v="170"/>
    <n v="3"/>
    <n v="1"/>
    <x v="96"/>
    <n v="45"/>
    <n v="20"/>
    <n v="0.15000000599999999"/>
    <n v="764.99999460000004"/>
    <s v="Shirts R Us"/>
    <s v="Los Angeles"/>
    <s v="Both"/>
    <x v="9"/>
    <n v="2012"/>
  </r>
  <r>
    <n v="171"/>
    <n v="2"/>
    <n v="1"/>
    <x v="97"/>
    <n v="53"/>
    <n v="20"/>
    <n v="0"/>
    <n v="1060"/>
    <s v="A Shirts Life"/>
    <s v="Portland"/>
    <s v="Both"/>
    <x v="10"/>
    <n v="2012"/>
  </r>
  <r>
    <n v="172"/>
    <n v="2"/>
    <n v="9"/>
    <x v="97"/>
    <n v="120"/>
    <n v="25"/>
    <n v="0"/>
    <n v="3000"/>
    <s v="A Shirts Life"/>
    <s v="Portland"/>
    <s v="Male"/>
    <x v="10"/>
    <n v="2012"/>
  </r>
  <r>
    <n v="173"/>
    <n v="4"/>
    <n v="8"/>
    <x v="97"/>
    <n v="149"/>
    <n v="27"/>
    <n v="0"/>
    <n v="4023"/>
    <s v="Tshirt Unlimited"/>
    <s v="Phoenix"/>
    <s v="Female"/>
    <x v="10"/>
    <n v="2012"/>
  </r>
  <r>
    <n v="174"/>
    <n v="2"/>
    <n v="2"/>
    <x v="98"/>
    <n v="134"/>
    <n v="30"/>
    <n v="0"/>
    <n v="4020"/>
    <s v="A Shirts Life"/>
    <s v="Portland"/>
    <s v="Both"/>
    <x v="11"/>
    <n v="2012"/>
  </r>
  <r>
    <n v="175"/>
    <n v="4"/>
    <n v="9"/>
    <x v="98"/>
    <n v="137"/>
    <n v="25"/>
    <n v="0"/>
    <n v="3425"/>
    <s v="Tshirt Unlimited"/>
    <s v="Phoenix"/>
    <s v="Male"/>
    <x v="11"/>
    <n v="2012"/>
  </r>
  <r>
    <n v="176"/>
    <n v="1"/>
    <n v="9"/>
    <x v="99"/>
    <n v="86"/>
    <n v="25"/>
    <n v="0"/>
    <n v="2150"/>
    <s v="Threads"/>
    <s v="Seattle"/>
    <s v="Male"/>
    <x v="12"/>
    <n v="2012"/>
  </r>
  <r>
    <n v="177"/>
    <n v="1"/>
    <n v="1"/>
    <x v="100"/>
    <n v="87"/>
    <n v="20"/>
    <n v="0"/>
    <n v="1740"/>
    <s v="Threads"/>
    <s v="Seattle"/>
    <s v="Both"/>
    <x v="13"/>
    <n v="2012"/>
  </r>
  <r>
    <n v="178"/>
    <n v="5"/>
    <n v="6"/>
    <x v="100"/>
    <n v="99"/>
    <n v="28"/>
    <n v="0"/>
    <n v="2772"/>
    <s v="Rags to Riches"/>
    <s v="Las Vegas"/>
    <s v="Female"/>
    <x v="13"/>
    <n v="2012"/>
  </r>
  <r>
    <n v="179"/>
    <n v="3"/>
    <n v="5"/>
    <x v="101"/>
    <n v="128"/>
    <n v="16"/>
    <n v="0"/>
    <n v="2048"/>
    <s v="Shirts R Us"/>
    <s v="Los Angeles"/>
    <s v="Female"/>
    <x v="27"/>
    <n v="2012"/>
  </r>
  <r>
    <n v="180"/>
    <n v="5"/>
    <n v="2"/>
    <x v="102"/>
    <n v="125"/>
    <n v="30"/>
    <n v="0.10000000100000001"/>
    <n v="3374.9999962500001"/>
    <s v="Rags to Riches"/>
    <s v="Las Vegas"/>
    <s v="Both"/>
    <x v="14"/>
    <n v="2012"/>
  </r>
  <r>
    <n v="181"/>
    <n v="5"/>
    <n v="6"/>
    <x v="102"/>
    <n v="141"/>
    <n v="28"/>
    <n v="0"/>
    <n v="3948"/>
    <s v="Rags to Riches"/>
    <s v="Las Vegas"/>
    <s v="Female"/>
    <x v="14"/>
    <n v="2012"/>
  </r>
  <r>
    <n v="182"/>
    <n v="7"/>
    <n v="4"/>
    <x v="103"/>
    <n v="58"/>
    <n v="30"/>
    <n v="0"/>
    <n v="1740"/>
    <s v="The Shirt on Your Back"/>
    <s v="Bonners Ferry"/>
    <s v="Both"/>
    <x v="15"/>
    <n v="2012"/>
  </r>
  <r>
    <n v="183"/>
    <n v="6"/>
    <n v="2"/>
    <x v="104"/>
    <n v="127"/>
    <n v="30"/>
    <n v="0"/>
    <n v="3810"/>
    <s v="Abracadaba Ink"/>
    <s v="Salt Lake City"/>
    <s v="Both"/>
    <x v="16"/>
    <n v="2012"/>
  </r>
  <r>
    <n v="184"/>
    <n v="4"/>
    <n v="7"/>
    <x v="105"/>
    <n v="88"/>
    <n v="38"/>
    <n v="0"/>
    <n v="3344"/>
    <s v="Tshirt Unlimited"/>
    <s v="Phoenix"/>
    <s v="Female"/>
    <x v="17"/>
    <n v="2012"/>
  </r>
  <r>
    <n v="185"/>
    <n v="5"/>
    <n v="7"/>
    <x v="105"/>
    <n v="75"/>
    <n v="38"/>
    <n v="0"/>
    <n v="2850"/>
    <s v="Rags to Riches"/>
    <s v="Las Vegas"/>
    <s v="Female"/>
    <x v="17"/>
    <n v="2012"/>
  </r>
  <r>
    <n v="186"/>
    <n v="4"/>
    <n v="9"/>
    <x v="106"/>
    <n v="45"/>
    <n v="25"/>
    <n v="0.10000000100000001"/>
    <n v="1012.499998875"/>
    <s v="Tshirt Unlimited"/>
    <s v="Phoenix"/>
    <s v="Male"/>
    <x v="18"/>
    <n v="2012"/>
  </r>
  <r>
    <n v="187"/>
    <n v="6"/>
    <n v="9"/>
    <x v="106"/>
    <n v="139"/>
    <n v="25"/>
    <n v="0"/>
    <n v="3475"/>
    <s v="Abracadaba Ink"/>
    <s v="Salt Lake City"/>
    <s v="Male"/>
    <x v="18"/>
    <n v="2012"/>
  </r>
  <r>
    <n v="188"/>
    <n v="5"/>
    <n v="3"/>
    <x v="107"/>
    <n v="52"/>
    <n v="22"/>
    <n v="0"/>
    <n v="1144"/>
    <s v="Rags to Riches"/>
    <s v="Las Vegas"/>
    <s v="Both"/>
    <x v="19"/>
    <n v="2012"/>
  </r>
  <r>
    <n v="189"/>
    <n v="6"/>
    <n v="10"/>
    <x v="108"/>
    <n v="59"/>
    <n v="35"/>
    <n v="0"/>
    <n v="2065"/>
    <s v="Abracadaba Ink"/>
    <s v="Salt Lake City"/>
    <s v="Male"/>
    <x v="20"/>
    <n v="2012"/>
  </r>
  <r>
    <n v="190"/>
    <n v="3"/>
    <n v="9"/>
    <x v="109"/>
    <n v="75"/>
    <n v="25"/>
    <n v="0"/>
    <n v="1875"/>
    <s v="Shirts R Us"/>
    <s v="Los Angeles"/>
    <s v="Male"/>
    <x v="22"/>
    <n v="2012"/>
  </r>
  <r>
    <n v="191"/>
    <n v="6"/>
    <n v="1"/>
    <x v="109"/>
    <n v="143"/>
    <n v="20"/>
    <n v="0"/>
    <n v="2860"/>
    <s v="Abracadaba Ink"/>
    <s v="Salt Lake City"/>
    <s v="Both"/>
    <x v="22"/>
    <n v="2012"/>
  </r>
  <r>
    <n v="192"/>
    <n v="7"/>
    <n v="7"/>
    <x v="109"/>
    <n v="137"/>
    <n v="38"/>
    <n v="0"/>
    <n v="5206"/>
    <s v="The Shirt on Your Back"/>
    <s v="Bonners Ferry"/>
    <s v="Female"/>
    <x v="22"/>
    <n v="2012"/>
  </r>
  <r>
    <n v="193"/>
    <n v="3"/>
    <n v="7"/>
    <x v="110"/>
    <n v="33"/>
    <n v="38"/>
    <n v="5.0000001000000002E-2"/>
    <n v="1191.299998746"/>
    <s v="Shirts R Us"/>
    <s v="Los Angeles"/>
    <s v="Female"/>
    <x v="29"/>
    <n v="2012"/>
  </r>
  <r>
    <n v="194"/>
    <n v="4"/>
    <n v="3"/>
    <x v="110"/>
    <n v="35"/>
    <n v="22"/>
    <n v="0"/>
    <n v="770"/>
    <s v="Tshirt Unlimited"/>
    <s v="Phoenix"/>
    <s v="Both"/>
    <x v="29"/>
    <n v="2012"/>
  </r>
  <r>
    <n v="195"/>
    <n v="4"/>
    <n v="9"/>
    <x v="110"/>
    <n v="84"/>
    <n v="25"/>
    <n v="0"/>
    <n v="2100"/>
    <s v="Tshirt Unlimited"/>
    <s v="Phoenix"/>
    <s v="Male"/>
    <x v="29"/>
    <n v="2012"/>
  </r>
  <r>
    <n v="196"/>
    <n v="3"/>
    <n v="3"/>
    <x v="111"/>
    <n v="115"/>
    <n v="22"/>
    <n v="0"/>
    <n v="2530"/>
    <s v="Shirts R Us"/>
    <s v="Los Angeles"/>
    <s v="Both"/>
    <x v="28"/>
    <n v="2012"/>
  </r>
  <r>
    <n v="197"/>
    <n v="1"/>
    <n v="7"/>
    <x v="112"/>
    <n v="120"/>
    <n v="38"/>
    <n v="0.10000000100000001"/>
    <n v="4103.99999544"/>
    <s v="Threads"/>
    <s v="Seattle"/>
    <s v="Female"/>
    <x v="0"/>
    <n v="2012"/>
  </r>
  <r>
    <n v="198"/>
    <n v="2"/>
    <n v="8"/>
    <x v="112"/>
    <n v="120"/>
    <n v="27"/>
    <n v="0"/>
    <n v="3240"/>
    <s v="A Shirts Life"/>
    <s v="Portland"/>
    <s v="Female"/>
    <x v="0"/>
    <n v="2012"/>
  </r>
  <r>
    <n v="199"/>
    <n v="3"/>
    <n v="2"/>
    <x v="112"/>
    <n v="114"/>
    <n v="30"/>
    <n v="0"/>
    <n v="3420"/>
    <s v="Shirts R Us"/>
    <s v="Los Angeles"/>
    <s v="Both"/>
    <x v="0"/>
    <n v="2012"/>
  </r>
  <r>
    <n v="200"/>
    <n v="6"/>
    <n v="7"/>
    <x v="112"/>
    <n v="70"/>
    <n v="38"/>
    <n v="0"/>
    <n v="2660"/>
    <s v="Abracadaba Ink"/>
    <s v="Salt Lake City"/>
    <s v="Female"/>
    <x v="0"/>
    <n v="2012"/>
  </r>
  <r>
    <n v="201"/>
    <n v="1"/>
    <n v="8"/>
    <x v="113"/>
    <n v="81"/>
    <n v="27"/>
    <n v="0"/>
    <n v="2187"/>
    <s v="Threads"/>
    <s v="Seattle"/>
    <s v="Female"/>
    <x v="1"/>
    <n v="2012"/>
  </r>
  <r>
    <n v="202"/>
    <n v="2"/>
    <n v="10"/>
    <x v="114"/>
    <n v="58"/>
    <n v="35"/>
    <n v="5.0000001000000002E-2"/>
    <n v="1928.4999979700001"/>
    <s v="A Shirts Life"/>
    <s v="Portland"/>
    <s v="Male"/>
    <x v="23"/>
    <n v="2012"/>
  </r>
  <r>
    <n v="203"/>
    <n v="4"/>
    <n v="2"/>
    <x v="114"/>
    <n v="93"/>
    <n v="30"/>
    <n v="0"/>
    <n v="2790"/>
    <s v="Tshirt Unlimited"/>
    <s v="Phoenix"/>
    <s v="Both"/>
    <x v="23"/>
    <n v="2012"/>
  </r>
  <r>
    <n v="204"/>
    <n v="4"/>
    <n v="7"/>
    <x v="114"/>
    <n v="40"/>
    <n v="38"/>
    <n v="0"/>
    <n v="1520"/>
    <s v="Tshirt Unlimited"/>
    <s v="Phoenix"/>
    <s v="Female"/>
    <x v="23"/>
    <n v="2012"/>
  </r>
  <r>
    <n v="205"/>
    <n v="4"/>
    <n v="2"/>
    <x v="115"/>
    <n v="25"/>
    <n v="30"/>
    <n v="5.0000001000000002E-2"/>
    <n v="712.49999924999997"/>
    <s v="Tshirt Unlimited"/>
    <s v="Phoenix"/>
    <s v="Both"/>
    <x v="2"/>
    <n v="2012"/>
  </r>
  <r>
    <n v="206"/>
    <n v="4"/>
    <n v="7"/>
    <x v="115"/>
    <n v="128"/>
    <n v="38"/>
    <n v="5.0000001000000002E-2"/>
    <n v="4620.7999951359998"/>
    <s v="Tshirt Unlimited"/>
    <s v="Phoenix"/>
    <s v="Female"/>
    <x v="2"/>
    <n v="2012"/>
  </r>
  <r>
    <n v="207"/>
    <n v="4"/>
    <n v="9"/>
    <x v="115"/>
    <n v="118"/>
    <n v="25"/>
    <n v="0"/>
    <n v="2950"/>
    <s v="Tshirt Unlimited"/>
    <s v="Phoenix"/>
    <s v="Male"/>
    <x v="2"/>
    <n v="2012"/>
  </r>
  <r>
    <n v="208"/>
    <n v="2"/>
    <n v="9"/>
    <x v="116"/>
    <n v="61"/>
    <n v="25"/>
    <n v="0"/>
    <n v="1525"/>
    <s v="A Shirts Life"/>
    <s v="Portland"/>
    <s v="Male"/>
    <x v="24"/>
    <n v="2012"/>
  </r>
  <r>
    <n v="209"/>
    <n v="7"/>
    <n v="6"/>
    <x v="116"/>
    <n v="74"/>
    <n v="28"/>
    <n v="0"/>
    <n v="2072"/>
    <s v="The Shirt on Your Back"/>
    <s v="Bonners Ferry"/>
    <s v="Female"/>
    <x v="24"/>
    <n v="2012"/>
  </r>
  <r>
    <n v="210"/>
    <n v="1"/>
    <n v="8"/>
    <x v="117"/>
    <n v="82"/>
    <n v="27"/>
    <n v="0"/>
    <n v="2214"/>
    <s v="Threads"/>
    <s v="Seattle"/>
    <s v="Female"/>
    <x v="6"/>
    <n v="2012"/>
  </r>
  <r>
    <n v="211"/>
    <n v="5"/>
    <n v="8"/>
    <x v="118"/>
    <n v="146"/>
    <n v="27"/>
    <n v="0"/>
    <n v="3942"/>
    <s v="Rags to Riches"/>
    <s v="Las Vegas"/>
    <s v="Female"/>
    <x v="30"/>
    <n v="2012"/>
  </r>
  <r>
    <n v="212"/>
    <n v="4"/>
    <n v="8"/>
    <x v="119"/>
    <n v="56"/>
    <n v="27"/>
    <n v="5.0000001000000002E-2"/>
    <n v="1436.3999984879999"/>
    <s v="Tshirt Unlimited"/>
    <s v="Phoenix"/>
    <s v="Female"/>
    <x v="25"/>
    <n v="2012"/>
  </r>
  <r>
    <n v="213"/>
    <n v="5"/>
    <n v="3"/>
    <x v="119"/>
    <n v="77"/>
    <n v="22"/>
    <n v="0"/>
    <n v="1694"/>
    <s v="Rags to Riches"/>
    <s v="Las Vegas"/>
    <s v="Both"/>
    <x v="25"/>
    <n v="2012"/>
  </r>
  <r>
    <n v="214"/>
    <n v="7"/>
    <n v="9"/>
    <x v="119"/>
    <n v="143"/>
    <n v="25"/>
    <n v="0"/>
    <n v="3575"/>
    <s v="The Shirt on Your Back"/>
    <s v="Bonners Ferry"/>
    <s v="Male"/>
    <x v="25"/>
    <n v="2012"/>
  </r>
  <r>
    <n v="215"/>
    <n v="1"/>
    <n v="5"/>
    <x v="120"/>
    <n v="39"/>
    <n v="16"/>
    <n v="0"/>
    <n v="624"/>
    <s v="Threads"/>
    <s v="Seattle"/>
    <s v="Female"/>
    <x v="8"/>
    <n v="2012"/>
  </r>
  <r>
    <n v="216"/>
    <n v="3"/>
    <n v="3"/>
    <x v="120"/>
    <n v="119"/>
    <n v="22"/>
    <n v="0"/>
    <n v="2618"/>
    <s v="Shirts R Us"/>
    <s v="Los Angeles"/>
    <s v="Both"/>
    <x v="8"/>
    <n v="2012"/>
  </r>
  <r>
    <n v="217"/>
    <n v="6"/>
    <n v="8"/>
    <x v="120"/>
    <n v="141"/>
    <n v="27"/>
    <n v="0"/>
    <n v="3807"/>
    <s v="Abracadaba Ink"/>
    <s v="Salt Lake City"/>
    <s v="Female"/>
    <x v="8"/>
    <n v="2012"/>
  </r>
  <r>
    <n v="218"/>
    <n v="7"/>
    <n v="10"/>
    <x v="120"/>
    <n v="74"/>
    <n v="35"/>
    <n v="5.0000001000000002E-2"/>
    <n v="2460.4999974100001"/>
    <s v="The Shirt on Your Back"/>
    <s v="Bonners Ferry"/>
    <s v="Male"/>
    <x v="8"/>
    <n v="2012"/>
  </r>
  <r>
    <n v="219"/>
    <n v="3"/>
    <n v="2"/>
    <x v="121"/>
    <n v="45"/>
    <n v="30"/>
    <n v="0"/>
    <n v="1350"/>
    <s v="Shirts R Us"/>
    <s v="Los Angeles"/>
    <s v="Both"/>
    <x v="9"/>
    <n v="2012"/>
  </r>
  <r>
    <n v="220"/>
    <n v="3"/>
    <n v="6"/>
    <x v="121"/>
    <n v="95"/>
    <n v="28"/>
    <n v="0"/>
    <n v="2660"/>
    <s v="Shirts R Us"/>
    <s v="Los Angeles"/>
    <s v="Female"/>
    <x v="9"/>
    <n v="2012"/>
  </r>
  <r>
    <n v="221"/>
    <n v="5"/>
    <n v="7"/>
    <x v="121"/>
    <n v="144"/>
    <n v="38"/>
    <n v="0"/>
    <n v="5472"/>
    <s v="Rags to Riches"/>
    <s v="Las Vegas"/>
    <s v="Female"/>
    <x v="9"/>
    <n v="2012"/>
  </r>
  <r>
    <n v="222"/>
    <n v="6"/>
    <n v="2"/>
    <x v="121"/>
    <n v="88"/>
    <n v="30"/>
    <n v="0"/>
    <n v="2640"/>
    <s v="Abracadaba Ink"/>
    <s v="Salt Lake City"/>
    <s v="Both"/>
    <x v="9"/>
    <n v="2012"/>
  </r>
  <r>
    <n v="223"/>
    <n v="4"/>
    <n v="3"/>
    <x v="122"/>
    <n v="53"/>
    <n v="22"/>
    <n v="0.10000000100000001"/>
    <n v="1049.3999988339999"/>
    <s v="Tshirt Unlimited"/>
    <s v="Phoenix"/>
    <s v="Both"/>
    <x v="10"/>
    <n v="2012"/>
  </r>
  <r>
    <n v="224"/>
    <n v="4"/>
    <n v="1"/>
    <x v="123"/>
    <n v="76"/>
    <n v="20"/>
    <n v="0"/>
    <n v="1520"/>
    <s v="Tshirt Unlimited"/>
    <s v="Phoenix"/>
    <s v="Both"/>
    <x v="26"/>
    <n v="2012"/>
  </r>
  <r>
    <n v="225"/>
    <n v="2"/>
    <n v="9"/>
    <x v="124"/>
    <n v="148"/>
    <n v="25"/>
    <n v="0"/>
    <n v="3700"/>
    <s v="A Shirts Life"/>
    <s v="Portland"/>
    <s v="Male"/>
    <x v="12"/>
    <n v="2012"/>
  </r>
  <r>
    <n v="226"/>
    <n v="4"/>
    <n v="6"/>
    <x v="124"/>
    <n v="121"/>
    <n v="28"/>
    <n v="0"/>
    <n v="3388"/>
    <s v="Tshirt Unlimited"/>
    <s v="Phoenix"/>
    <s v="Female"/>
    <x v="12"/>
    <n v="2012"/>
  </r>
  <r>
    <n v="227"/>
    <n v="4"/>
    <n v="10"/>
    <x v="124"/>
    <n v="49"/>
    <n v="35"/>
    <n v="0"/>
    <n v="1715"/>
    <s v="Tshirt Unlimited"/>
    <s v="Phoenix"/>
    <s v="Male"/>
    <x v="12"/>
    <n v="2012"/>
  </r>
  <r>
    <n v="228"/>
    <n v="1"/>
    <n v="3"/>
    <x v="125"/>
    <n v="131"/>
    <n v="22"/>
    <n v="0"/>
    <n v="2882"/>
    <s v="Threads"/>
    <s v="Seattle"/>
    <s v="Both"/>
    <x v="27"/>
    <n v="2012"/>
  </r>
  <r>
    <n v="229"/>
    <n v="2"/>
    <n v="8"/>
    <x v="126"/>
    <n v="142"/>
    <n v="27"/>
    <n v="0"/>
    <n v="3834"/>
    <s v="A Shirts Life"/>
    <s v="Portland"/>
    <s v="Female"/>
    <x v="15"/>
    <n v="2012"/>
  </r>
  <r>
    <n v="230"/>
    <n v="6"/>
    <n v="9"/>
    <x v="126"/>
    <n v="132"/>
    <n v="25"/>
    <n v="0"/>
    <n v="3300"/>
    <s v="Abracadaba Ink"/>
    <s v="Salt Lake City"/>
    <s v="Male"/>
    <x v="15"/>
    <n v="2012"/>
  </r>
  <r>
    <n v="231"/>
    <n v="7"/>
    <n v="6"/>
    <x v="127"/>
    <n v="74"/>
    <n v="28"/>
    <n v="0"/>
    <n v="2072"/>
    <s v="The Shirt on Your Back"/>
    <s v="Bonners Ferry"/>
    <s v="Female"/>
    <x v="20"/>
    <n v="2012"/>
  </r>
  <r>
    <n v="232"/>
    <n v="7"/>
    <n v="8"/>
    <x v="127"/>
    <n v="26"/>
    <n v="27"/>
    <n v="0.10000000100000001"/>
    <n v="631.79999929799999"/>
    <s v="The Shirt on Your Back"/>
    <s v="Bonners Ferry"/>
    <s v="Female"/>
    <x v="20"/>
    <n v="2012"/>
  </r>
  <r>
    <n v="233"/>
    <n v="2"/>
    <n v="4"/>
    <x v="128"/>
    <n v="54"/>
    <n v="30"/>
    <n v="0"/>
    <n v="1620"/>
    <s v="A Shirts Life"/>
    <s v="Portland"/>
    <s v="Both"/>
    <x v="21"/>
    <n v="2012"/>
  </r>
  <r>
    <n v="234"/>
    <n v="2"/>
    <n v="9"/>
    <x v="128"/>
    <n v="99"/>
    <n v="25"/>
    <n v="0"/>
    <n v="2475"/>
    <s v="A Shirts Life"/>
    <s v="Portland"/>
    <s v="Male"/>
    <x v="21"/>
    <n v="2012"/>
  </r>
  <r>
    <n v="235"/>
    <n v="5"/>
    <n v="5"/>
    <x v="128"/>
    <n v="71"/>
    <n v="16"/>
    <n v="0"/>
    <n v="1136"/>
    <s v="Rags to Riches"/>
    <s v="Las Vegas"/>
    <s v="Female"/>
    <x v="21"/>
    <n v="2012"/>
  </r>
  <r>
    <n v="236"/>
    <n v="5"/>
    <n v="8"/>
    <x v="128"/>
    <n v="54"/>
    <n v="27"/>
    <n v="0"/>
    <n v="1458"/>
    <s v="Rags to Riches"/>
    <s v="Las Vegas"/>
    <s v="Female"/>
    <x v="21"/>
    <n v="2012"/>
  </r>
  <r>
    <n v="237"/>
    <n v="7"/>
    <n v="4"/>
    <x v="128"/>
    <n v="80"/>
    <n v="30"/>
    <n v="0"/>
    <n v="2400"/>
    <s v="The Shirt on Your Back"/>
    <s v="Bonners Ferry"/>
    <s v="Both"/>
    <x v="21"/>
    <n v="2012"/>
  </r>
  <r>
    <n v="238"/>
    <n v="2"/>
    <n v="3"/>
    <x v="129"/>
    <n v="31"/>
    <n v="22"/>
    <n v="0"/>
    <n v="682"/>
    <s v="A Shirts Life"/>
    <s v="Portland"/>
    <s v="Both"/>
    <x v="22"/>
    <n v="2012"/>
  </r>
  <r>
    <n v="239"/>
    <n v="3"/>
    <n v="3"/>
    <x v="130"/>
    <n v="38"/>
    <n v="22"/>
    <n v="0"/>
    <n v="836"/>
    <s v="Shirts R Us"/>
    <s v="Los Angeles"/>
    <s v="Both"/>
    <x v="28"/>
    <n v="2012"/>
  </r>
  <r>
    <n v="240"/>
    <n v="5"/>
    <n v="8"/>
    <x v="130"/>
    <n v="146"/>
    <n v="27"/>
    <n v="0"/>
    <n v="3942"/>
    <s v="Rags to Riches"/>
    <s v="Las Vegas"/>
    <s v="Female"/>
    <x v="28"/>
    <n v="2012"/>
  </r>
  <r>
    <n v="241"/>
    <n v="2"/>
    <n v="10"/>
    <x v="131"/>
    <n v="69"/>
    <n v="35"/>
    <n v="0"/>
    <n v="2415"/>
    <s v="A Shirts Life"/>
    <s v="Portland"/>
    <s v="Male"/>
    <x v="0"/>
    <n v="2012"/>
  </r>
  <r>
    <n v="242"/>
    <n v="6"/>
    <n v="5"/>
    <x v="131"/>
    <n v="148"/>
    <n v="16"/>
    <n v="5.0000001000000002E-2"/>
    <n v="2249.5999976319999"/>
    <s v="Abracadaba Ink"/>
    <s v="Salt Lake City"/>
    <s v="Female"/>
    <x v="0"/>
    <n v="2012"/>
  </r>
  <r>
    <n v="243"/>
    <n v="6"/>
    <n v="9"/>
    <x v="132"/>
    <n v="122"/>
    <n v="25"/>
    <n v="0.15000000599999999"/>
    <n v="2592.4999816999998"/>
    <s v="Abracadaba Ink"/>
    <s v="Salt Lake City"/>
    <s v="Male"/>
    <x v="1"/>
    <n v="2012"/>
  </r>
  <r>
    <n v="244"/>
    <n v="7"/>
    <n v="5"/>
    <x v="132"/>
    <n v="123"/>
    <n v="16"/>
    <n v="0"/>
    <n v="1968"/>
    <s v="The Shirt on Your Back"/>
    <s v="Bonners Ferry"/>
    <s v="Female"/>
    <x v="1"/>
    <n v="2012"/>
  </r>
  <r>
    <n v="245"/>
    <n v="7"/>
    <n v="10"/>
    <x v="133"/>
    <n v="97"/>
    <n v="35"/>
    <n v="5.0000001000000002E-2"/>
    <n v="3225.249996605"/>
    <s v="The Shirt on Your Back"/>
    <s v="Bonners Ferry"/>
    <s v="Male"/>
    <x v="23"/>
    <n v="2012"/>
  </r>
  <r>
    <n v="246"/>
    <n v="3"/>
    <n v="7"/>
    <x v="134"/>
    <n v="77"/>
    <n v="38"/>
    <n v="0"/>
    <n v="2926"/>
    <s v="Shirts R Us"/>
    <s v="Los Angeles"/>
    <s v="Female"/>
    <x v="2"/>
    <n v="2012"/>
  </r>
  <r>
    <n v="247"/>
    <n v="1"/>
    <n v="6"/>
    <x v="135"/>
    <n v="28"/>
    <n v="28"/>
    <n v="0"/>
    <n v="784"/>
    <s v="Threads"/>
    <s v="Seattle"/>
    <s v="Female"/>
    <x v="24"/>
    <n v="2012"/>
  </r>
  <r>
    <n v="248"/>
    <n v="1"/>
    <n v="1"/>
    <x v="136"/>
    <n v="98"/>
    <n v="20"/>
    <n v="0"/>
    <n v="1960"/>
    <s v="Threads"/>
    <s v="Seattle"/>
    <s v="Both"/>
    <x v="3"/>
    <n v="2012"/>
  </r>
  <r>
    <n v="249"/>
    <n v="6"/>
    <n v="1"/>
    <x v="136"/>
    <n v="103"/>
    <n v="20"/>
    <n v="0"/>
    <n v="2060"/>
    <s v="Abracadaba Ink"/>
    <s v="Salt Lake City"/>
    <s v="Both"/>
    <x v="3"/>
    <n v="2012"/>
  </r>
  <r>
    <n v="250"/>
    <n v="2"/>
    <n v="6"/>
    <x v="137"/>
    <n v="43"/>
    <n v="28"/>
    <n v="0"/>
    <n v="1204"/>
    <s v="A Shirts Life"/>
    <s v="Portland"/>
    <s v="Female"/>
    <x v="5"/>
    <n v="2012"/>
  </r>
  <r>
    <n v="251"/>
    <n v="6"/>
    <n v="3"/>
    <x v="138"/>
    <n v="130"/>
    <n v="22"/>
    <n v="0"/>
    <n v="2860"/>
    <s v="Abracadaba Ink"/>
    <s v="Salt Lake City"/>
    <s v="Both"/>
    <x v="30"/>
    <n v="2012"/>
  </r>
  <r>
    <n v="252"/>
    <n v="1"/>
    <n v="6"/>
    <x v="139"/>
    <n v="54"/>
    <n v="28"/>
    <n v="5.0000001000000002E-2"/>
    <n v="1436.3999984879999"/>
    <s v="Threads"/>
    <s v="Seattle"/>
    <s v="Female"/>
    <x v="7"/>
    <n v="2012"/>
  </r>
  <r>
    <n v="253"/>
    <n v="3"/>
    <n v="7"/>
    <x v="140"/>
    <n v="117"/>
    <n v="38"/>
    <n v="0"/>
    <n v="4446"/>
    <s v="Shirts R Us"/>
    <s v="Los Angeles"/>
    <s v="Female"/>
    <x v="8"/>
    <n v="2012"/>
  </r>
  <r>
    <n v="254"/>
    <n v="3"/>
    <n v="4"/>
    <x v="141"/>
    <n v="77"/>
    <n v="30"/>
    <n v="0"/>
    <n v="2310"/>
    <s v="Shirts R Us"/>
    <s v="Los Angeles"/>
    <s v="Both"/>
    <x v="9"/>
    <n v="2012"/>
  </r>
  <r>
    <n v="255"/>
    <n v="2"/>
    <n v="8"/>
    <x v="142"/>
    <n v="38"/>
    <n v="27"/>
    <n v="0"/>
    <n v="1026"/>
    <s v="A Shirts Life"/>
    <s v="Portland"/>
    <s v="Female"/>
    <x v="10"/>
    <n v="2012"/>
  </r>
  <r>
    <n v="256"/>
    <n v="6"/>
    <n v="3"/>
    <x v="142"/>
    <n v="58"/>
    <n v="22"/>
    <n v="0"/>
    <n v="1276"/>
    <s v="Abracadaba Ink"/>
    <s v="Salt Lake City"/>
    <s v="Both"/>
    <x v="10"/>
    <n v="2012"/>
  </r>
  <r>
    <n v="257"/>
    <n v="6"/>
    <n v="4"/>
    <x v="143"/>
    <n v="148"/>
    <n v="30"/>
    <n v="0"/>
    <n v="4440"/>
    <s v="Abracadaba Ink"/>
    <s v="Salt Lake City"/>
    <s v="Both"/>
    <x v="26"/>
    <n v="2012"/>
  </r>
  <r>
    <n v="258"/>
    <n v="7"/>
    <n v="4"/>
    <x v="144"/>
    <n v="142"/>
    <n v="30"/>
    <n v="0"/>
    <n v="4260"/>
    <s v="The Shirt on Your Back"/>
    <s v="Bonners Ferry"/>
    <s v="Both"/>
    <x v="11"/>
    <n v="2012"/>
  </r>
  <r>
    <n v="259"/>
    <n v="7"/>
    <n v="7"/>
    <x v="145"/>
    <n v="37"/>
    <n v="38"/>
    <n v="0"/>
    <n v="1406"/>
    <s v="The Shirt on Your Back"/>
    <s v="Bonners Ferry"/>
    <s v="Female"/>
    <x v="12"/>
    <n v="2012"/>
  </r>
  <r>
    <n v="260"/>
    <n v="1"/>
    <n v="10"/>
    <x v="146"/>
    <n v="79"/>
    <n v="35"/>
    <n v="0"/>
    <n v="2765"/>
    <s v="Threads"/>
    <s v="Seattle"/>
    <s v="Male"/>
    <x v="13"/>
    <n v="2012"/>
  </r>
  <r>
    <n v="261"/>
    <n v="6"/>
    <n v="2"/>
    <x v="147"/>
    <n v="83"/>
    <n v="30"/>
    <n v="0"/>
    <n v="2490"/>
    <s v="Abracadaba Ink"/>
    <s v="Salt Lake City"/>
    <s v="Both"/>
    <x v="27"/>
    <n v="2012"/>
  </r>
  <r>
    <n v="262"/>
    <n v="6"/>
    <n v="9"/>
    <x v="148"/>
    <n v="130"/>
    <n v="25"/>
    <n v="0.15000000599999999"/>
    <n v="2762.4999805000002"/>
    <s v="Abracadaba Ink"/>
    <s v="Salt Lake City"/>
    <s v="Male"/>
    <x v="14"/>
    <n v="2012"/>
  </r>
  <r>
    <n v="263"/>
    <n v="7"/>
    <n v="4"/>
    <x v="149"/>
    <n v="63"/>
    <n v="30"/>
    <n v="0"/>
    <n v="1890"/>
    <s v="The Shirt on Your Back"/>
    <s v="Bonners Ferry"/>
    <s v="Both"/>
    <x v="15"/>
    <n v="2012"/>
  </r>
  <r>
    <n v="264"/>
    <n v="4"/>
    <n v="5"/>
    <x v="150"/>
    <n v="138"/>
    <n v="16"/>
    <n v="0"/>
    <n v="2208"/>
    <s v="Tshirt Unlimited"/>
    <s v="Phoenix"/>
    <s v="Female"/>
    <x v="16"/>
    <n v="2012"/>
  </r>
  <r>
    <n v="265"/>
    <n v="5"/>
    <n v="5"/>
    <x v="150"/>
    <n v="148"/>
    <n v="16"/>
    <n v="0"/>
    <n v="2368"/>
    <s v="Rags to Riches"/>
    <s v="Las Vegas"/>
    <s v="Female"/>
    <x v="16"/>
    <n v="2012"/>
  </r>
  <r>
    <n v="266"/>
    <n v="3"/>
    <n v="4"/>
    <x v="151"/>
    <n v="27"/>
    <n v="30"/>
    <n v="0"/>
    <n v="810"/>
    <s v="Shirts R Us"/>
    <s v="Los Angeles"/>
    <s v="Both"/>
    <x v="17"/>
    <n v="2012"/>
  </r>
  <r>
    <n v="267"/>
    <n v="5"/>
    <n v="1"/>
    <x v="152"/>
    <n v="92"/>
    <n v="20"/>
    <n v="0"/>
    <n v="1840"/>
    <s v="Rags to Riches"/>
    <s v="Las Vegas"/>
    <s v="Both"/>
    <x v="18"/>
    <n v="2012"/>
  </r>
  <r>
    <n v="268"/>
    <n v="5"/>
    <n v="5"/>
    <x v="152"/>
    <n v="83"/>
    <n v="16"/>
    <n v="0"/>
    <n v="1328"/>
    <s v="Rags to Riches"/>
    <s v="Las Vegas"/>
    <s v="Female"/>
    <x v="18"/>
    <n v="2012"/>
  </r>
  <r>
    <n v="269"/>
    <n v="5"/>
    <n v="9"/>
    <x v="153"/>
    <n v="73"/>
    <n v="25"/>
    <n v="0"/>
    <n v="1825"/>
    <s v="Rags to Riches"/>
    <s v="Las Vegas"/>
    <s v="Male"/>
    <x v="19"/>
    <n v="2012"/>
  </r>
  <r>
    <n v="270"/>
    <n v="5"/>
    <n v="6"/>
    <x v="154"/>
    <n v="53"/>
    <n v="28"/>
    <n v="0"/>
    <n v="1484"/>
    <s v="Rags to Riches"/>
    <s v="Las Vegas"/>
    <s v="Female"/>
    <x v="20"/>
    <n v="2012"/>
  </r>
  <r>
    <n v="271"/>
    <n v="5"/>
    <n v="8"/>
    <x v="154"/>
    <n v="52"/>
    <n v="27"/>
    <n v="0"/>
    <n v="1404"/>
    <s v="Rags to Riches"/>
    <s v="Las Vegas"/>
    <s v="Female"/>
    <x v="20"/>
    <n v="2012"/>
  </r>
  <r>
    <n v="272"/>
    <n v="1"/>
    <n v="5"/>
    <x v="155"/>
    <n v="143"/>
    <n v="16"/>
    <n v="0"/>
    <n v="2288"/>
    <s v="Threads"/>
    <s v="Seattle"/>
    <s v="Female"/>
    <x v="21"/>
    <n v="2012"/>
  </r>
  <r>
    <n v="273"/>
    <n v="1"/>
    <n v="10"/>
    <x v="156"/>
    <n v="124"/>
    <n v="35"/>
    <n v="0"/>
    <n v="4340"/>
    <s v="Threads"/>
    <s v="Seattle"/>
    <s v="Male"/>
    <x v="22"/>
    <n v="2012"/>
  </r>
  <r>
    <n v="274"/>
    <n v="2"/>
    <n v="1"/>
    <x v="156"/>
    <n v="115"/>
    <n v="20"/>
    <n v="0.15000000599999999"/>
    <n v="1954.9999862"/>
    <s v="A Shirts Life"/>
    <s v="Portland"/>
    <s v="Both"/>
    <x v="22"/>
    <n v="2012"/>
  </r>
  <r>
    <n v="275"/>
    <n v="6"/>
    <n v="10"/>
    <x v="156"/>
    <n v="37"/>
    <n v="35"/>
    <n v="0"/>
    <n v="1295"/>
    <s v="Abracadaba Ink"/>
    <s v="Salt Lake City"/>
    <s v="Male"/>
    <x v="22"/>
    <n v="2012"/>
  </r>
  <r>
    <n v="276"/>
    <n v="5"/>
    <n v="10"/>
    <x v="157"/>
    <n v="45"/>
    <n v="35"/>
    <n v="0"/>
    <n v="1575"/>
    <s v="Rags to Riches"/>
    <s v="Las Vegas"/>
    <s v="Male"/>
    <x v="28"/>
    <n v="2012"/>
  </r>
  <r>
    <n v="277"/>
    <n v="1"/>
    <n v="8"/>
    <x v="158"/>
    <n v="79"/>
    <n v="27"/>
    <n v="0"/>
    <n v="2133"/>
    <s v="Threads"/>
    <s v="Seattle"/>
    <s v="Female"/>
    <x v="1"/>
    <n v="2012"/>
  </r>
  <r>
    <n v="278"/>
    <n v="7"/>
    <n v="2"/>
    <x v="159"/>
    <n v="110"/>
    <n v="30"/>
    <n v="0"/>
    <n v="3300"/>
    <s v="The Shirt on Your Back"/>
    <s v="Bonners Ferry"/>
    <s v="Both"/>
    <x v="23"/>
    <n v="2012"/>
  </r>
  <r>
    <n v="279"/>
    <n v="3"/>
    <n v="4"/>
    <x v="160"/>
    <n v="70"/>
    <n v="30"/>
    <n v="0"/>
    <n v="2100"/>
    <s v="Shirts R Us"/>
    <s v="Los Angeles"/>
    <s v="Both"/>
    <x v="24"/>
    <n v="2012"/>
  </r>
  <r>
    <n v="280"/>
    <n v="4"/>
    <n v="2"/>
    <x v="161"/>
    <n v="96"/>
    <n v="30"/>
    <n v="5.0000001000000002E-2"/>
    <n v="2735.99999712"/>
    <s v="Tshirt Unlimited"/>
    <s v="Phoenix"/>
    <s v="Both"/>
    <x v="6"/>
    <n v="2012"/>
  </r>
  <r>
    <n v="281"/>
    <n v="1"/>
    <n v="1"/>
    <x v="162"/>
    <n v="125"/>
    <n v="20"/>
    <n v="0"/>
    <n v="2500"/>
    <s v="Threads"/>
    <s v="Seattle"/>
    <s v="Both"/>
    <x v="7"/>
    <n v="2012"/>
  </r>
  <r>
    <n v="282"/>
    <n v="6"/>
    <n v="1"/>
    <x v="163"/>
    <n v="51"/>
    <n v="20"/>
    <n v="5.0000001000000002E-2"/>
    <n v="968.99999897999999"/>
    <s v="Abracadaba Ink"/>
    <s v="Salt Lake City"/>
    <s v="Both"/>
    <x v="25"/>
    <n v="2012"/>
  </r>
  <r>
    <n v="283"/>
    <n v="7"/>
    <n v="8"/>
    <x v="163"/>
    <n v="79"/>
    <n v="27"/>
    <n v="0"/>
    <n v="2133"/>
    <s v="The Shirt on Your Back"/>
    <s v="Bonners Ferry"/>
    <s v="Female"/>
    <x v="25"/>
    <n v="2012"/>
  </r>
  <r>
    <n v="284"/>
    <n v="3"/>
    <n v="5"/>
    <x v="164"/>
    <n v="76"/>
    <n v="16"/>
    <n v="0.10000000100000001"/>
    <n v="1094.399998784"/>
    <s v="Shirts R Us"/>
    <s v="Los Angeles"/>
    <s v="Female"/>
    <x v="8"/>
    <n v="2012"/>
  </r>
  <r>
    <n v="285"/>
    <n v="5"/>
    <n v="1"/>
    <x v="164"/>
    <n v="105"/>
    <n v="20"/>
    <n v="0"/>
    <n v="2100"/>
    <s v="Rags to Riches"/>
    <s v="Las Vegas"/>
    <s v="Both"/>
    <x v="8"/>
    <n v="2012"/>
  </r>
  <r>
    <n v="286"/>
    <n v="1"/>
    <n v="6"/>
    <x v="165"/>
    <n v="86"/>
    <n v="28"/>
    <n v="0"/>
    <n v="2408"/>
    <s v="Threads"/>
    <s v="Seattle"/>
    <s v="Female"/>
    <x v="9"/>
    <n v="2012"/>
  </r>
  <r>
    <n v="287"/>
    <n v="7"/>
    <n v="2"/>
    <x v="165"/>
    <n v="108"/>
    <n v="30"/>
    <n v="0"/>
    <n v="3240"/>
    <s v="The Shirt on Your Back"/>
    <s v="Bonners Ferry"/>
    <s v="Both"/>
    <x v="9"/>
    <n v="2012"/>
  </r>
  <r>
    <n v="288"/>
    <n v="5"/>
    <n v="8"/>
    <x v="166"/>
    <n v="27"/>
    <n v="27"/>
    <n v="0.10000000100000001"/>
    <n v="656.099999271"/>
    <s v="Rags to Riches"/>
    <s v="Las Vegas"/>
    <s v="Female"/>
    <x v="10"/>
    <n v="2012"/>
  </r>
  <r>
    <n v="289"/>
    <n v="6"/>
    <n v="2"/>
    <x v="166"/>
    <n v="64"/>
    <n v="30"/>
    <n v="0"/>
    <n v="1920"/>
    <s v="Abracadaba Ink"/>
    <s v="Salt Lake City"/>
    <s v="Both"/>
    <x v="10"/>
    <n v="2012"/>
  </r>
  <r>
    <n v="290"/>
    <n v="7"/>
    <n v="10"/>
    <x v="166"/>
    <n v="136"/>
    <n v="35"/>
    <n v="0"/>
    <n v="4760"/>
    <s v="The Shirt on Your Back"/>
    <s v="Bonners Ferry"/>
    <s v="Male"/>
    <x v="10"/>
    <n v="2012"/>
  </r>
  <r>
    <n v="291"/>
    <n v="7"/>
    <n v="5"/>
    <x v="167"/>
    <n v="33"/>
    <n v="16"/>
    <n v="0"/>
    <n v="528"/>
    <s v="The Shirt on Your Back"/>
    <s v="Bonners Ferry"/>
    <s v="Female"/>
    <x v="26"/>
    <n v="2012"/>
  </r>
  <r>
    <n v="292"/>
    <n v="4"/>
    <n v="2"/>
    <x v="168"/>
    <n v="107"/>
    <n v="30"/>
    <n v="0"/>
    <n v="3210"/>
    <s v="Tshirt Unlimited"/>
    <s v="Phoenix"/>
    <s v="Both"/>
    <x v="14"/>
    <n v="2012"/>
  </r>
  <r>
    <n v="293"/>
    <n v="6"/>
    <n v="10"/>
    <x v="168"/>
    <n v="56"/>
    <n v="35"/>
    <n v="5.0000001000000002E-2"/>
    <n v="1861.99999804"/>
    <s v="Abracadaba Ink"/>
    <s v="Salt Lake City"/>
    <s v="Male"/>
    <x v="14"/>
    <n v="2012"/>
  </r>
  <r>
    <n v="294"/>
    <n v="4"/>
    <n v="1"/>
    <x v="169"/>
    <n v="106"/>
    <n v="20"/>
    <n v="5.0000001000000002E-2"/>
    <n v="2013.9999978799999"/>
    <s v="Tshirt Unlimited"/>
    <s v="Phoenix"/>
    <s v="Both"/>
    <x v="15"/>
    <n v="2012"/>
  </r>
  <r>
    <n v="295"/>
    <n v="5"/>
    <n v="2"/>
    <x v="169"/>
    <n v="84"/>
    <n v="30"/>
    <n v="0"/>
    <n v="2520"/>
    <s v="Rags to Riches"/>
    <s v="Las Vegas"/>
    <s v="Both"/>
    <x v="15"/>
    <n v="2012"/>
  </r>
  <r>
    <n v="296"/>
    <n v="1"/>
    <n v="7"/>
    <x v="170"/>
    <n v="66"/>
    <n v="38"/>
    <n v="0"/>
    <n v="2508"/>
    <s v="Threads"/>
    <s v="Seattle"/>
    <s v="Female"/>
    <x v="18"/>
    <n v="2012"/>
  </r>
  <r>
    <n v="297"/>
    <n v="1"/>
    <n v="9"/>
    <x v="170"/>
    <n v="71"/>
    <n v="25"/>
    <n v="0"/>
    <n v="1775"/>
    <s v="Threads"/>
    <s v="Seattle"/>
    <s v="Male"/>
    <x v="18"/>
    <n v="2012"/>
  </r>
  <r>
    <n v="298"/>
    <n v="5"/>
    <n v="3"/>
    <x v="170"/>
    <n v="101"/>
    <n v="22"/>
    <n v="0"/>
    <n v="2222"/>
    <s v="Rags to Riches"/>
    <s v="Las Vegas"/>
    <s v="Both"/>
    <x v="18"/>
    <n v="2012"/>
  </r>
  <r>
    <n v="299"/>
    <n v="3"/>
    <n v="6"/>
    <x v="171"/>
    <n v="30"/>
    <n v="28"/>
    <n v="0"/>
    <n v="840"/>
    <s v="Shirts R Us"/>
    <s v="Los Angeles"/>
    <s v="Female"/>
    <x v="19"/>
    <n v="2012"/>
  </r>
  <r>
    <n v="300"/>
    <n v="5"/>
    <n v="7"/>
    <x v="171"/>
    <n v="112"/>
    <n v="38"/>
    <n v="0"/>
    <n v="4256"/>
    <s v="Rags to Riches"/>
    <s v="Las Vegas"/>
    <s v="Female"/>
    <x v="19"/>
    <n v="2012"/>
  </r>
  <r>
    <n v="301"/>
    <n v="6"/>
    <n v="9"/>
    <x v="171"/>
    <n v="35"/>
    <n v="25"/>
    <n v="0.10000000100000001"/>
    <n v="787.49999912500004"/>
    <s v="Abracadaba Ink"/>
    <s v="Salt Lake City"/>
    <s v="Male"/>
    <x v="19"/>
    <n v="2012"/>
  </r>
  <r>
    <n v="302"/>
    <n v="3"/>
    <n v="5"/>
    <x v="172"/>
    <n v="124"/>
    <n v="16"/>
    <n v="0"/>
    <n v="1984"/>
    <s v="Shirts R Us"/>
    <s v="Los Angeles"/>
    <s v="Female"/>
    <x v="20"/>
    <n v="2012"/>
  </r>
  <r>
    <n v="303"/>
    <n v="6"/>
    <n v="10"/>
    <x v="172"/>
    <n v="143"/>
    <n v="35"/>
    <n v="0"/>
    <n v="5005"/>
    <s v="Abracadaba Ink"/>
    <s v="Salt Lake City"/>
    <s v="Male"/>
    <x v="20"/>
    <n v="2012"/>
  </r>
  <r>
    <n v="304"/>
    <n v="4"/>
    <n v="5"/>
    <x v="173"/>
    <n v="39"/>
    <n v="16"/>
    <n v="0"/>
    <n v="624"/>
    <s v="Tshirt Unlimited"/>
    <s v="Phoenix"/>
    <s v="Female"/>
    <x v="21"/>
    <n v="2012"/>
  </r>
  <r>
    <n v="305"/>
    <n v="3"/>
    <n v="4"/>
    <x v="174"/>
    <n v="25"/>
    <n v="30"/>
    <n v="0"/>
    <n v="750"/>
    <s v="Shirts R Us"/>
    <s v="Los Angeles"/>
    <s v="Both"/>
    <x v="22"/>
    <n v="2012"/>
  </r>
  <r>
    <n v="306"/>
    <n v="1"/>
    <n v="2"/>
    <x v="175"/>
    <n v="36"/>
    <n v="30"/>
    <n v="0"/>
    <n v="1080"/>
    <s v="Threads"/>
    <s v="Seattle"/>
    <s v="Both"/>
    <x v="29"/>
    <n v="2012"/>
  </r>
  <r>
    <n v="307"/>
    <n v="3"/>
    <n v="7"/>
    <x v="175"/>
    <n v="94"/>
    <n v="38"/>
    <n v="0.10000000100000001"/>
    <n v="3214.7999964279998"/>
    <s v="Shirts R Us"/>
    <s v="Los Angeles"/>
    <s v="Female"/>
    <x v="29"/>
    <n v="2012"/>
  </r>
  <r>
    <n v="308"/>
    <n v="6"/>
    <n v="3"/>
    <x v="175"/>
    <n v="104"/>
    <n v="22"/>
    <n v="0"/>
    <n v="2288"/>
    <s v="Abracadaba Ink"/>
    <s v="Salt Lake City"/>
    <s v="Both"/>
    <x v="29"/>
    <n v="2012"/>
  </r>
  <r>
    <n v="309"/>
    <n v="6"/>
    <n v="7"/>
    <x v="175"/>
    <n v="90"/>
    <n v="38"/>
    <n v="0"/>
    <n v="3420"/>
    <s v="Abracadaba Ink"/>
    <s v="Salt Lake City"/>
    <s v="Female"/>
    <x v="29"/>
    <n v="2012"/>
  </r>
  <r>
    <n v="310"/>
    <n v="4"/>
    <n v="2"/>
    <x v="176"/>
    <n v="55"/>
    <n v="30"/>
    <n v="0"/>
    <n v="1650"/>
    <s v="Tshirt Unlimited"/>
    <s v="Phoenix"/>
    <s v="Both"/>
    <x v="28"/>
    <n v="2012"/>
  </r>
  <r>
    <n v="311"/>
    <n v="1"/>
    <n v="4"/>
    <x v="177"/>
    <n v="35"/>
    <n v="30"/>
    <n v="0"/>
    <n v="1050"/>
    <s v="Threads"/>
    <s v="Seattle"/>
    <s v="Both"/>
    <x v="0"/>
    <n v="2012"/>
  </r>
  <r>
    <n v="312"/>
    <n v="2"/>
    <n v="2"/>
    <x v="177"/>
    <n v="38"/>
    <n v="30"/>
    <n v="0"/>
    <n v="1140"/>
    <s v="A Shirts Life"/>
    <s v="Portland"/>
    <s v="Both"/>
    <x v="0"/>
    <n v="2012"/>
  </r>
  <r>
    <n v="313"/>
    <n v="4"/>
    <n v="7"/>
    <x v="177"/>
    <n v="121"/>
    <n v="38"/>
    <n v="0"/>
    <n v="4598"/>
    <s v="Tshirt Unlimited"/>
    <s v="Phoenix"/>
    <s v="Female"/>
    <x v="0"/>
    <n v="2012"/>
  </r>
  <r>
    <n v="314"/>
    <n v="5"/>
    <n v="7"/>
    <x v="178"/>
    <n v="141"/>
    <n v="38"/>
    <n v="0"/>
    <n v="5358"/>
    <s v="Rags to Riches"/>
    <s v="Las Vegas"/>
    <s v="Female"/>
    <x v="1"/>
    <n v="2012"/>
  </r>
  <r>
    <n v="315"/>
    <n v="2"/>
    <n v="4"/>
    <x v="179"/>
    <n v="42"/>
    <n v="30"/>
    <n v="5.0000001000000002E-2"/>
    <n v="1196.9999987399999"/>
    <s v="A Shirts Life"/>
    <s v="Portland"/>
    <s v="Both"/>
    <x v="23"/>
    <n v="2012"/>
  </r>
  <r>
    <n v="316"/>
    <n v="2"/>
    <n v="10"/>
    <x v="179"/>
    <n v="98"/>
    <n v="35"/>
    <n v="0"/>
    <n v="3430"/>
    <s v="A Shirts Life"/>
    <s v="Portland"/>
    <s v="Male"/>
    <x v="23"/>
    <n v="2012"/>
  </r>
  <r>
    <n v="317"/>
    <n v="4"/>
    <n v="8"/>
    <x v="179"/>
    <n v="112"/>
    <n v="27"/>
    <n v="0"/>
    <n v="3024"/>
    <s v="Tshirt Unlimited"/>
    <s v="Phoenix"/>
    <s v="Female"/>
    <x v="23"/>
    <n v="2012"/>
  </r>
  <r>
    <n v="318"/>
    <n v="6"/>
    <n v="6"/>
    <x v="179"/>
    <n v="58"/>
    <n v="28"/>
    <n v="0"/>
    <n v="1624"/>
    <s v="Abracadaba Ink"/>
    <s v="Salt Lake City"/>
    <s v="Female"/>
    <x v="23"/>
    <n v="2012"/>
  </r>
  <r>
    <n v="319"/>
    <n v="7"/>
    <n v="5"/>
    <x v="180"/>
    <n v="61"/>
    <n v="16"/>
    <n v="0"/>
    <n v="976"/>
    <s v="The Shirt on Your Back"/>
    <s v="Bonners Ferry"/>
    <s v="Female"/>
    <x v="2"/>
    <n v="2012"/>
  </r>
  <r>
    <n v="320"/>
    <n v="5"/>
    <n v="9"/>
    <x v="181"/>
    <n v="48"/>
    <n v="25"/>
    <n v="0"/>
    <n v="1200"/>
    <s v="Rags to Riches"/>
    <s v="Las Vegas"/>
    <s v="Male"/>
    <x v="24"/>
    <n v="2012"/>
  </r>
  <r>
    <n v="321"/>
    <n v="2"/>
    <n v="5"/>
    <x v="182"/>
    <n v="93"/>
    <n v="16"/>
    <n v="5.0000001000000002E-2"/>
    <n v="1413.599998512"/>
    <s v="A Shirts Life"/>
    <s v="Portland"/>
    <s v="Female"/>
    <x v="3"/>
    <n v="2012"/>
  </r>
  <r>
    <n v="322"/>
    <n v="3"/>
    <n v="5"/>
    <x v="182"/>
    <n v="121"/>
    <n v="16"/>
    <n v="0"/>
    <n v="1936"/>
    <s v="Shirts R Us"/>
    <s v="Los Angeles"/>
    <s v="Female"/>
    <x v="3"/>
    <n v="2012"/>
  </r>
  <r>
    <n v="323"/>
    <n v="2"/>
    <n v="1"/>
    <x v="183"/>
    <n v="126"/>
    <n v="20"/>
    <n v="0"/>
    <n v="2520"/>
    <s v="A Shirts Life"/>
    <s v="Portland"/>
    <s v="Both"/>
    <x v="4"/>
    <n v="2012"/>
  </r>
  <r>
    <n v="324"/>
    <n v="2"/>
    <n v="8"/>
    <x v="183"/>
    <n v="30"/>
    <n v="27"/>
    <n v="0"/>
    <n v="810"/>
    <s v="A Shirts Life"/>
    <s v="Portland"/>
    <s v="Female"/>
    <x v="4"/>
    <n v="2012"/>
  </r>
  <r>
    <n v="325"/>
    <n v="7"/>
    <n v="3"/>
    <x v="183"/>
    <n v="137"/>
    <n v="22"/>
    <n v="0.10000000100000001"/>
    <n v="2712.599996986"/>
    <s v="The Shirt on Your Back"/>
    <s v="Bonners Ferry"/>
    <s v="Both"/>
    <x v="4"/>
    <n v="2012"/>
  </r>
  <r>
    <n v="326"/>
    <n v="7"/>
    <n v="10"/>
    <x v="183"/>
    <n v="150"/>
    <n v="35"/>
    <n v="0"/>
    <n v="5250"/>
    <s v="The Shirt on Your Back"/>
    <s v="Bonners Ferry"/>
    <s v="Male"/>
    <x v="4"/>
    <n v="2012"/>
  </r>
  <r>
    <n v="327"/>
    <n v="1"/>
    <n v="7"/>
    <x v="184"/>
    <n v="146"/>
    <n v="38"/>
    <n v="0"/>
    <n v="5548"/>
    <s v="Threads"/>
    <s v="Seattle"/>
    <s v="Female"/>
    <x v="5"/>
    <n v="2012"/>
  </r>
  <r>
    <n v="328"/>
    <n v="5"/>
    <n v="5"/>
    <x v="184"/>
    <n v="81"/>
    <n v="16"/>
    <n v="0"/>
    <n v="1296"/>
    <s v="Rags to Riches"/>
    <s v="Las Vegas"/>
    <s v="Female"/>
    <x v="5"/>
    <n v="2012"/>
  </r>
  <r>
    <n v="329"/>
    <n v="2"/>
    <n v="2"/>
    <x v="185"/>
    <n v="77"/>
    <n v="30"/>
    <n v="0"/>
    <n v="2310"/>
    <s v="A Shirts Life"/>
    <s v="Portland"/>
    <s v="Both"/>
    <x v="7"/>
    <n v="2012"/>
  </r>
  <r>
    <n v="330"/>
    <n v="3"/>
    <n v="2"/>
    <x v="185"/>
    <n v="46"/>
    <n v="30"/>
    <n v="0"/>
    <n v="1380"/>
    <s v="Shirts R Us"/>
    <s v="Los Angeles"/>
    <s v="Both"/>
    <x v="7"/>
    <n v="2012"/>
  </r>
  <r>
    <n v="331"/>
    <n v="3"/>
    <n v="10"/>
    <x v="185"/>
    <n v="52"/>
    <n v="35"/>
    <n v="5.0000001000000002E-2"/>
    <n v="1728.9999981799999"/>
    <s v="Shirts R Us"/>
    <s v="Los Angeles"/>
    <s v="Male"/>
    <x v="7"/>
    <n v="2012"/>
  </r>
  <r>
    <n v="332"/>
    <n v="6"/>
    <n v="5"/>
    <x v="185"/>
    <n v="57"/>
    <n v="16"/>
    <n v="5.0000001000000002E-2"/>
    <n v="866.39999908799996"/>
    <s v="Abracadaba Ink"/>
    <s v="Salt Lake City"/>
    <s v="Female"/>
    <x v="7"/>
    <n v="2012"/>
  </r>
  <r>
    <n v="333"/>
    <n v="7"/>
    <n v="6"/>
    <x v="185"/>
    <n v="64"/>
    <n v="28"/>
    <n v="0"/>
    <n v="1792"/>
    <s v="The Shirt on Your Back"/>
    <s v="Bonners Ferry"/>
    <s v="Female"/>
    <x v="7"/>
    <n v="2012"/>
  </r>
  <r>
    <n v="334"/>
    <n v="1"/>
    <n v="3"/>
    <x v="186"/>
    <n v="120"/>
    <n v="22"/>
    <n v="5.0000001000000002E-2"/>
    <n v="2507.9999973600002"/>
    <s v="Threads"/>
    <s v="Seattle"/>
    <s v="Both"/>
    <x v="25"/>
    <n v="2012"/>
  </r>
  <r>
    <n v="335"/>
    <n v="3"/>
    <n v="4"/>
    <x v="186"/>
    <n v="124"/>
    <n v="30"/>
    <n v="0"/>
    <n v="3720"/>
    <s v="Shirts R Us"/>
    <s v="Los Angeles"/>
    <s v="Both"/>
    <x v="25"/>
    <n v="2012"/>
  </r>
  <r>
    <n v="336"/>
    <n v="2"/>
    <n v="7"/>
    <x v="187"/>
    <n v="54"/>
    <n v="38"/>
    <n v="0"/>
    <n v="2052"/>
    <s v="A Shirts Life"/>
    <s v="Portland"/>
    <s v="Female"/>
    <x v="9"/>
    <n v="2012"/>
  </r>
  <r>
    <n v="337"/>
    <n v="7"/>
    <n v="4"/>
    <x v="187"/>
    <n v="45"/>
    <n v="30"/>
    <n v="0"/>
    <n v="1350"/>
    <s v="The Shirt on Your Back"/>
    <s v="Bonners Ferry"/>
    <s v="Both"/>
    <x v="9"/>
    <n v="2012"/>
  </r>
  <r>
    <n v="338"/>
    <n v="1"/>
    <n v="6"/>
    <x v="188"/>
    <n v="57"/>
    <n v="28"/>
    <n v="5.0000001000000002E-2"/>
    <n v="1516.1999984040001"/>
    <s v="Threads"/>
    <s v="Seattle"/>
    <s v="Female"/>
    <x v="10"/>
    <n v="2012"/>
  </r>
  <r>
    <n v="339"/>
    <n v="7"/>
    <n v="6"/>
    <x v="189"/>
    <n v="47"/>
    <n v="28"/>
    <n v="0"/>
    <n v="1316"/>
    <s v="The Shirt on Your Back"/>
    <s v="Bonners Ferry"/>
    <s v="Female"/>
    <x v="11"/>
    <n v="2012"/>
  </r>
  <r>
    <n v="340"/>
    <n v="4"/>
    <n v="6"/>
    <x v="190"/>
    <n v="149"/>
    <n v="28"/>
    <n v="0"/>
    <n v="4172"/>
    <s v="Tshirt Unlimited"/>
    <s v="Phoenix"/>
    <s v="Female"/>
    <x v="13"/>
    <n v="2012"/>
  </r>
  <r>
    <n v="341"/>
    <n v="7"/>
    <n v="4"/>
    <x v="191"/>
    <n v="137"/>
    <n v="30"/>
    <n v="0"/>
    <n v="4110"/>
    <s v="The Shirt on Your Back"/>
    <s v="Bonners Ferry"/>
    <s v="Both"/>
    <x v="27"/>
    <n v="2012"/>
  </r>
  <r>
    <n v="342"/>
    <n v="7"/>
    <n v="8"/>
    <x v="192"/>
    <n v="128"/>
    <n v="27"/>
    <n v="0"/>
    <n v="3456"/>
    <s v="The Shirt on Your Back"/>
    <s v="Bonners Ferry"/>
    <s v="Female"/>
    <x v="14"/>
    <n v="2012"/>
  </r>
  <r>
    <n v="343"/>
    <n v="3"/>
    <n v="2"/>
    <x v="193"/>
    <n v="98"/>
    <n v="30"/>
    <n v="0"/>
    <n v="2940"/>
    <s v="Shirts R Us"/>
    <s v="Los Angeles"/>
    <s v="Both"/>
    <x v="17"/>
    <n v="2012"/>
  </r>
  <r>
    <n v="344"/>
    <n v="3"/>
    <n v="10"/>
    <x v="193"/>
    <n v="75"/>
    <n v="35"/>
    <n v="0"/>
    <n v="2625"/>
    <s v="Shirts R Us"/>
    <s v="Los Angeles"/>
    <s v="Male"/>
    <x v="17"/>
    <n v="2012"/>
  </r>
  <r>
    <n v="345"/>
    <n v="7"/>
    <n v="8"/>
    <x v="193"/>
    <n v="114"/>
    <n v="27"/>
    <n v="5.0000001000000002E-2"/>
    <n v="2924.0999969220002"/>
    <s v="The Shirt on Your Back"/>
    <s v="Bonners Ferry"/>
    <s v="Female"/>
    <x v="17"/>
    <n v="2012"/>
  </r>
  <r>
    <n v="346"/>
    <n v="1"/>
    <n v="10"/>
    <x v="194"/>
    <n v="35"/>
    <n v="35"/>
    <n v="0"/>
    <n v="1225"/>
    <s v="Threads"/>
    <s v="Seattle"/>
    <s v="Male"/>
    <x v="18"/>
    <n v="2012"/>
  </r>
  <r>
    <n v="347"/>
    <n v="5"/>
    <n v="7"/>
    <x v="194"/>
    <n v="149"/>
    <n v="38"/>
    <n v="0"/>
    <n v="5662"/>
    <s v="Rags to Riches"/>
    <s v="Las Vegas"/>
    <s v="Female"/>
    <x v="18"/>
    <n v="2012"/>
  </r>
  <r>
    <n v="348"/>
    <n v="6"/>
    <n v="4"/>
    <x v="194"/>
    <n v="101"/>
    <n v="30"/>
    <n v="0"/>
    <n v="3030"/>
    <s v="Abracadaba Ink"/>
    <s v="Salt Lake City"/>
    <s v="Both"/>
    <x v="18"/>
    <n v="2012"/>
  </r>
  <r>
    <n v="349"/>
    <n v="1"/>
    <n v="3"/>
    <x v="195"/>
    <n v="102"/>
    <n v="22"/>
    <n v="0"/>
    <n v="2244"/>
    <s v="Threads"/>
    <s v="Seattle"/>
    <s v="Both"/>
    <x v="19"/>
    <n v="2012"/>
  </r>
  <r>
    <n v="350"/>
    <n v="3"/>
    <n v="2"/>
    <x v="195"/>
    <n v="143"/>
    <n v="30"/>
    <n v="5.0000001000000002E-2"/>
    <n v="4075.4999957099999"/>
    <s v="Shirts R Us"/>
    <s v="Los Angeles"/>
    <s v="Both"/>
    <x v="19"/>
    <n v="2012"/>
  </r>
  <r>
    <n v="351"/>
    <n v="6"/>
    <n v="1"/>
    <x v="195"/>
    <n v="116"/>
    <n v="20"/>
    <n v="0"/>
    <n v="2320"/>
    <s v="Abracadaba Ink"/>
    <s v="Salt Lake City"/>
    <s v="Both"/>
    <x v="19"/>
    <n v="2012"/>
  </r>
  <r>
    <n v="352"/>
    <n v="6"/>
    <n v="9"/>
    <x v="196"/>
    <n v="132"/>
    <n v="25"/>
    <n v="0"/>
    <n v="3300"/>
    <s v="Abracadaba Ink"/>
    <s v="Salt Lake City"/>
    <s v="Male"/>
    <x v="20"/>
    <n v="2012"/>
  </r>
  <r>
    <n v="353"/>
    <n v="1"/>
    <n v="9"/>
    <x v="197"/>
    <n v="107"/>
    <n v="25"/>
    <n v="0"/>
    <n v="2675"/>
    <s v="Threads"/>
    <s v="Seattle"/>
    <s v="Male"/>
    <x v="28"/>
    <n v="2012"/>
  </r>
  <r>
    <n v="354"/>
    <n v="4"/>
    <n v="5"/>
    <x v="197"/>
    <n v="27"/>
    <n v="16"/>
    <n v="5.0000001000000002E-2"/>
    <n v="410.399999568"/>
    <s v="Tshirt Unlimited"/>
    <s v="Phoenix"/>
    <s v="Female"/>
    <x v="28"/>
    <n v="2012"/>
  </r>
  <r>
    <n v="355"/>
    <n v="1"/>
    <n v="2"/>
    <x v="198"/>
    <n v="145"/>
    <n v="30"/>
    <n v="0"/>
    <n v="4350"/>
    <s v="Threads"/>
    <s v="Seattle"/>
    <s v="Both"/>
    <x v="0"/>
    <n v="2012"/>
  </r>
  <r>
    <n v="356"/>
    <n v="5"/>
    <n v="1"/>
    <x v="198"/>
    <n v="87"/>
    <n v="20"/>
    <n v="0.10000000100000001"/>
    <n v="1565.99999826"/>
    <s v="Rags to Riches"/>
    <s v="Las Vegas"/>
    <s v="Both"/>
    <x v="0"/>
    <n v="2012"/>
  </r>
  <r>
    <n v="357"/>
    <n v="6"/>
    <n v="9"/>
    <x v="198"/>
    <n v="74"/>
    <n v="25"/>
    <n v="0"/>
    <n v="1850"/>
    <s v="Abracadaba Ink"/>
    <s v="Salt Lake City"/>
    <s v="Male"/>
    <x v="0"/>
    <n v="2012"/>
  </r>
  <r>
    <n v="358"/>
    <n v="3"/>
    <n v="10"/>
    <x v="199"/>
    <n v="117"/>
    <n v="35"/>
    <n v="0"/>
    <n v="4095"/>
    <s v="Shirts R Us"/>
    <s v="Los Angeles"/>
    <s v="Male"/>
    <x v="1"/>
    <n v="2012"/>
  </r>
  <r>
    <n v="359"/>
    <n v="4"/>
    <n v="8"/>
    <x v="199"/>
    <n v="84"/>
    <n v="27"/>
    <n v="0"/>
    <n v="2268"/>
    <s v="Tshirt Unlimited"/>
    <s v="Phoenix"/>
    <s v="Female"/>
    <x v="1"/>
    <n v="2012"/>
  </r>
  <r>
    <n v="360"/>
    <n v="2"/>
    <n v="4"/>
    <x v="200"/>
    <n v="75"/>
    <n v="30"/>
    <n v="0"/>
    <n v="2250"/>
    <s v="A Shirts Life"/>
    <s v="Portland"/>
    <s v="Both"/>
    <x v="23"/>
    <n v="2012"/>
  </r>
  <r>
    <n v="361"/>
    <n v="2"/>
    <n v="2"/>
    <x v="201"/>
    <n v="34"/>
    <n v="30"/>
    <n v="0"/>
    <n v="1020"/>
    <s v="A Shirts Life"/>
    <s v="Portland"/>
    <s v="Both"/>
    <x v="4"/>
    <n v="2012"/>
  </r>
  <r>
    <n v="362"/>
    <n v="2"/>
    <n v="3"/>
    <x v="201"/>
    <n v="130"/>
    <n v="22"/>
    <n v="5.0000001000000002E-2"/>
    <n v="2716.9999971400002"/>
    <s v="A Shirts Life"/>
    <s v="Portland"/>
    <s v="Both"/>
    <x v="4"/>
    <n v="2012"/>
  </r>
  <r>
    <n v="363"/>
    <n v="6"/>
    <n v="7"/>
    <x v="201"/>
    <n v="52"/>
    <n v="38"/>
    <n v="5.0000001000000002E-2"/>
    <n v="1877.199998024"/>
    <s v="Abracadaba Ink"/>
    <s v="Salt Lake City"/>
    <s v="Female"/>
    <x v="4"/>
    <n v="2012"/>
  </r>
  <r>
    <n v="364"/>
    <n v="4"/>
    <n v="10"/>
    <x v="202"/>
    <n v="150"/>
    <n v="35"/>
    <n v="0"/>
    <n v="5250"/>
    <s v="Tshirt Unlimited"/>
    <s v="Phoenix"/>
    <s v="Male"/>
    <x v="30"/>
    <n v="2012"/>
  </r>
  <r>
    <n v="365"/>
    <n v="1"/>
    <n v="1"/>
    <x v="203"/>
    <n v="115"/>
    <n v="20"/>
    <n v="0"/>
    <n v="2300"/>
    <s v="Threads"/>
    <s v="Seattle"/>
    <s v="Both"/>
    <x v="7"/>
    <n v="2012"/>
  </r>
  <r>
    <n v="366"/>
    <n v="4"/>
    <n v="1"/>
    <x v="203"/>
    <n v="65"/>
    <n v="20"/>
    <n v="0"/>
    <n v="1300"/>
    <s v="Tshirt Unlimited"/>
    <s v="Phoenix"/>
    <s v="Both"/>
    <x v="7"/>
    <n v="2012"/>
  </r>
  <r>
    <n v="367"/>
    <n v="4"/>
    <n v="8"/>
    <x v="203"/>
    <n v="113"/>
    <n v="27"/>
    <n v="0"/>
    <n v="3051"/>
    <s v="Tshirt Unlimited"/>
    <s v="Phoenix"/>
    <s v="Female"/>
    <x v="7"/>
    <n v="2012"/>
  </r>
  <r>
    <n v="368"/>
    <n v="7"/>
    <n v="3"/>
    <x v="203"/>
    <n v="34"/>
    <n v="22"/>
    <n v="0"/>
    <n v="748"/>
    <s v="The Shirt on Your Back"/>
    <s v="Bonners Ferry"/>
    <s v="Both"/>
    <x v="7"/>
    <n v="2012"/>
  </r>
  <r>
    <n v="369"/>
    <n v="7"/>
    <n v="9"/>
    <x v="203"/>
    <n v="112"/>
    <n v="25"/>
    <n v="0"/>
    <n v="2800"/>
    <s v="The Shirt on Your Back"/>
    <s v="Bonners Ferry"/>
    <s v="Male"/>
    <x v="7"/>
    <n v="2012"/>
  </r>
  <r>
    <n v="370"/>
    <n v="1"/>
    <n v="10"/>
    <x v="204"/>
    <n v="87"/>
    <n v="35"/>
    <n v="0"/>
    <n v="3045"/>
    <s v="Threads"/>
    <s v="Seattle"/>
    <s v="Male"/>
    <x v="25"/>
    <n v="2012"/>
  </r>
  <r>
    <n v="371"/>
    <n v="2"/>
    <n v="7"/>
    <x v="205"/>
    <n v="72"/>
    <n v="38"/>
    <n v="0"/>
    <n v="2736"/>
    <s v="A Shirts Life"/>
    <s v="Portland"/>
    <s v="Female"/>
    <x v="9"/>
    <n v="2012"/>
  </r>
  <r>
    <n v="372"/>
    <n v="4"/>
    <n v="1"/>
    <x v="205"/>
    <n v="31"/>
    <n v="20"/>
    <n v="0"/>
    <n v="620"/>
    <s v="Tshirt Unlimited"/>
    <s v="Phoenix"/>
    <s v="Both"/>
    <x v="9"/>
    <n v="2012"/>
  </r>
  <r>
    <n v="373"/>
    <n v="4"/>
    <n v="8"/>
    <x v="206"/>
    <n v="87"/>
    <n v="27"/>
    <n v="0"/>
    <n v="2349"/>
    <s v="Tshirt Unlimited"/>
    <s v="Phoenix"/>
    <s v="Female"/>
    <x v="10"/>
    <n v="2012"/>
  </r>
  <r>
    <n v="374"/>
    <n v="1"/>
    <n v="5"/>
    <x v="207"/>
    <n v="52"/>
    <n v="16"/>
    <n v="0.10000000100000001"/>
    <n v="748.799999168"/>
    <s v="Threads"/>
    <s v="Seattle"/>
    <s v="Female"/>
    <x v="11"/>
    <n v="2012"/>
  </r>
  <r>
    <n v="375"/>
    <n v="7"/>
    <n v="1"/>
    <x v="207"/>
    <n v="94"/>
    <n v="20"/>
    <n v="0"/>
    <n v="1880"/>
    <s v="The Shirt on Your Back"/>
    <s v="Bonners Ferry"/>
    <s v="Both"/>
    <x v="11"/>
    <n v="2012"/>
  </r>
  <r>
    <n v="376"/>
    <n v="4"/>
    <n v="9"/>
    <x v="208"/>
    <n v="102"/>
    <n v="25"/>
    <n v="0"/>
    <n v="2550"/>
    <s v="Tshirt Unlimited"/>
    <s v="Phoenix"/>
    <s v="Male"/>
    <x v="12"/>
    <n v="2012"/>
  </r>
  <r>
    <n v="377"/>
    <n v="5"/>
    <n v="6"/>
    <x v="208"/>
    <n v="91"/>
    <n v="28"/>
    <n v="0"/>
    <n v="2548"/>
    <s v="Rags to Riches"/>
    <s v="Las Vegas"/>
    <s v="Female"/>
    <x v="12"/>
    <n v="2012"/>
  </r>
  <r>
    <n v="378"/>
    <n v="7"/>
    <n v="1"/>
    <x v="209"/>
    <n v="72"/>
    <n v="20"/>
    <n v="0"/>
    <n v="1440"/>
    <s v="The Shirt on Your Back"/>
    <s v="Bonners Ferry"/>
    <s v="Both"/>
    <x v="13"/>
    <n v="2012"/>
  </r>
  <r>
    <n v="379"/>
    <n v="4"/>
    <n v="1"/>
    <x v="210"/>
    <n v="92"/>
    <n v="20"/>
    <n v="0"/>
    <n v="1840"/>
    <s v="Tshirt Unlimited"/>
    <s v="Phoenix"/>
    <s v="Both"/>
    <x v="27"/>
    <n v="2012"/>
  </r>
  <r>
    <n v="380"/>
    <n v="4"/>
    <n v="4"/>
    <x v="210"/>
    <n v="78"/>
    <n v="30"/>
    <n v="0"/>
    <n v="2340"/>
    <s v="Tshirt Unlimited"/>
    <s v="Phoenix"/>
    <s v="Both"/>
    <x v="27"/>
    <n v="2012"/>
  </r>
  <r>
    <n v="381"/>
    <n v="7"/>
    <n v="2"/>
    <x v="211"/>
    <n v="146"/>
    <n v="30"/>
    <n v="5.0000001000000002E-2"/>
    <n v="4160.9999956199999"/>
    <s v="The Shirt on Your Back"/>
    <s v="Bonners Ferry"/>
    <s v="Both"/>
    <x v="14"/>
    <n v="2012"/>
  </r>
  <r>
    <n v="382"/>
    <n v="1"/>
    <n v="3"/>
    <x v="212"/>
    <n v="109"/>
    <n v="22"/>
    <n v="0"/>
    <n v="2398"/>
    <s v="Threads"/>
    <s v="Seattle"/>
    <s v="Both"/>
    <x v="15"/>
    <n v="2012"/>
  </r>
  <r>
    <n v="383"/>
    <n v="2"/>
    <n v="10"/>
    <x v="212"/>
    <n v="31"/>
    <n v="35"/>
    <n v="0"/>
    <n v="1085"/>
    <s v="A Shirts Life"/>
    <s v="Portland"/>
    <s v="Male"/>
    <x v="15"/>
    <n v="2012"/>
  </r>
  <r>
    <n v="384"/>
    <n v="3"/>
    <n v="2"/>
    <x v="212"/>
    <n v="142"/>
    <n v="30"/>
    <n v="0"/>
    <n v="4260"/>
    <s v="Shirts R Us"/>
    <s v="Los Angeles"/>
    <s v="Both"/>
    <x v="15"/>
    <n v="2012"/>
  </r>
  <r>
    <n v="385"/>
    <n v="4"/>
    <n v="9"/>
    <x v="213"/>
    <n v="54"/>
    <n v="25"/>
    <n v="0"/>
    <n v="1350"/>
    <s v="Tshirt Unlimited"/>
    <s v="Phoenix"/>
    <s v="Male"/>
    <x v="16"/>
    <n v="2012"/>
  </r>
  <r>
    <n v="386"/>
    <n v="5"/>
    <n v="2"/>
    <x v="213"/>
    <n v="124"/>
    <n v="30"/>
    <n v="0"/>
    <n v="3720"/>
    <s v="Rags to Riches"/>
    <s v="Las Vegas"/>
    <s v="Both"/>
    <x v="16"/>
    <n v="2012"/>
  </r>
  <r>
    <n v="387"/>
    <n v="5"/>
    <n v="2"/>
    <x v="214"/>
    <n v="139"/>
    <n v="30"/>
    <n v="0"/>
    <n v="4170"/>
    <s v="Rags to Riches"/>
    <s v="Las Vegas"/>
    <s v="Both"/>
    <x v="18"/>
    <n v="2012"/>
  </r>
  <r>
    <n v="388"/>
    <n v="5"/>
    <n v="6"/>
    <x v="215"/>
    <n v="133"/>
    <n v="28"/>
    <n v="0"/>
    <n v="3724"/>
    <s v="Rags to Riches"/>
    <s v="Las Vegas"/>
    <s v="Female"/>
    <x v="20"/>
    <n v="2012"/>
  </r>
  <r>
    <n v="389"/>
    <n v="2"/>
    <n v="10"/>
    <x v="216"/>
    <n v="143"/>
    <n v="35"/>
    <n v="0"/>
    <n v="5005"/>
    <s v="A Shirts Life"/>
    <s v="Portland"/>
    <s v="Male"/>
    <x v="21"/>
    <n v="2012"/>
  </r>
  <r>
    <n v="390"/>
    <n v="3"/>
    <n v="4"/>
    <x v="217"/>
    <n v="142"/>
    <n v="30"/>
    <n v="0"/>
    <n v="4260"/>
    <s v="Shirts R Us"/>
    <s v="Los Angeles"/>
    <s v="Both"/>
    <x v="29"/>
    <n v="2012"/>
  </r>
  <r>
    <n v="391"/>
    <n v="1"/>
    <n v="9"/>
    <x v="218"/>
    <n v="125"/>
    <n v="25"/>
    <n v="0"/>
    <n v="3125"/>
    <s v="Threads"/>
    <s v="Seattle"/>
    <s v="Male"/>
    <x v="0"/>
    <n v="2012"/>
  </r>
  <r>
    <n v="392"/>
    <n v="3"/>
    <n v="10"/>
    <x v="218"/>
    <n v="60"/>
    <n v="35"/>
    <n v="0"/>
    <n v="2100"/>
    <s v="Shirts R Us"/>
    <s v="Los Angeles"/>
    <s v="Male"/>
    <x v="0"/>
    <n v="2012"/>
  </r>
  <r>
    <n v="393"/>
    <n v="4"/>
    <n v="1"/>
    <x v="218"/>
    <n v="31"/>
    <n v="20"/>
    <n v="0.15000000599999999"/>
    <n v="526.99999628"/>
    <s v="Tshirt Unlimited"/>
    <s v="Phoenix"/>
    <s v="Both"/>
    <x v="0"/>
    <n v="2012"/>
  </r>
  <r>
    <n v="394"/>
    <n v="4"/>
    <n v="10"/>
    <x v="219"/>
    <n v="101"/>
    <n v="35"/>
    <n v="0"/>
    <n v="3535"/>
    <s v="Tshirt Unlimited"/>
    <s v="Phoenix"/>
    <s v="Male"/>
    <x v="1"/>
    <n v="2012"/>
  </r>
  <r>
    <n v="395"/>
    <n v="6"/>
    <n v="6"/>
    <x v="220"/>
    <n v="140"/>
    <n v="28"/>
    <n v="0"/>
    <n v="3920"/>
    <s v="Abracadaba Ink"/>
    <s v="Salt Lake City"/>
    <s v="Female"/>
    <x v="23"/>
    <n v="2012"/>
  </r>
  <r>
    <n v="396"/>
    <n v="5"/>
    <n v="4"/>
    <x v="221"/>
    <n v="105"/>
    <n v="30"/>
    <n v="0"/>
    <n v="3150"/>
    <s v="Rags to Riches"/>
    <s v="Las Vegas"/>
    <s v="Both"/>
    <x v="2"/>
    <n v="2012"/>
  </r>
  <r>
    <n v="397"/>
    <n v="5"/>
    <n v="8"/>
    <x v="221"/>
    <n v="101"/>
    <n v="27"/>
    <n v="5.0000001000000002E-2"/>
    <n v="2590.6499972729998"/>
    <s v="Rags to Riches"/>
    <s v="Las Vegas"/>
    <s v="Female"/>
    <x v="2"/>
    <n v="2012"/>
  </r>
  <r>
    <n v="398"/>
    <n v="5"/>
    <n v="9"/>
    <x v="221"/>
    <n v="96"/>
    <n v="25"/>
    <n v="0.10000000100000001"/>
    <n v="2159.9999975999999"/>
    <s v="Rags to Riches"/>
    <s v="Las Vegas"/>
    <s v="Male"/>
    <x v="2"/>
    <n v="2012"/>
  </r>
  <r>
    <n v="399"/>
    <n v="4"/>
    <n v="7"/>
    <x v="222"/>
    <n v="29"/>
    <n v="38"/>
    <n v="0"/>
    <n v="1102"/>
    <s v="Tshirt Unlimited"/>
    <s v="Phoenix"/>
    <s v="Female"/>
    <x v="3"/>
    <n v="2012"/>
  </r>
  <r>
    <n v="400"/>
    <n v="7"/>
    <n v="8"/>
    <x v="222"/>
    <n v="123"/>
    <n v="27"/>
    <n v="5.0000001000000002E-2"/>
    <n v="3154.9499966789999"/>
    <s v="The Shirt on Your Back"/>
    <s v="Bonners Ferry"/>
    <s v="Female"/>
    <x v="3"/>
    <n v="2012"/>
  </r>
  <r>
    <n v="401"/>
    <n v="1"/>
    <n v="1"/>
    <x v="223"/>
    <n v="40"/>
    <n v="20"/>
    <n v="0.10000000100000001"/>
    <n v="719.99999920000005"/>
    <s v="Threads"/>
    <s v="Seattle"/>
    <s v="Both"/>
    <x v="4"/>
    <n v="2012"/>
  </r>
  <r>
    <n v="402"/>
    <n v="2"/>
    <n v="10"/>
    <x v="224"/>
    <n v="91"/>
    <n v="35"/>
    <n v="0"/>
    <n v="3185"/>
    <s v="A Shirts Life"/>
    <s v="Portland"/>
    <s v="Male"/>
    <x v="5"/>
    <n v="2012"/>
  </r>
  <r>
    <n v="403"/>
    <n v="6"/>
    <n v="1"/>
    <x v="225"/>
    <n v="81"/>
    <n v="20"/>
    <n v="0"/>
    <n v="1620"/>
    <s v="Abracadaba Ink"/>
    <s v="Salt Lake City"/>
    <s v="Both"/>
    <x v="6"/>
    <n v="2012"/>
  </r>
  <r>
    <n v="404"/>
    <n v="4"/>
    <n v="10"/>
    <x v="226"/>
    <n v="113"/>
    <n v="35"/>
    <n v="0"/>
    <n v="3955"/>
    <s v="Tshirt Unlimited"/>
    <s v="Phoenix"/>
    <s v="Male"/>
    <x v="30"/>
    <n v="2012"/>
  </r>
  <r>
    <n v="405"/>
    <n v="1"/>
    <n v="1"/>
    <x v="227"/>
    <n v="26"/>
    <n v="20"/>
    <n v="0"/>
    <n v="520"/>
    <s v="Threads"/>
    <s v="Seattle"/>
    <s v="Both"/>
    <x v="7"/>
    <n v="2012"/>
  </r>
  <r>
    <n v="406"/>
    <n v="2"/>
    <n v="7"/>
    <x v="228"/>
    <n v="58"/>
    <n v="38"/>
    <n v="0"/>
    <n v="2204"/>
    <s v="A Shirts Life"/>
    <s v="Portland"/>
    <s v="Female"/>
    <x v="25"/>
    <n v="2012"/>
  </r>
  <r>
    <n v="407"/>
    <n v="3"/>
    <n v="5"/>
    <x v="228"/>
    <n v="32"/>
    <n v="16"/>
    <n v="5.0000001000000002E-2"/>
    <n v="486.39999948799999"/>
    <s v="Shirts R Us"/>
    <s v="Los Angeles"/>
    <s v="Female"/>
    <x v="25"/>
    <n v="2012"/>
  </r>
  <r>
    <n v="408"/>
    <n v="6"/>
    <n v="5"/>
    <x v="228"/>
    <n v="45"/>
    <n v="16"/>
    <n v="0"/>
    <n v="720"/>
    <s v="Abracadaba Ink"/>
    <s v="Salt Lake City"/>
    <s v="Female"/>
    <x v="25"/>
    <n v="2012"/>
  </r>
  <r>
    <n v="409"/>
    <n v="5"/>
    <n v="10"/>
    <x v="229"/>
    <n v="107"/>
    <n v="35"/>
    <n v="0"/>
    <n v="3745"/>
    <s v="Rags to Riches"/>
    <s v="Las Vegas"/>
    <s v="Male"/>
    <x v="8"/>
    <n v="2012"/>
  </r>
  <r>
    <n v="410"/>
    <n v="6"/>
    <n v="2"/>
    <x v="229"/>
    <n v="80"/>
    <n v="30"/>
    <n v="0"/>
    <n v="2400"/>
    <s v="Abracadaba Ink"/>
    <s v="Salt Lake City"/>
    <s v="Both"/>
    <x v="8"/>
    <n v="2012"/>
  </r>
  <r>
    <n v="411"/>
    <n v="2"/>
    <n v="1"/>
    <x v="230"/>
    <n v="89"/>
    <n v="20"/>
    <n v="0"/>
    <n v="1780"/>
    <s v="A Shirts Life"/>
    <s v="Portland"/>
    <s v="Both"/>
    <x v="10"/>
    <n v="2012"/>
  </r>
  <r>
    <n v="412"/>
    <n v="4"/>
    <n v="4"/>
    <x v="230"/>
    <n v="138"/>
    <n v="30"/>
    <n v="5.0000001000000002E-2"/>
    <n v="3932.9999958600001"/>
    <s v="Tshirt Unlimited"/>
    <s v="Phoenix"/>
    <s v="Both"/>
    <x v="10"/>
    <n v="2012"/>
  </r>
  <r>
    <n v="413"/>
    <n v="7"/>
    <n v="5"/>
    <x v="231"/>
    <n v="93"/>
    <n v="16"/>
    <n v="0.10000000100000001"/>
    <n v="1339.1999985120001"/>
    <s v="The Shirt on Your Back"/>
    <s v="Bonners Ferry"/>
    <s v="Female"/>
    <x v="11"/>
    <n v="2012"/>
  </r>
  <r>
    <n v="414"/>
    <n v="5"/>
    <n v="4"/>
    <x v="232"/>
    <n v="65"/>
    <n v="30"/>
    <n v="0"/>
    <n v="1950"/>
    <s v="Rags to Riches"/>
    <s v="Las Vegas"/>
    <s v="Both"/>
    <x v="13"/>
    <n v="2012"/>
  </r>
  <r>
    <n v="415"/>
    <n v="6"/>
    <n v="9"/>
    <x v="232"/>
    <n v="139"/>
    <n v="25"/>
    <n v="0"/>
    <n v="3475"/>
    <s v="Abracadaba Ink"/>
    <s v="Salt Lake City"/>
    <s v="Male"/>
    <x v="13"/>
    <n v="2012"/>
  </r>
  <r>
    <n v="416"/>
    <n v="1"/>
    <n v="8"/>
    <x v="233"/>
    <n v="41"/>
    <n v="27"/>
    <n v="0.10000000100000001"/>
    <n v="996.29999889299995"/>
    <s v="Threads"/>
    <s v="Seattle"/>
    <s v="Female"/>
    <x v="27"/>
    <n v="2012"/>
  </r>
  <r>
    <n v="417"/>
    <n v="4"/>
    <n v="2"/>
    <x v="233"/>
    <n v="68"/>
    <n v="30"/>
    <n v="0"/>
    <n v="2040"/>
    <s v="Tshirt Unlimited"/>
    <s v="Phoenix"/>
    <s v="Both"/>
    <x v="27"/>
    <n v="2012"/>
  </r>
  <r>
    <n v="418"/>
    <n v="5"/>
    <n v="3"/>
    <x v="233"/>
    <n v="110"/>
    <n v="22"/>
    <n v="0"/>
    <n v="2420"/>
    <s v="Rags to Riches"/>
    <s v="Las Vegas"/>
    <s v="Both"/>
    <x v="27"/>
    <n v="2012"/>
  </r>
  <r>
    <n v="419"/>
    <n v="5"/>
    <n v="8"/>
    <x v="233"/>
    <n v="93"/>
    <n v="27"/>
    <n v="0"/>
    <n v="2511"/>
    <s v="Rags to Riches"/>
    <s v="Las Vegas"/>
    <s v="Female"/>
    <x v="27"/>
    <n v="2012"/>
  </r>
  <r>
    <n v="420"/>
    <n v="2"/>
    <n v="3"/>
    <x v="234"/>
    <n v="45"/>
    <n v="22"/>
    <n v="0"/>
    <n v="990"/>
    <s v="A Shirts Life"/>
    <s v="Portland"/>
    <s v="Both"/>
    <x v="14"/>
    <n v="2012"/>
  </r>
  <r>
    <n v="421"/>
    <n v="2"/>
    <n v="5"/>
    <x v="234"/>
    <n v="43"/>
    <n v="16"/>
    <n v="0"/>
    <n v="688"/>
    <s v="A Shirts Life"/>
    <s v="Portland"/>
    <s v="Female"/>
    <x v="14"/>
    <n v="2012"/>
  </r>
  <r>
    <n v="422"/>
    <n v="1"/>
    <n v="2"/>
    <x v="235"/>
    <n v="129"/>
    <n v="30"/>
    <n v="0"/>
    <n v="3870"/>
    <s v="Threads"/>
    <s v="Seattle"/>
    <s v="Both"/>
    <x v="15"/>
    <n v="2012"/>
  </r>
  <r>
    <n v="423"/>
    <n v="1"/>
    <n v="10"/>
    <x v="235"/>
    <n v="100"/>
    <n v="35"/>
    <n v="0"/>
    <n v="3500"/>
    <s v="Threads"/>
    <s v="Seattle"/>
    <s v="Male"/>
    <x v="15"/>
    <n v="2012"/>
  </r>
  <r>
    <n v="424"/>
    <n v="7"/>
    <n v="3"/>
    <x v="235"/>
    <n v="43"/>
    <n v="22"/>
    <n v="0"/>
    <n v="946"/>
    <s v="The Shirt on Your Back"/>
    <s v="Bonners Ferry"/>
    <s v="Both"/>
    <x v="15"/>
    <n v="2012"/>
  </r>
  <r>
    <n v="425"/>
    <n v="1"/>
    <n v="6"/>
    <x v="236"/>
    <n v="114"/>
    <n v="28"/>
    <n v="5.0000001000000002E-2"/>
    <n v="3032.3999968080002"/>
    <s v="Threads"/>
    <s v="Seattle"/>
    <s v="Female"/>
    <x v="16"/>
    <n v="2012"/>
  </r>
  <r>
    <n v="426"/>
    <n v="3"/>
    <n v="3"/>
    <x v="236"/>
    <n v="98"/>
    <n v="22"/>
    <n v="0"/>
    <n v="2156"/>
    <s v="Shirts R Us"/>
    <s v="Los Angeles"/>
    <s v="Both"/>
    <x v="16"/>
    <n v="2012"/>
  </r>
  <r>
    <n v="427"/>
    <n v="6"/>
    <n v="3"/>
    <x v="236"/>
    <n v="115"/>
    <n v="22"/>
    <n v="0"/>
    <n v="2530"/>
    <s v="Abracadaba Ink"/>
    <s v="Salt Lake City"/>
    <s v="Both"/>
    <x v="16"/>
    <n v="2012"/>
  </r>
  <r>
    <n v="428"/>
    <n v="6"/>
    <n v="9"/>
    <x v="236"/>
    <n v="127"/>
    <n v="25"/>
    <n v="0"/>
    <n v="3175"/>
    <s v="Abracadaba Ink"/>
    <s v="Salt Lake City"/>
    <s v="Male"/>
    <x v="16"/>
    <n v="2012"/>
  </r>
  <r>
    <n v="429"/>
    <n v="1"/>
    <n v="8"/>
    <x v="237"/>
    <n v="56"/>
    <n v="27"/>
    <n v="0"/>
    <n v="1512"/>
    <s v="Threads"/>
    <s v="Seattle"/>
    <s v="Female"/>
    <x v="17"/>
    <n v="2012"/>
  </r>
  <r>
    <n v="430"/>
    <n v="5"/>
    <n v="7"/>
    <x v="237"/>
    <n v="85"/>
    <n v="38"/>
    <n v="0.15000000599999999"/>
    <n v="2745.4999806199999"/>
    <s v="Rags to Riches"/>
    <s v="Las Vegas"/>
    <s v="Female"/>
    <x v="17"/>
    <n v="2012"/>
  </r>
  <r>
    <n v="431"/>
    <n v="1"/>
    <n v="4"/>
    <x v="238"/>
    <n v="45"/>
    <n v="30"/>
    <n v="0"/>
    <n v="1350"/>
    <s v="Threads"/>
    <s v="Seattle"/>
    <s v="Both"/>
    <x v="18"/>
    <n v="2012"/>
  </r>
  <r>
    <n v="432"/>
    <n v="4"/>
    <n v="8"/>
    <x v="238"/>
    <n v="85"/>
    <n v="27"/>
    <n v="0"/>
    <n v="2295"/>
    <s v="Tshirt Unlimited"/>
    <s v="Phoenix"/>
    <s v="Female"/>
    <x v="18"/>
    <n v="2012"/>
  </r>
  <r>
    <n v="433"/>
    <n v="6"/>
    <n v="10"/>
    <x v="238"/>
    <n v="106"/>
    <n v="35"/>
    <n v="0.10000000100000001"/>
    <n v="3338.9999962900001"/>
    <s v="Abracadaba Ink"/>
    <s v="Salt Lake City"/>
    <s v="Male"/>
    <x v="18"/>
    <n v="2012"/>
  </r>
  <r>
    <n v="434"/>
    <n v="1"/>
    <n v="10"/>
    <x v="239"/>
    <n v="126"/>
    <n v="35"/>
    <n v="0"/>
    <n v="4410"/>
    <s v="Threads"/>
    <s v="Seattle"/>
    <s v="Male"/>
    <x v="20"/>
    <n v="2012"/>
  </r>
  <r>
    <n v="435"/>
    <n v="4"/>
    <n v="9"/>
    <x v="239"/>
    <n v="123"/>
    <n v="25"/>
    <n v="0"/>
    <n v="3075"/>
    <s v="Tshirt Unlimited"/>
    <s v="Phoenix"/>
    <s v="Male"/>
    <x v="20"/>
    <n v="2012"/>
  </r>
  <r>
    <n v="436"/>
    <n v="6"/>
    <n v="3"/>
    <x v="239"/>
    <n v="127"/>
    <n v="22"/>
    <n v="0"/>
    <n v="2794"/>
    <s v="Abracadaba Ink"/>
    <s v="Salt Lake City"/>
    <s v="Both"/>
    <x v="20"/>
    <n v="2012"/>
  </r>
  <r>
    <n v="437"/>
    <n v="1"/>
    <n v="4"/>
    <x v="240"/>
    <n v="108"/>
    <n v="30"/>
    <n v="0"/>
    <n v="3240"/>
    <s v="Threads"/>
    <s v="Seattle"/>
    <s v="Both"/>
    <x v="21"/>
    <n v="2012"/>
  </r>
  <r>
    <n v="438"/>
    <n v="3"/>
    <n v="2"/>
    <x v="240"/>
    <n v="116"/>
    <n v="30"/>
    <n v="0"/>
    <n v="3480"/>
    <s v="Shirts R Us"/>
    <s v="Los Angeles"/>
    <s v="Both"/>
    <x v="21"/>
    <n v="2012"/>
  </r>
  <r>
    <n v="439"/>
    <n v="2"/>
    <n v="10"/>
    <x v="241"/>
    <n v="134"/>
    <n v="35"/>
    <n v="0.10000000100000001"/>
    <n v="4220.9999953099996"/>
    <s v="A Shirts Life"/>
    <s v="Portland"/>
    <s v="Male"/>
    <x v="0"/>
    <n v="2012"/>
  </r>
  <r>
    <n v="440"/>
    <n v="7"/>
    <n v="5"/>
    <x v="242"/>
    <n v="63"/>
    <n v="16"/>
    <n v="0.15000000599999999"/>
    <n v="856.79999395200002"/>
    <s v="The Shirt on Your Back"/>
    <s v="Bonners Ferry"/>
    <s v="Female"/>
    <x v="1"/>
    <n v="2012"/>
  </r>
  <r>
    <n v="441"/>
    <n v="1"/>
    <n v="5"/>
    <x v="243"/>
    <n v="52"/>
    <n v="16"/>
    <n v="0"/>
    <n v="832"/>
    <s v="Threads"/>
    <s v="Seattle"/>
    <s v="Female"/>
    <x v="23"/>
    <n v="2012"/>
  </r>
  <r>
    <n v="442"/>
    <n v="3"/>
    <n v="7"/>
    <x v="243"/>
    <n v="44"/>
    <n v="38"/>
    <n v="5.0000001000000002E-2"/>
    <n v="1588.399998328"/>
    <s v="Shirts R Us"/>
    <s v="Los Angeles"/>
    <s v="Female"/>
    <x v="23"/>
    <n v="2012"/>
  </r>
  <r>
    <n v="443"/>
    <n v="7"/>
    <n v="7"/>
    <x v="244"/>
    <n v="143"/>
    <n v="38"/>
    <n v="0"/>
    <n v="5434"/>
    <s v="The Shirt on Your Back"/>
    <s v="Bonners Ferry"/>
    <s v="Female"/>
    <x v="2"/>
    <n v="2012"/>
  </r>
  <r>
    <n v="444"/>
    <n v="1"/>
    <n v="1"/>
    <x v="245"/>
    <n v="120"/>
    <n v="20"/>
    <n v="0"/>
    <n v="2400"/>
    <s v="Threads"/>
    <s v="Seattle"/>
    <s v="Both"/>
    <x v="24"/>
    <n v="2012"/>
  </r>
  <r>
    <n v="445"/>
    <n v="2"/>
    <n v="9"/>
    <x v="245"/>
    <n v="101"/>
    <n v="25"/>
    <n v="0"/>
    <n v="2525"/>
    <s v="A Shirts Life"/>
    <s v="Portland"/>
    <s v="Male"/>
    <x v="24"/>
    <n v="2012"/>
  </r>
  <r>
    <n v="446"/>
    <n v="4"/>
    <n v="6"/>
    <x v="246"/>
    <n v="97"/>
    <n v="28"/>
    <n v="0"/>
    <n v="2716"/>
    <s v="Tshirt Unlimited"/>
    <s v="Phoenix"/>
    <s v="Female"/>
    <x v="4"/>
    <n v="2012"/>
  </r>
  <r>
    <n v="447"/>
    <n v="7"/>
    <n v="8"/>
    <x v="246"/>
    <n v="149"/>
    <n v="27"/>
    <n v="5.0000001000000002E-2"/>
    <n v="3821.8499959770002"/>
    <s v="The Shirt on Your Back"/>
    <s v="Bonners Ferry"/>
    <s v="Female"/>
    <x v="4"/>
    <n v="2012"/>
  </r>
  <r>
    <n v="448"/>
    <n v="1"/>
    <n v="3"/>
    <x v="247"/>
    <n v="101"/>
    <n v="22"/>
    <n v="5.0000001000000002E-2"/>
    <n v="2110.8999977779999"/>
    <s v="Threads"/>
    <s v="Seattle"/>
    <s v="Both"/>
    <x v="5"/>
    <n v="2012"/>
  </r>
  <r>
    <n v="449"/>
    <n v="3"/>
    <n v="10"/>
    <x v="247"/>
    <n v="126"/>
    <n v="35"/>
    <n v="5.0000001000000002E-2"/>
    <n v="4189.4999955900003"/>
    <s v="Shirts R Us"/>
    <s v="Los Angeles"/>
    <s v="Male"/>
    <x v="5"/>
    <n v="2012"/>
  </r>
  <r>
    <n v="450"/>
    <n v="7"/>
    <n v="1"/>
    <x v="247"/>
    <n v="83"/>
    <n v="20"/>
    <n v="0"/>
    <n v="1660"/>
    <s v="The Shirt on Your Back"/>
    <s v="Bonners Ferry"/>
    <s v="Both"/>
    <x v="5"/>
    <n v="2012"/>
  </r>
  <r>
    <n v="451"/>
    <n v="7"/>
    <n v="6"/>
    <x v="247"/>
    <n v="61"/>
    <n v="28"/>
    <n v="0.10000000100000001"/>
    <n v="1537.1999982919999"/>
    <s v="The Shirt on Your Back"/>
    <s v="Bonners Ferry"/>
    <s v="Female"/>
    <x v="5"/>
    <n v="2012"/>
  </r>
  <r>
    <n v="452"/>
    <n v="5"/>
    <n v="1"/>
    <x v="248"/>
    <n v="141"/>
    <n v="20"/>
    <n v="0"/>
    <n v="2820"/>
    <s v="Rags to Riches"/>
    <s v="Las Vegas"/>
    <s v="Both"/>
    <x v="6"/>
    <n v="2012"/>
  </r>
  <r>
    <n v="453"/>
    <n v="7"/>
    <n v="7"/>
    <x v="248"/>
    <n v="70"/>
    <n v="38"/>
    <n v="0"/>
    <n v="2660"/>
    <s v="The Shirt on Your Back"/>
    <s v="Bonners Ferry"/>
    <s v="Female"/>
    <x v="6"/>
    <n v="2012"/>
  </r>
  <r>
    <n v="454"/>
    <n v="6"/>
    <n v="5"/>
    <x v="249"/>
    <n v="71"/>
    <n v="16"/>
    <n v="0"/>
    <n v="1136"/>
    <s v="Abracadaba Ink"/>
    <s v="Salt Lake City"/>
    <s v="Female"/>
    <x v="7"/>
    <n v="2012"/>
  </r>
  <r>
    <n v="455"/>
    <n v="3"/>
    <n v="10"/>
    <x v="250"/>
    <n v="67"/>
    <n v="35"/>
    <n v="0"/>
    <n v="2345"/>
    <s v="Shirts R Us"/>
    <s v="Los Angeles"/>
    <s v="Male"/>
    <x v="9"/>
    <n v="2012"/>
  </r>
  <r>
    <n v="456"/>
    <n v="6"/>
    <n v="2"/>
    <x v="250"/>
    <n v="75"/>
    <n v="30"/>
    <n v="5.0000001000000002E-2"/>
    <n v="2137.4999977500001"/>
    <s v="Abracadaba Ink"/>
    <s v="Salt Lake City"/>
    <s v="Both"/>
    <x v="9"/>
    <n v="2012"/>
  </r>
  <r>
    <n v="457"/>
    <n v="1"/>
    <n v="10"/>
    <x v="251"/>
    <n v="56"/>
    <n v="35"/>
    <n v="0"/>
    <n v="1960"/>
    <s v="Threads"/>
    <s v="Seattle"/>
    <s v="Male"/>
    <x v="10"/>
    <n v="2012"/>
  </r>
  <r>
    <n v="458"/>
    <n v="5"/>
    <n v="2"/>
    <x v="251"/>
    <n v="79"/>
    <n v="30"/>
    <n v="0"/>
    <n v="2370"/>
    <s v="Rags to Riches"/>
    <s v="Las Vegas"/>
    <s v="Both"/>
    <x v="10"/>
    <n v="2012"/>
  </r>
  <r>
    <n v="459"/>
    <n v="6"/>
    <n v="3"/>
    <x v="251"/>
    <n v="88"/>
    <n v="22"/>
    <n v="0"/>
    <n v="1936"/>
    <s v="Abracadaba Ink"/>
    <s v="Salt Lake City"/>
    <s v="Both"/>
    <x v="10"/>
    <n v="2012"/>
  </r>
  <r>
    <n v="460"/>
    <n v="7"/>
    <n v="1"/>
    <x v="251"/>
    <n v="76"/>
    <n v="20"/>
    <n v="0"/>
    <n v="1520"/>
    <s v="The Shirt on Your Back"/>
    <s v="Bonners Ferry"/>
    <s v="Both"/>
    <x v="10"/>
    <n v="2012"/>
  </r>
  <r>
    <n v="461"/>
    <n v="7"/>
    <n v="5"/>
    <x v="251"/>
    <n v="99"/>
    <n v="16"/>
    <n v="0"/>
    <n v="1584"/>
    <s v="The Shirt on Your Back"/>
    <s v="Bonners Ferry"/>
    <s v="Female"/>
    <x v="10"/>
    <n v="2012"/>
  </r>
  <r>
    <n v="462"/>
    <n v="7"/>
    <n v="2"/>
    <x v="252"/>
    <n v="25"/>
    <n v="30"/>
    <n v="0"/>
    <n v="750"/>
    <s v="The Shirt on Your Back"/>
    <s v="Bonners Ferry"/>
    <s v="Both"/>
    <x v="26"/>
    <n v="2012"/>
  </r>
  <r>
    <n v="463"/>
    <n v="1"/>
    <n v="1"/>
    <x v="253"/>
    <n v="59"/>
    <n v="20"/>
    <n v="0"/>
    <n v="1180"/>
    <s v="Threads"/>
    <s v="Seattle"/>
    <s v="Both"/>
    <x v="11"/>
    <n v="2012"/>
  </r>
  <r>
    <n v="464"/>
    <n v="4"/>
    <n v="9"/>
    <x v="254"/>
    <n v="103"/>
    <n v="25"/>
    <n v="0"/>
    <n v="2575"/>
    <s v="Tshirt Unlimited"/>
    <s v="Phoenix"/>
    <s v="Male"/>
    <x v="12"/>
    <n v="2012"/>
  </r>
  <r>
    <n v="465"/>
    <n v="5"/>
    <n v="2"/>
    <x v="255"/>
    <n v="112"/>
    <n v="30"/>
    <n v="5.0000001000000002E-2"/>
    <n v="3191.9999966400001"/>
    <s v="Rags to Riches"/>
    <s v="Las Vegas"/>
    <s v="Both"/>
    <x v="13"/>
    <n v="2012"/>
  </r>
  <r>
    <n v="466"/>
    <n v="4"/>
    <n v="1"/>
    <x v="256"/>
    <n v="133"/>
    <n v="20"/>
    <n v="0"/>
    <n v="2660"/>
    <s v="Tshirt Unlimited"/>
    <s v="Phoenix"/>
    <s v="Both"/>
    <x v="16"/>
    <n v="2012"/>
  </r>
  <r>
    <n v="467"/>
    <n v="1"/>
    <n v="2"/>
    <x v="257"/>
    <n v="66"/>
    <n v="30"/>
    <n v="5.0000001000000002E-2"/>
    <n v="1880.99999802"/>
    <s v="Threads"/>
    <s v="Seattle"/>
    <s v="Both"/>
    <x v="18"/>
    <n v="2012"/>
  </r>
  <r>
    <n v="468"/>
    <n v="7"/>
    <n v="2"/>
    <x v="258"/>
    <n v="51"/>
    <n v="30"/>
    <n v="0"/>
    <n v="1530"/>
    <s v="The Shirt on Your Back"/>
    <s v="Bonners Ferry"/>
    <s v="Both"/>
    <x v="19"/>
    <n v="2012"/>
  </r>
  <r>
    <n v="469"/>
    <n v="1"/>
    <n v="6"/>
    <x v="259"/>
    <n v="95"/>
    <n v="28"/>
    <n v="0"/>
    <n v="2660"/>
    <s v="Threads"/>
    <s v="Seattle"/>
    <s v="Female"/>
    <x v="22"/>
    <n v="2012"/>
  </r>
  <r>
    <n v="470"/>
    <n v="3"/>
    <n v="3"/>
    <x v="259"/>
    <n v="43"/>
    <n v="22"/>
    <n v="0.10000000100000001"/>
    <n v="851.39999905399998"/>
    <s v="Shirts R Us"/>
    <s v="Los Angeles"/>
    <s v="Both"/>
    <x v="22"/>
    <n v="2012"/>
  </r>
  <r>
    <n v="471"/>
    <n v="4"/>
    <n v="8"/>
    <x v="259"/>
    <n v="112"/>
    <n v="27"/>
    <n v="0"/>
    <n v="3024"/>
    <s v="Tshirt Unlimited"/>
    <s v="Phoenix"/>
    <s v="Female"/>
    <x v="22"/>
    <n v="2012"/>
  </r>
  <r>
    <n v="472"/>
    <n v="7"/>
    <n v="7"/>
    <x v="259"/>
    <n v="42"/>
    <n v="38"/>
    <n v="0"/>
    <n v="1596"/>
    <s v="The Shirt on Your Back"/>
    <s v="Bonners Ferry"/>
    <s v="Female"/>
    <x v="22"/>
    <n v="2012"/>
  </r>
  <r>
    <n v="473"/>
    <n v="3"/>
    <n v="3"/>
    <x v="260"/>
    <n v="87"/>
    <n v="22"/>
    <n v="0"/>
    <n v="1914"/>
    <s v="Shirts R Us"/>
    <s v="Los Angeles"/>
    <s v="Both"/>
    <x v="28"/>
    <n v="2013"/>
  </r>
  <r>
    <n v="474"/>
    <n v="2"/>
    <n v="2"/>
    <x v="261"/>
    <n v="102"/>
    <n v="30"/>
    <n v="0"/>
    <n v="3060"/>
    <s v="A Shirts Life"/>
    <s v="Portland"/>
    <s v="Both"/>
    <x v="0"/>
    <n v="2013"/>
  </r>
  <r>
    <n v="475"/>
    <n v="2"/>
    <n v="6"/>
    <x v="262"/>
    <n v="100"/>
    <n v="28"/>
    <n v="0"/>
    <n v="2800"/>
    <s v="A Shirts Life"/>
    <s v="Portland"/>
    <s v="Female"/>
    <x v="1"/>
    <n v="2013"/>
  </r>
  <r>
    <n v="476"/>
    <n v="6"/>
    <n v="5"/>
    <x v="262"/>
    <n v="27"/>
    <n v="16"/>
    <n v="0"/>
    <n v="432"/>
    <s v="Abracadaba Ink"/>
    <s v="Salt Lake City"/>
    <s v="Female"/>
    <x v="1"/>
    <n v="2013"/>
  </r>
  <r>
    <n v="477"/>
    <n v="6"/>
    <n v="10"/>
    <x v="262"/>
    <n v="71"/>
    <n v="35"/>
    <n v="0"/>
    <n v="2485"/>
    <s v="Abracadaba Ink"/>
    <s v="Salt Lake City"/>
    <s v="Male"/>
    <x v="1"/>
    <n v="2013"/>
  </r>
  <r>
    <n v="478"/>
    <n v="4"/>
    <n v="1"/>
    <x v="263"/>
    <n v="66"/>
    <n v="20"/>
    <n v="0.10000000100000001"/>
    <n v="1187.9999986800001"/>
    <s v="Tshirt Unlimited"/>
    <s v="Phoenix"/>
    <s v="Both"/>
    <x v="2"/>
    <n v="2013"/>
  </r>
  <r>
    <n v="479"/>
    <n v="2"/>
    <n v="4"/>
    <x v="264"/>
    <n v="57"/>
    <n v="30"/>
    <n v="0"/>
    <n v="1710"/>
    <s v="A Shirts Life"/>
    <s v="Portland"/>
    <s v="Both"/>
    <x v="24"/>
    <n v="2013"/>
  </r>
  <r>
    <n v="480"/>
    <n v="2"/>
    <n v="6"/>
    <x v="264"/>
    <n v="137"/>
    <n v="28"/>
    <n v="0"/>
    <n v="3836"/>
    <s v="A Shirts Life"/>
    <s v="Portland"/>
    <s v="Female"/>
    <x v="24"/>
    <n v="2013"/>
  </r>
  <r>
    <n v="481"/>
    <n v="3"/>
    <n v="4"/>
    <x v="264"/>
    <n v="150"/>
    <n v="30"/>
    <n v="0"/>
    <n v="4500"/>
    <s v="Shirts R Us"/>
    <s v="Los Angeles"/>
    <s v="Both"/>
    <x v="24"/>
    <n v="2013"/>
  </r>
  <r>
    <n v="482"/>
    <n v="2"/>
    <n v="10"/>
    <x v="265"/>
    <n v="123"/>
    <n v="35"/>
    <n v="0.15000000599999999"/>
    <n v="3659.2499741700003"/>
    <s v="A Shirts Life"/>
    <s v="Portland"/>
    <s v="Male"/>
    <x v="4"/>
    <n v="2013"/>
  </r>
  <r>
    <n v="483"/>
    <n v="7"/>
    <n v="3"/>
    <x v="265"/>
    <n v="66"/>
    <n v="22"/>
    <n v="0"/>
    <n v="1452"/>
    <s v="The Shirt on Your Back"/>
    <s v="Bonners Ferry"/>
    <s v="Both"/>
    <x v="4"/>
    <n v="2013"/>
  </r>
  <r>
    <n v="484"/>
    <n v="6"/>
    <n v="6"/>
    <x v="266"/>
    <n v="81"/>
    <n v="28"/>
    <n v="5.0000001000000002E-2"/>
    <n v="2154.5999977319998"/>
    <s v="Abracadaba Ink"/>
    <s v="Salt Lake City"/>
    <s v="Female"/>
    <x v="5"/>
    <n v="2013"/>
  </r>
  <r>
    <n v="485"/>
    <n v="4"/>
    <n v="5"/>
    <x v="267"/>
    <n v="77"/>
    <n v="16"/>
    <n v="0"/>
    <n v="1232"/>
    <s v="Tshirt Unlimited"/>
    <s v="Phoenix"/>
    <s v="Female"/>
    <x v="30"/>
    <n v="2013"/>
  </r>
  <r>
    <n v="486"/>
    <n v="7"/>
    <n v="4"/>
    <x v="267"/>
    <n v="71"/>
    <n v="30"/>
    <n v="0"/>
    <n v="2130"/>
    <s v="The Shirt on Your Back"/>
    <s v="Bonners Ferry"/>
    <s v="Both"/>
    <x v="30"/>
    <n v="2013"/>
  </r>
  <r>
    <n v="487"/>
    <n v="5"/>
    <n v="4"/>
    <x v="268"/>
    <n v="126"/>
    <n v="30"/>
    <n v="0"/>
    <n v="3780"/>
    <s v="Rags to Riches"/>
    <s v="Las Vegas"/>
    <s v="Both"/>
    <x v="7"/>
    <n v="2013"/>
  </r>
  <r>
    <n v="488"/>
    <n v="6"/>
    <n v="2"/>
    <x v="269"/>
    <n v="144"/>
    <n v="30"/>
    <n v="0"/>
    <n v="4320"/>
    <s v="Abracadaba Ink"/>
    <s v="Salt Lake City"/>
    <s v="Both"/>
    <x v="9"/>
    <n v="2013"/>
  </r>
  <r>
    <n v="489"/>
    <n v="7"/>
    <n v="5"/>
    <x v="269"/>
    <n v="44"/>
    <n v="16"/>
    <n v="0"/>
    <n v="704"/>
    <s v="The Shirt on Your Back"/>
    <s v="Bonners Ferry"/>
    <s v="Female"/>
    <x v="9"/>
    <n v="2013"/>
  </r>
  <r>
    <n v="490"/>
    <n v="3"/>
    <n v="4"/>
    <x v="270"/>
    <n v="102"/>
    <n v="30"/>
    <n v="0"/>
    <n v="3060"/>
    <s v="Shirts R Us"/>
    <s v="Los Angeles"/>
    <s v="Both"/>
    <x v="26"/>
    <n v="2013"/>
  </r>
  <r>
    <n v="491"/>
    <n v="5"/>
    <n v="1"/>
    <x v="270"/>
    <n v="48"/>
    <n v="20"/>
    <n v="0"/>
    <n v="960"/>
    <s v="Rags to Riches"/>
    <s v="Las Vegas"/>
    <s v="Both"/>
    <x v="26"/>
    <n v="2013"/>
  </r>
  <r>
    <n v="492"/>
    <n v="7"/>
    <n v="10"/>
    <x v="270"/>
    <n v="56"/>
    <n v="35"/>
    <n v="0"/>
    <n v="1960"/>
    <s v="The Shirt on Your Back"/>
    <s v="Bonners Ferry"/>
    <s v="Male"/>
    <x v="26"/>
    <n v="2013"/>
  </r>
  <r>
    <n v="493"/>
    <n v="3"/>
    <n v="1"/>
    <x v="271"/>
    <n v="80"/>
    <n v="20"/>
    <n v="5.0000001000000002E-2"/>
    <n v="1519.9999984000001"/>
    <s v="Shirts R Us"/>
    <s v="Los Angeles"/>
    <s v="Both"/>
    <x v="11"/>
    <n v="2013"/>
  </r>
  <r>
    <n v="494"/>
    <n v="7"/>
    <n v="9"/>
    <x v="271"/>
    <n v="132"/>
    <n v="25"/>
    <n v="5.0000001000000002E-2"/>
    <n v="3134.9999966999999"/>
    <s v="The Shirt on Your Back"/>
    <s v="Bonners Ferry"/>
    <s v="Male"/>
    <x v="11"/>
    <n v="2013"/>
  </r>
  <r>
    <n v="495"/>
    <n v="2"/>
    <n v="9"/>
    <x v="272"/>
    <n v="115"/>
    <n v="25"/>
    <n v="0.10000000100000001"/>
    <n v="2587.4999971249999"/>
    <s v="A Shirts Life"/>
    <s v="Portland"/>
    <s v="Male"/>
    <x v="13"/>
    <n v="2013"/>
  </r>
  <r>
    <n v="496"/>
    <n v="3"/>
    <n v="4"/>
    <x v="272"/>
    <n v="87"/>
    <n v="30"/>
    <n v="5.0000001000000002E-2"/>
    <n v="2479.4999973899999"/>
    <s v="Shirts R Us"/>
    <s v="Los Angeles"/>
    <s v="Both"/>
    <x v="13"/>
    <n v="2013"/>
  </r>
  <r>
    <n v="497"/>
    <n v="4"/>
    <n v="5"/>
    <x v="272"/>
    <n v="26"/>
    <n v="16"/>
    <n v="0"/>
    <n v="416"/>
    <s v="Tshirt Unlimited"/>
    <s v="Phoenix"/>
    <s v="Female"/>
    <x v="13"/>
    <n v="2013"/>
  </r>
  <r>
    <n v="498"/>
    <n v="7"/>
    <n v="1"/>
    <x v="272"/>
    <n v="76"/>
    <n v="20"/>
    <n v="0"/>
    <n v="1520"/>
    <s v="The Shirt on Your Back"/>
    <s v="Bonners Ferry"/>
    <s v="Both"/>
    <x v="13"/>
    <n v="2013"/>
  </r>
  <r>
    <n v="499"/>
    <n v="7"/>
    <n v="5"/>
    <x v="272"/>
    <n v="43"/>
    <n v="16"/>
    <n v="0"/>
    <n v="688"/>
    <s v="The Shirt on Your Back"/>
    <s v="Bonners Ferry"/>
    <s v="Female"/>
    <x v="13"/>
    <n v="2013"/>
  </r>
  <r>
    <n v="500"/>
    <n v="2"/>
    <n v="1"/>
    <x v="273"/>
    <n v="30"/>
    <n v="20"/>
    <n v="0"/>
    <n v="600"/>
    <s v="A Shirts Life"/>
    <s v="Portland"/>
    <s v="Both"/>
    <x v="27"/>
    <n v="2013"/>
  </r>
  <r>
    <n v="501"/>
    <n v="2"/>
    <n v="6"/>
    <x v="273"/>
    <n v="50"/>
    <n v="28"/>
    <n v="0"/>
    <n v="1400"/>
    <s v="A Shirts Life"/>
    <s v="Portland"/>
    <s v="Female"/>
    <x v="27"/>
    <n v="2013"/>
  </r>
  <r>
    <n v="502"/>
    <n v="4"/>
    <n v="3"/>
    <x v="274"/>
    <n v="138"/>
    <n v="22"/>
    <n v="0"/>
    <n v="3036"/>
    <s v="Tshirt Unlimited"/>
    <s v="Phoenix"/>
    <s v="Both"/>
    <x v="14"/>
    <n v="2013"/>
  </r>
  <r>
    <n v="503"/>
    <n v="1"/>
    <n v="6"/>
    <x v="275"/>
    <n v="110"/>
    <n v="28"/>
    <n v="5.0000001000000002E-2"/>
    <n v="2925.9999969199998"/>
    <s v="Threads"/>
    <s v="Seattle"/>
    <s v="Female"/>
    <x v="15"/>
    <n v="2013"/>
  </r>
  <r>
    <n v="504"/>
    <n v="3"/>
    <n v="1"/>
    <x v="275"/>
    <n v="105"/>
    <n v="20"/>
    <n v="0"/>
    <n v="2100"/>
    <s v="Shirts R Us"/>
    <s v="Los Angeles"/>
    <s v="Both"/>
    <x v="15"/>
    <n v="2013"/>
  </r>
  <r>
    <n v="505"/>
    <n v="1"/>
    <n v="9"/>
    <x v="276"/>
    <n v="97"/>
    <n v="25"/>
    <n v="0"/>
    <n v="2425"/>
    <s v="Threads"/>
    <s v="Seattle"/>
    <s v="Male"/>
    <x v="17"/>
    <n v="2013"/>
  </r>
  <r>
    <n v="506"/>
    <n v="2"/>
    <n v="6"/>
    <x v="276"/>
    <n v="52"/>
    <n v="28"/>
    <n v="0.10000000100000001"/>
    <n v="1310.399998544"/>
    <s v="A Shirts Life"/>
    <s v="Portland"/>
    <s v="Female"/>
    <x v="17"/>
    <n v="2013"/>
  </r>
  <r>
    <n v="507"/>
    <n v="3"/>
    <n v="1"/>
    <x v="276"/>
    <n v="55"/>
    <n v="20"/>
    <n v="0"/>
    <n v="1100"/>
    <s v="Shirts R Us"/>
    <s v="Los Angeles"/>
    <s v="Both"/>
    <x v="17"/>
    <n v="2013"/>
  </r>
  <r>
    <n v="508"/>
    <n v="2"/>
    <n v="2"/>
    <x v="277"/>
    <n v="65"/>
    <n v="30"/>
    <n v="0"/>
    <n v="1950"/>
    <s v="A Shirts Life"/>
    <s v="Portland"/>
    <s v="Both"/>
    <x v="18"/>
    <n v="2013"/>
  </r>
  <r>
    <n v="509"/>
    <n v="5"/>
    <n v="3"/>
    <x v="278"/>
    <n v="114"/>
    <n v="22"/>
    <n v="0"/>
    <n v="2508"/>
    <s v="Rags to Riches"/>
    <s v="Las Vegas"/>
    <s v="Both"/>
    <x v="19"/>
    <n v="2013"/>
  </r>
  <r>
    <n v="510"/>
    <n v="1"/>
    <n v="9"/>
    <x v="279"/>
    <n v="79"/>
    <n v="25"/>
    <n v="0"/>
    <n v="1975"/>
    <s v="Threads"/>
    <s v="Seattle"/>
    <s v="Male"/>
    <x v="20"/>
    <n v="2013"/>
  </r>
  <r>
    <n v="511"/>
    <n v="4"/>
    <n v="4"/>
    <x v="279"/>
    <n v="143"/>
    <n v="30"/>
    <n v="0"/>
    <n v="4290"/>
    <s v="Tshirt Unlimited"/>
    <s v="Phoenix"/>
    <s v="Both"/>
    <x v="20"/>
    <n v="2013"/>
  </r>
  <r>
    <n v="512"/>
    <n v="5"/>
    <n v="10"/>
    <x v="279"/>
    <n v="46"/>
    <n v="35"/>
    <n v="0"/>
    <n v="1610"/>
    <s v="Rags to Riches"/>
    <s v="Las Vegas"/>
    <s v="Male"/>
    <x v="20"/>
    <n v="2013"/>
  </r>
  <r>
    <n v="513"/>
    <n v="1"/>
    <n v="10"/>
    <x v="280"/>
    <n v="43"/>
    <n v="35"/>
    <n v="0"/>
    <n v="1505"/>
    <s v="Threads"/>
    <s v="Seattle"/>
    <s v="Male"/>
    <x v="21"/>
    <n v="2013"/>
  </r>
  <r>
    <n v="514"/>
    <n v="2"/>
    <n v="9"/>
    <x v="281"/>
    <n v="91"/>
    <n v="25"/>
    <n v="0"/>
    <n v="2275"/>
    <s v="A Shirts Life"/>
    <s v="Portland"/>
    <s v="Male"/>
    <x v="22"/>
    <n v="2013"/>
  </r>
  <r>
    <n v="515"/>
    <n v="1"/>
    <n v="3"/>
    <x v="282"/>
    <n v="47"/>
    <n v="22"/>
    <n v="5.0000001000000002E-2"/>
    <n v="982.29999896599998"/>
    <s v="Threads"/>
    <s v="Seattle"/>
    <s v="Both"/>
    <x v="29"/>
    <n v="2013"/>
  </r>
  <r>
    <n v="516"/>
    <n v="3"/>
    <n v="6"/>
    <x v="283"/>
    <n v="84"/>
    <n v="28"/>
    <n v="0"/>
    <n v="2352"/>
    <s v="Shirts R Us"/>
    <s v="Los Angeles"/>
    <s v="Female"/>
    <x v="28"/>
    <n v="2013"/>
  </r>
  <r>
    <n v="517"/>
    <n v="7"/>
    <n v="7"/>
    <x v="283"/>
    <n v="69"/>
    <n v="38"/>
    <n v="0"/>
    <n v="2622"/>
    <s v="The Shirt on Your Back"/>
    <s v="Bonners Ferry"/>
    <s v="Female"/>
    <x v="28"/>
    <n v="2013"/>
  </r>
  <r>
    <n v="518"/>
    <n v="1"/>
    <n v="4"/>
    <x v="284"/>
    <n v="31"/>
    <n v="30"/>
    <n v="0"/>
    <n v="930"/>
    <s v="Threads"/>
    <s v="Seattle"/>
    <s v="Both"/>
    <x v="1"/>
    <n v="2013"/>
  </r>
  <r>
    <n v="519"/>
    <n v="4"/>
    <n v="9"/>
    <x v="285"/>
    <n v="60"/>
    <n v="25"/>
    <n v="0.10000000100000001"/>
    <n v="1349.9999984999999"/>
    <s v="Tshirt Unlimited"/>
    <s v="Phoenix"/>
    <s v="Male"/>
    <x v="23"/>
    <n v="2013"/>
  </r>
  <r>
    <n v="520"/>
    <n v="1"/>
    <n v="1"/>
    <x v="286"/>
    <n v="81"/>
    <n v="20"/>
    <n v="0"/>
    <n v="1620"/>
    <s v="Threads"/>
    <s v="Seattle"/>
    <s v="Both"/>
    <x v="2"/>
    <n v="2013"/>
  </r>
  <r>
    <n v="521"/>
    <n v="2"/>
    <n v="1"/>
    <x v="286"/>
    <n v="118"/>
    <n v="20"/>
    <n v="0"/>
    <n v="2360"/>
    <s v="A Shirts Life"/>
    <s v="Portland"/>
    <s v="Both"/>
    <x v="2"/>
    <n v="2013"/>
  </r>
  <r>
    <n v="522"/>
    <n v="7"/>
    <n v="10"/>
    <x v="286"/>
    <n v="99"/>
    <n v="35"/>
    <n v="0.10000000100000001"/>
    <n v="3118.4999965349998"/>
    <s v="The Shirt on Your Back"/>
    <s v="Bonners Ferry"/>
    <s v="Male"/>
    <x v="2"/>
    <n v="2013"/>
  </r>
  <r>
    <n v="523"/>
    <n v="1"/>
    <n v="7"/>
    <x v="287"/>
    <n v="85"/>
    <n v="38"/>
    <n v="0"/>
    <n v="3230"/>
    <s v="Threads"/>
    <s v="Seattle"/>
    <s v="Female"/>
    <x v="3"/>
    <n v="2013"/>
  </r>
  <r>
    <n v="524"/>
    <n v="2"/>
    <n v="7"/>
    <x v="287"/>
    <n v="149"/>
    <n v="38"/>
    <n v="0"/>
    <n v="5662"/>
    <s v="A Shirts Life"/>
    <s v="Portland"/>
    <s v="Female"/>
    <x v="3"/>
    <n v="2013"/>
  </r>
  <r>
    <n v="525"/>
    <n v="1"/>
    <n v="4"/>
    <x v="288"/>
    <n v="149"/>
    <n v="30"/>
    <n v="5.0000001000000002E-2"/>
    <n v="4246.49999553"/>
    <s v="Threads"/>
    <s v="Seattle"/>
    <s v="Both"/>
    <x v="4"/>
    <n v="2013"/>
  </r>
  <r>
    <n v="526"/>
    <n v="1"/>
    <n v="9"/>
    <x v="289"/>
    <n v="65"/>
    <n v="25"/>
    <n v="0"/>
    <n v="1625"/>
    <s v="Threads"/>
    <s v="Seattle"/>
    <s v="Male"/>
    <x v="6"/>
    <n v="2013"/>
  </r>
  <r>
    <n v="527"/>
    <n v="2"/>
    <n v="7"/>
    <x v="290"/>
    <n v="71"/>
    <n v="38"/>
    <n v="0"/>
    <n v="2698"/>
    <s v="A Shirts Life"/>
    <s v="Portland"/>
    <s v="Female"/>
    <x v="30"/>
    <n v="2013"/>
  </r>
  <r>
    <n v="528"/>
    <n v="5"/>
    <n v="6"/>
    <x v="291"/>
    <n v="94"/>
    <n v="28"/>
    <n v="0"/>
    <n v="2632"/>
    <s v="Rags to Riches"/>
    <s v="Las Vegas"/>
    <s v="Female"/>
    <x v="7"/>
    <n v="2013"/>
  </r>
  <r>
    <n v="529"/>
    <n v="5"/>
    <n v="10"/>
    <x v="292"/>
    <n v="138"/>
    <n v="35"/>
    <n v="0.15000000599999999"/>
    <n v="4105.49997102"/>
    <s v="Rags to Riches"/>
    <s v="Las Vegas"/>
    <s v="Male"/>
    <x v="25"/>
    <n v="2013"/>
  </r>
  <r>
    <n v="530"/>
    <n v="6"/>
    <n v="1"/>
    <x v="292"/>
    <n v="70"/>
    <n v="20"/>
    <n v="0"/>
    <n v="1400"/>
    <s v="Abracadaba Ink"/>
    <s v="Salt Lake City"/>
    <s v="Both"/>
    <x v="25"/>
    <n v="2013"/>
  </r>
  <r>
    <n v="531"/>
    <n v="2"/>
    <n v="1"/>
    <x v="293"/>
    <n v="29"/>
    <n v="20"/>
    <n v="0"/>
    <n v="580"/>
    <s v="A Shirts Life"/>
    <s v="Portland"/>
    <s v="Both"/>
    <x v="10"/>
    <n v="2013"/>
  </r>
  <r>
    <n v="532"/>
    <n v="2"/>
    <n v="1"/>
    <x v="294"/>
    <n v="99"/>
    <n v="20"/>
    <n v="0"/>
    <n v="1980"/>
    <s v="A Shirts Life"/>
    <s v="Portland"/>
    <s v="Both"/>
    <x v="11"/>
    <n v="2013"/>
  </r>
  <r>
    <n v="533"/>
    <n v="4"/>
    <n v="3"/>
    <x v="295"/>
    <n v="83"/>
    <n v="22"/>
    <n v="0.10000000100000001"/>
    <n v="1643.3999981740001"/>
    <s v="Tshirt Unlimited"/>
    <s v="Phoenix"/>
    <s v="Both"/>
    <x v="12"/>
    <n v="2013"/>
  </r>
  <r>
    <n v="534"/>
    <n v="4"/>
    <n v="9"/>
    <x v="295"/>
    <n v="110"/>
    <n v="25"/>
    <n v="0"/>
    <n v="2750"/>
    <s v="Tshirt Unlimited"/>
    <s v="Phoenix"/>
    <s v="Male"/>
    <x v="12"/>
    <n v="2013"/>
  </r>
  <r>
    <n v="535"/>
    <n v="1"/>
    <n v="3"/>
    <x v="296"/>
    <n v="121"/>
    <n v="22"/>
    <n v="0"/>
    <n v="2662"/>
    <s v="Threads"/>
    <s v="Seattle"/>
    <s v="Both"/>
    <x v="13"/>
    <n v="2013"/>
  </r>
  <r>
    <n v="536"/>
    <n v="3"/>
    <n v="8"/>
    <x v="296"/>
    <n v="133"/>
    <n v="27"/>
    <n v="0.10000000100000001"/>
    <n v="3231.8999964089999"/>
    <s v="Shirts R Us"/>
    <s v="Los Angeles"/>
    <s v="Female"/>
    <x v="13"/>
    <n v="2013"/>
  </r>
  <r>
    <n v="537"/>
    <n v="5"/>
    <n v="2"/>
    <x v="296"/>
    <n v="66"/>
    <n v="30"/>
    <n v="0"/>
    <n v="1980"/>
    <s v="Rags to Riches"/>
    <s v="Las Vegas"/>
    <s v="Both"/>
    <x v="13"/>
    <n v="2013"/>
  </r>
  <r>
    <n v="538"/>
    <n v="7"/>
    <n v="5"/>
    <x v="296"/>
    <n v="125"/>
    <n v="16"/>
    <n v="0"/>
    <n v="2000"/>
    <s v="The Shirt on Your Back"/>
    <s v="Bonners Ferry"/>
    <s v="Female"/>
    <x v="13"/>
    <n v="2013"/>
  </r>
  <r>
    <n v="539"/>
    <n v="2"/>
    <n v="2"/>
    <x v="297"/>
    <n v="135"/>
    <n v="30"/>
    <n v="0.15000000599999999"/>
    <n v="3442.4999757"/>
    <s v="A Shirts Life"/>
    <s v="Portland"/>
    <s v="Both"/>
    <x v="27"/>
    <n v="2013"/>
  </r>
  <r>
    <n v="540"/>
    <n v="3"/>
    <n v="2"/>
    <x v="297"/>
    <n v="142"/>
    <n v="30"/>
    <n v="0"/>
    <n v="4260"/>
    <s v="Shirts R Us"/>
    <s v="Los Angeles"/>
    <s v="Both"/>
    <x v="27"/>
    <n v="2013"/>
  </r>
  <r>
    <n v="541"/>
    <n v="7"/>
    <n v="6"/>
    <x v="297"/>
    <n v="50"/>
    <n v="28"/>
    <n v="0"/>
    <n v="1400"/>
    <s v="The Shirt on Your Back"/>
    <s v="Bonners Ferry"/>
    <s v="Female"/>
    <x v="27"/>
    <n v="2013"/>
  </r>
  <r>
    <n v="542"/>
    <n v="3"/>
    <n v="10"/>
    <x v="298"/>
    <n v="85"/>
    <n v="35"/>
    <n v="5.0000001000000002E-2"/>
    <n v="2826.2499970250001"/>
    <s v="Shirts R Us"/>
    <s v="Los Angeles"/>
    <s v="Male"/>
    <x v="15"/>
    <n v="2013"/>
  </r>
  <r>
    <n v="543"/>
    <n v="5"/>
    <n v="7"/>
    <x v="298"/>
    <n v="58"/>
    <n v="38"/>
    <n v="0"/>
    <n v="2204"/>
    <s v="Rags to Riches"/>
    <s v="Las Vegas"/>
    <s v="Female"/>
    <x v="15"/>
    <n v="2013"/>
  </r>
  <r>
    <n v="544"/>
    <n v="4"/>
    <n v="8"/>
    <x v="299"/>
    <n v="33"/>
    <n v="27"/>
    <n v="0.10000000100000001"/>
    <n v="801.89999910899996"/>
    <s v="Tshirt Unlimited"/>
    <s v="Phoenix"/>
    <s v="Female"/>
    <x v="17"/>
    <n v="2013"/>
  </r>
  <r>
    <n v="545"/>
    <n v="3"/>
    <n v="6"/>
    <x v="300"/>
    <n v="125"/>
    <n v="28"/>
    <n v="0"/>
    <n v="3500"/>
    <s v="Shirts R Us"/>
    <s v="Los Angeles"/>
    <s v="Female"/>
    <x v="18"/>
    <n v="2013"/>
  </r>
  <r>
    <n v="546"/>
    <n v="4"/>
    <n v="10"/>
    <x v="300"/>
    <n v="119"/>
    <n v="35"/>
    <n v="0.15000000599999999"/>
    <n v="3540.2499750100001"/>
    <s v="Tshirt Unlimited"/>
    <s v="Phoenix"/>
    <s v="Male"/>
    <x v="18"/>
    <n v="2013"/>
  </r>
  <r>
    <n v="547"/>
    <n v="2"/>
    <n v="10"/>
    <x v="301"/>
    <n v="36"/>
    <n v="35"/>
    <n v="0"/>
    <n v="1260"/>
    <s v="A Shirts Life"/>
    <s v="Portland"/>
    <s v="Male"/>
    <x v="19"/>
    <n v="2013"/>
  </r>
  <r>
    <n v="548"/>
    <n v="4"/>
    <n v="8"/>
    <x v="301"/>
    <n v="36"/>
    <n v="27"/>
    <n v="0"/>
    <n v="972"/>
    <s v="Tshirt Unlimited"/>
    <s v="Phoenix"/>
    <s v="Female"/>
    <x v="19"/>
    <n v="2013"/>
  </r>
  <r>
    <n v="549"/>
    <n v="5"/>
    <n v="3"/>
    <x v="301"/>
    <n v="97"/>
    <n v="22"/>
    <n v="0"/>
    <n v="2134"/>
    <s v="Rags to Riches"/>
    <s v="Las Vegas"/>
    <s v="Both"/>
    <x v="19"/>
    <n v="2013"/>
  </r>
  <r>
    <n v="550"/>
    <n v="2"/>
    <n v="9"/>
    <x v="302"/>
    <n v="57"/>
    <n v="25"/>
    <n v="0"/>
    <n v="1425"/>
    <s v="A Shirts Life"/>
    <s v="Portland"/>
    <s v="Male"/>
    <x v="20"/>
    <n v="2013"/>
  </r>
  <r>
    <n v="551"/>
    <n v="1"/>
    <n v="6"/>
    <x v="303"/>
    <n v="107"/>
    <n v="28"/>
    <n v="5.0000001000000002E-2"/>
    <n v="2846.1999970040001"/>
    <s v="Threads"/>
    <s v="Seattle"/>
    <s v="Female"/>
    <x v="28"/>
    <n v="2013"/>
  </r>
  <r>
    <n v="552"/>
    <n v="3"/>
    <n v="10"/>
    <x v="303"/>
    <n v="146"/>
    <n v="35"/>
    <n v="0"/>
    <n v="5110"/>
    <s v="Shirts R Us"/>
    <s v="Los Angeles"/>
    <s v="Male"/>
    <x v="28"/>
    <n v="2013"/>
  </r>
  <r>
    <n v="553"/>
    <n v="5"/>
    <n v="1"/>
    <x v="303"/>
    <n v="88"/>
    <n v="20"/>
    <n v="0"/>
    <n v="1760"/>
    <s v="Rags to Riches"/>
    <s v="Las Vegas"/>
    <s v="Both"/>
    <x v="28"/>
    <n v="2013"/>
  </r>
  <r>
    <n v="554"/>
    <n v="1"/>
    <n v="7"/>
    <x v="304"/>
    <n v="136"/>
    <n v="38"/>
    <n v="0"/>
    <n v="5168"/>
    <s v="Threads"/>
    <s v="Seattle"/>
    <s v="Female"/>
    <x v="0"/>
    <n v="2013"/>
  </r>
  <r>
    <n v="555"/>
    <n v="6"/>
    <n v="8"/>
    <x v="304"/>
    <n v="150"/>
    <n v="27"/>
    <n v="0"/>
    <n v="4050"/>
    <s v="Abracadaba Ink"/>
    <s v="Salt Lake City"/>
    <s v="Female"/>
    <x v="0"/>
    <n v="2013"/>
  </r>
  <r>
    <n v="556"/>
    <n v="2"/>
    <n v="4"/>
    <x v="305"/>
    <n v="92"/>
    <n v="30"/>
    <n v="5.0000001000000002E-2"/>
    <n v="2621.9999972400001"/>
    <s v="A Shirts Life"/>
    <s v="Portland"/>
    <s v="Both"/>
    <x v="23"/>
    <n v="2013"/>
  </r>
  <r>
    <n v="557"/>
    <n v="5"/>
    <n v="5"/>
    <x v="305"/>
    <n v="50"/>
    <n v="16"/>
    <n v="0"/>
    <n v="800"/>
    <s v="Rags to Riches"/>
    <s v="Las Vegas"/>
    <s v="Female"/>
    <x v="23"/>
    <n v="2013"/>
  </r>
  <r>
    <n v="558"/>
    <n v="3"/>
    <n v="3"/>
    <x v="306"/>
    <n v="72"/>
    <n v="22"/>
    <n v="0"/>
    <n v="1584"/>
    <s v="Shirts R Us"/>
    <s v="Los Angeles"/>
    <s v="Both"/>
    <x v="3"/>
    <n v="2013"/>
  </r>
  <r>
    <n v="559"/>
    <n v="4"/>
    <n v="3"/>
    <x v="307"/>
    <n v="137"/>
    <n v="22"/>
    <n v="0"/>
    <n v="3014"/>
    <s v="Tshirt Unlimited"/>
    <s v="Phoenix"/>
    <s v="Both"/>
    <x v="4"/>
    <n v="2013"/>
  </r>
  <r>
    <n v="560"/>
    <n v="6"/>
    <n v="8"/>
    <x v="307"/>
    <n v="64"/>
    <n v="27"/>
    <n v="0"/>
    <n v="1728"/>
    <s v="Abracadaba Ink"/>
    <s v="Salt Lake City"/>
    <s v="Female"/>
    <x v="4"/>
    <n v="2013"/>
  </r>
  <r>
    <n v="561"/>
    <n v="3"/>
    <n v="2"/>
    <x v="308"/>
    <n v="87"/>
    <n v="30"/>
    <n v="0"/>
    <n v="2610"/>
    <s v="Shirts R Us"/>
    <s v="Los Angeles"/>
    <s v="Both"/>
    <x v="5"/>
    <n v="2013"/>
  </r>
  <r>
    <n v="562"/>
    <n v="6"/>
    <n v="5"/>
    <x v="309"/>
    <n v="141"/>
    <n v="16"/>
    <n v="0"/>
    <n v="2256"/>
    <s v="Abracadaba Ink"/>
    <s v="Salt Lake City"/>
    <s v="Female"/>
    <x v="7"/>
    <n v="2013"/>
  </r>
  <r>
    <n v="563"/>
    <n v="6"/>
    <n v="2"/>
    <x v="310"/>
    <n v="110"/>
    <n v="30"/>
    <n v="0"/>
    <n v="3300"/>
    <s v="Abracadaba Ink"/>
    <s v="Salt Lake City"/>
    <s v="Both"/>
    <x v="25"/>
    <n v="2013"/>
  </r>
  <r>
    <n v="564"/>
    <n v="1"/>
    <n v="10"/>
    <x v="311"/>
    <n v="105"/>
    <n v="35"/>
    <n v="0"/>
    <n v="3675"/>
    <s v="Threads"/>
    <s v="Seattle"/>
    <s v="Male"/>
    <x v="9"/>
    <n v="2013"/>
  </r>
  <r>
    <n v="565"/>
    <n v="3"/>
    <n v="5"/>
    <x v="311"/>
    <n v="50"/>
    <n v="16"/>
    <n v="0"/>
    <n v="800"/>
    <s v="Shirts R Us"/>
    <s v="Los Angeles"/>
    <s v="Female"/>
    <x v="9"/>
    <n v="2013"/>
  </r>
  <r>
    <n v="566"/>
    <n v="3"/>
    <n v="10"/>
    <x v="312"/>
    <n v="111"/>
    <n v="35"/>
    <n v="0"/>
    <n v="3885"/>
    <s v="Shirts R Us"/>
    <s v="Los Angeles"/>
    <s v="Male"/>
    <x v="10"/>
    <n v="2013"/>
  </r>
  <r>
    <n v="567"/>
    <n v="4"/>
    <n v="6"/>
    <x v="313"/>
    <n v="135"/>
    <n v="28"/>
    <n v="0"/>
    <n v="3780"/>
    <s v="Tshirt Unlimited"/>
    <s v="Phoenix"/>
    <s v="Female"/>
    <x v="26"/>
    <n v="2013"/>
  </r>
  <r>
    <n v="568"/>
    <n v="1"/>
    <n v="3"/>
    <x v="314"/>
    <n v="83"/>
    <n v="22"/>
    <n v="0"/>
    <n v="1826"/>
    <s v="Threads"/>
    <s v="Seattle"/>
    <s v="Both"/>
    <x v="12"/>
    <n v="2013"/>
  </r>
  <r>
    <n v="569"/>
    <n v="2"/>
    <n v="3"/>
    <x v="314"/>
    <n v="150"/>
    <n v="22"/>
    <n v="0"/>
    <n v="3300"/>
    <s v="A Shirts Life"/>
    <s v="Portland"/>
    <s v="Both"/>
    <x v="12"/>
    <n v="2013"/>
  </r>
  <r>
    <n v="570"/>
    <n v="2"/>
    <n v="10"/>
    <x v="314"/>
    <n v="49"/>
    <n v="35"/>
    <n v="0"/>
    <n v="1715"/>
    <s v="A Shirts Life"/>
    <s v="Portland"/>
    <s v="Male"/>
    <x v="12"/>
    <n v="2013"/>
  </r>
  <r>
    <n v="571"/>
    <n v="5"/>
    <n v="5"/>
    <x v="314"/>
    <n v="129"/>
    <n v="16"/>
    <n v="0"/>
    <n v="2064"/>
    <s v="Rags to Riches"/>
    <s v="Las Vegas"/>
    <s v="Female"/>
    <x v="12"/>
    <n v="2013"/>
  </r>
  <r>
    <n v="572"/>
    <n v="1"/>
    <n v="9"/>
    <x v="315"/>
    <n v="61"/>
    <n v="25"/>
    <n v="0"/>
    <n v="1525"/>
    <s v="Threads"/>
    <s v="Seattle"/>
    <s v="Male"/>
    <x v="27"/>
    <n v="2013"/>
  </r>
  <r>
    <n v="573"/>
    <n v="4"/>
    <n v="7"/>
    <x v="316"/>
    <n v="136"/>
    <n v="38"/>
    <n v="0"/>
    <n v="5168"/>
    <s v="Tshirt Unlimited"/>
    <s v="Phoenix"/>
    <s v="Female"/>
    <x v="14"/>
    <n v="2013"/>
  </r>
  <r>
    <n v="574"/>
    <n v="6"/>
    <n v="4"/>
    <x v="316"/>
    <n v="145"/>
    <n v="30"/>
    <n v="0"/>
    <n v="4350"/>
    <s v="Abracadaba Ink"/>
    <s v="Salt Lake City"/>
    <s v="Both"/>
    <x v="14"/>
    <n v="2013"/>
  </r>
  <r>
    <n v="575"/>
    <n v="7"/>
    <n v="3"/>
    <x v="317"/>
    <n v="77"/>
    <n v="22"/>
    <n v="0"/>
    <n v="1694"/>
    <s v="The Shirt on Your Back"/>
    <s v="Bonners Ferry"/>
    <s v="Both"/>
    <x v="15"/>
    <n v="2013"/>
  </r>
  <r>
    <n v="576"/>
    <n v="5"/>
    <n v="8"/>
    <x v="318"/>
    <n v="41"/>
    <n v="27"/>
    <n v="0"/>
    <n v="1107"/>
    <s v="Rags to Riches"/>
    <s v="Las Vegas"/>
    <s v="Female"/>
    <x v="16"/>
    <n v="2013"/>
  </r>
  <r>
    <n v="577"/>
    <n v="2"/>
    <n v="4"/>
    <x v="319"/>
    <n v="42"/>
    <n v="30"/>
    <n v="0"/>
    <n v="1260"/>
    <s v="A Shirts Life"/>
    <s v="Portland"/>
    <s v="Both"/>
    <x v="18"/>
    <n v="2013"/>
  </r>
  <r>
    <n v="578"/>
    <n v="3"/>
    <n v="3"/>
    <x v="320"/>
    <n v="126"/>
    <n v="22"/>
    <n v="0"/>
    <n v="2772"/>
    <s v="Shirts R Us"/>
    <s v="Los Angeles"/>
    <s v="Both"/>
    <x v="20"/>
    <n v="2013"/>
  </r>
  <r>
    <n v="579"/>
    <n v="2"/>
    <n v="7"/>
    <x v="321"/>
    <n v="58"/>
    <n v="38"/>
    <n v="0"/>
    <n v="2204"/>
    <s v="A Shirts Life"/>
    <s v="Portland"/>
    <s v="Female"/>
    <x v="21"/>
    <n v="2013"/>
  </r>
  <r>
    <n v="580"/>
    <n v="2"/>
    <n v="10"/>
    <x v="322"/>
    <n v="45"/>
    <n v="35"/>
    <n v="0"/>
    <n v="1575"/>
    <s v="A Shirts Life"/>
    <s v="Portland"/>
    <s v="Male"/>
    <x v="29"/>
    <n v="2013"/>
  </r>
  <r>
    <n v="581"/>
    <n v="3"/>
    <n v="1"/>
    <x v="323"/>
    <n v="34"/>
    <n v="20"/>
    <n v="0"/>
    <n v="680"/>
    <s v="Shirts R Us"/>
    <s v="Los Angeles"/>
    <s v="Both"/>
    <x v="28"/>
    <n v="2013"/>
  </r>
  <r>
    <n v="582"/>
    <n v="3"/>
    <n v="8"/>
    <x v="324"/>
    <n v="56"/>
    <n v="27"/>
    <n v="0"/>
    <n v="1512"/>
    <s v="Shirts R Us"/>
    <s v="Los Angeles"/>
    <s v="Female"/>
    <x v="1"/>
    <n v="2013"/>
  </r>
  <r>
    <n v="583"/>
    <n v="1"/>
    <n v="3"/>
    <x v="325"/>
    <n v="119"/>
    <n v="22"/>
    <n v="0"/>
    <n v="2618"/>
    <s v="Threads"/>
    <s v="Seattle"/>
    <s v="Both"/>
    <x v="24"/>
    <n v="2013"/>
  </r>
  <r>
    <n v="584"/>
    <n v="4"/>
    <n v="5"/>
    <x v="325"/>
    <n v="75"/>
    <n v="16"/>
    <n v="0"/>
    <n v="1200"/>
    <s v="Tshirt Unlimited"/>
    <s v="Phoenix"/>
    <s v="Female"/>
    <x v="24"/>
    <n v="2013"/>
  </r>
  <r>
    <n v="585"/>
    <n v="3"/>
    <n v="4"/>
    <x v="326"/>
    <n v="25"/>
    <n v="30"/>
    <n v="0"/>
    <n v="750"/>
    <s v="Shirts R Us"/>
    <s v="Los Angeles"/>
    <s v="Both"/>
    <x v="3"/>
    <n v="2013"/>
  </r>
  <r>
    <n v="586"/>
    <n v="2"/>
    <n v="4"/>
    <x v="327"/>
    <n v="148"/>
    <n v="30"/>
    <n v="0"/>
    <n v="4440"/>
    <s v="A Shirts Life"/>
    <s v="Portland"/>
    <s v="Both"/>
    <x v="5"/>
    <n v="2013"/>
  </r>
  <r>
    <n v="587"/>
    <n v="6"/>
    <n v="1"/>
    <x v="328"/>
    <n v="125"/>
    <n v="20"/>
    <n v="0.15000000599999999"/>
    <n v="2124.9999849999999"/>
    <s v="Abracadaba Ink"/>
    <s v="Salt Lake City"/>
    <s v="Both"/>
    <x v="30"/>
    <n v="2013"/>
  </r>
  <r>
    <n v="588"/>
    <n v="6"/>
    <n v="10"/>
    <x v="328"/>
    <n v="95"/>
    <n v="35"/>
    <n v="0"/>
    <n v="3325"/>
    <s v="Abracadaba Ink"/>
    <s v="Salt Lake City"/>
    <s v="Male"/>
    <x v="30"/>
    <n v="2013"/>
  </r>
  <r>
    <n v="589"/>
    <n v="5"/>
    <n v="1"/>
    <x v="329"/>
    <n v="93"/>
    <n v="20"/>
    <n v="0"/>
    <n v="1860"/>
    <s v="Rags to Riches"/>
    <s v="Las Vegas"/>
    <s v="Both"/>
    <x v="7"/>
    <n v="2013"/>
  </r>
  <r>
    <n v="590"/>
    <n v="6"/>
    <n v="2"/>
    <x v="329"/>
    <n v="39"/>
    <n v="30"/>
    <n v="5.0000001000000002E-2"/>
    <n v="1111.4999988300001"/>
    <s v="Abracadaba Ink"/>
    <s v="Salt Lake City"/>
    <s v="Both"/>
    <x v="7"/>
    <n v="2013"/>
  </r>
  <r>
    <n v="591"/>
    <n v="6"/>
    <n v="8"/>
    <x v="329"/>
    <n v="83"/>
    <n v="27"/>
    <n v="0"/>
    <n v="2241"/>
    <s v="Abracadaba Ink"/>
    <s v="Salt Lake City"/>
    <s v="Female"/>
    <x v="7"/>
    <n v="2013"/>
  </r>
  <r>
    <n v="592"/>
    <n v="2"/>
    <n v="5"/>
    <x v="330"/>
    <n v="148"/>
    <n v="16"/>
    <n v="0"/>
    <n v="2368"/>
    <s v="A Shirts Life"/>
    <s v="Portland"/>
    <s v="Female"/>
    <x v="25"/>
    <n v="2013"/>
  </r>
  <r>
    <n v="593"/>
    <n v="7"/>
    <n v="2"/>
    <x v="330"/>
    <n v="94"/>
    <n v="30"/>
    <n v="0.10000000100000001"/>
    <n v="2537.9999971799998"/>
    <s v="The Shirt on Your Back"/>
    <s v="Bonners Ferry"/>
    <s v="Both"/>
    <x v="25"/>
    <n v="2013"/>
  </r>
  <r>
    <n v="594"/>
    <n v="1"/>
    <n v="4"/>
    <x v="331"/>
    <n v="122"/>
    <n v="30"/>
    <n v="0"/>
    <n v="3660"/>
    <s v="Threads"/>
    <s v="Seattle"/>
    <s v="Both"/>
    <x v="8"/>
    <n v="2013"/>
  </r>
  <r>
    <n v="595"/>
    <n v="7"/>
    <n v="4"/>
    <x v="331"/>
    <n v="109"/>
    <n v="30"/>
    <n v="0"/>
    <n v="3270"/>
    <s v="The Shirt on Your Back"/>
    <s v="Bonners Ferry"/>
    <s v="Both"/>
    <x v="8"/>
    <n v="2013"/>
  </r>
  <r>
    <n v="596"/>
    <n v="4"/>
    <n v="4"/>
    <x v="332"/>
    <n v="136"/>
    <n v="30"/>
    <n v="0"/>
    <n v="4080"/>
    <s v="Tshirt Unlimited"/>
    <s v="Phoenix"/>
    <s v="Both"/>
    <x v="26"/>
    <n v="2013"/>
  </r>
  <r>
    <n v="597"/>
    <n v="7"/>
    <n v="3"/>
    <x v="332"/>
    <n v="62"/>
    <n v="22"/>
    <n v="0"/>
    <n v="1364"/>
    <s v="The Shirt on Your Back"/>
    <s v="Bonners Ferry"/>
    <s v="Both"/>
    <x v="26"/>
    <n v="2013"/>
  </r>
  <r>
    <n v="598"/>
    <n v="7"/>
    <n v="7"/>
    <x v="333"/>
    <n v="110"/>
    <n v="38"/>
    <n v="0"/>
    <n v="4180"/>
    <s v="The Shirt on Your Back"/>
    <s v="Bonners Ferry"/>
    <s v="Female"/>
    <x v="12"/>
    <n v="2013"/>
  </r>
  <r>
    <n v="599"/>
    <n v="3"/>
    <n v="9"/>
    <x v="334"/>
    <n v="95"/>
    <n v="25"/>
    <n v="0"/>
    <n v="2375"/>
    <s v="Shirts R Us"/>
    <s v="Los Angeles"/>
    <s v="Male"/>
    <x v="13"/>
    <n v="2013"/>
  </r>
  <r>
    <n v="600"/>
    <n v="3"/>
    <n v="10"/>
    <x v="335"/>
    <n v="77"/>
    <n v="35"/>
    <n v="5.0000001000000002E-2"/>
    <n v="2560.2499973049999"/>
    <s v="Shirts R Us"/>
    <s v="Los Angeles"/>
    <s v="Male"/>
    <x v="27"/>
    <n v="2013"/>
  </r>
  <r>
    <n v="601"/>
    <n v="7"/>
    <n v="6"/>
    <x v="336"/>
    <n v="26"/>
    <n v="28"/>
    <n v="0"/>
    <n v="728"/>
    <s v="The Shirt on Your Back"/>
    <s v="Bonners Ferry"/>
    <s v="Female"/>
    <x v="14"/>
    <n v="2013"/>
  </r>
  <r>
    <n v="602"/>
    <n v="6"/>
    <n v="2"/>
    <x v="337"/>
    <n v="99"/>
    <n v="30"/>
    <n v="0"/>
    <n v="2970"/>
    <s v="Abracadaba Ink"/>
    <s v="Salt Lake City"/>
    <s v="Both"/>
    <x v="16"/>
    <n v="2013"/>
  </r>
  <r>
    <n v="603"/>
    <n v="1"/>
    <n v="9"/>
    <x v="338"/>
    <n v="29"/>
    <n v="25"/>
    <n v="0.10000000100000001"/>
    <n v="652.49999927499994"/>
    <s v="Threads"/>
    <s v="Seattle"/>
    <s v="Male"/>
    <x v="19"/>
    <n v="2013"/>
  </r>
  <r>
    <n v="604"/>
    <n v="5"/>
    <n v="5"/>
    <x v="338"/>
    <n v="54"/>
    <n v="16"/>
    <n v="5.0000001000000002E-2"/>
    <n v="820.799999136"/>
    <s v="Rags to Riches"/>
    <s v="Las Vegas"/>
    <s v="Female"/>
    <x v="19"/>
    <n v="2013"/>
  </r>
  <r>
    <n v="605"/>
    <n v="3"/>
    <n v="10"/>
    <x v="339"/>
    <n v="106"/>
    <n v="35"/>
    <n v="0"/>
    <n v="3710"/>
    <s v="Shirts R Us"/>
    <s v="Los Angeles"/>
    <s v="Male"/>
    <x v="20"/>
    <n v="2013"/>
  </r>
  <r>
    <n v="606"/>
    <n v="6"/>
    <n v="9"/>
    <x v="339"/>
    <n v="141"/>
    <n v="25"/>
    <n v="0"/>
    <n v="3525"/>
    <s v="Abracadaba Ink"/>
    <s v="Salt Lake City"/>
    <s v="Male"/>
    <x v="20"/>
    <n v="2013"/>
  </r>
  <r>
    <n v="607"/>
    <n v="7"/>
    <n v="1"/>
    <x v="339"/>
    <n v="53"/>
    <n v="20"/>
    <n v="0"/>
    <n v="1060"/>
    <s v="The Shirt on Your Back"/>
    <s v="Bonners Ferry"/>
    <s v="Both"/>
    <x v="20"/>
    <n v="2013"/>
  </r>
  <r>
    <n v="608"/>
    <n v="6"/>
    <n v="7"/>
    <x v="340"/>
    <n v="113"/>
    <n v="38"/>
    <n v="5.0000001000000002E-2"/>
    <n v="4079.2999957060001"/>
    <s v="Abracadaba Ink"/>
    <s v="Salt Lake City"/>
    <s v="Female"/>
    <x v="21"/>
    <n v="2013"/>
  </r>
  <r>
    <n v="609"/>
    <n v="4"/>
    <n v="3"/>
    <x v="341"/>
    <n v="29"/>
    <n v="22"/>
    <n v="0"/>
    <n v="638"/>
    <s v="Tshirt Unlimited"/>
    <s v="Phoenix"/>
    <s v="Both"/>
    <x v="22"/>
    <n v="2013"/>
  </r>
  <r>
    <n v="610"/>
    <n v="7"/>
    <n v="7"/>
    <x v="341"/>
    <n v="103"/>
    <n v="38"/>
    <n v="5.0000001000000002E-2"/>
    <n v="3718.2999960860002"/>
    <s v="The Shirt on Your Back"/>
    <s v="Bonners Ferry"/>
    <s v="Female"/>
    <x v="22"/>
    <n v="2013"/>
  </r>
  <r>
    <n v="611"/>
    <n v="1"/>
    <n v="10"/>
    <x v="342"/>
    <n v="55"/>
    <n v="35"/>
    <n v="0"/>
    <n v="1925"/>
    <s v="Threads"/>
    <s v="Seattle"/>
    <s v="Male"/>
    <x v="28"/>
    <n v="2013"/>
  </r>
  <r>
    <n v="612"/>
    <n v="5"/>
    <n v="9"/>
    <x v="342"/>
    <n v="143"/>
    <n v="25"/>
    <n v="0"/>
    <n v="3575"/>
    <s v="Rags to Riches"/>
    <s v="Las Vegas"/>
    <s v="Male"/>
    <x v="28"/>
    <n v="2013"/>
  </r>
  <r>
    <n v="613"/>
    <n v="3"/>
    <n v="8"/>
    <x v="343"/>
    <n v="140"/>
    <n v="27"/>
    <n v="0"/>
    <n v="3780"/>
    <s v="Shirts R Us"/>
    <s v="Los Angeles"/>
    <s v="Female"/>
    <x v="0"/>
    <n v="2013"/>
  </r>
  <r>
    <n v="614"/>
    <n v="5"/>
    <n v="7"/>
    <x v="343"/>
    <n v="135"/>
    <n v="38"/>
    <n v="0"/>
    <n v="5130"/>
    <s v="Rags to Riches"/>
    <s v="Las Vegas"/>
    <s v="Female"/>
    <x v="0"/>
    <n v="2013"/>
  </r>
  <r>
    <n v="615"/>
    <n v="4"/>
    <n v="7"/>
    <x v="344"/>
    <n v="84"/>
    <n v="38"/>
    <n v="0"/>
    <n v="3192"/>
    <s v="Tshirt Unlimited"/>
    <s v="Phoenix"/>
    <s v="Female"/>
    <x v="1"/>
    <n v="2013"/>
  </r>
  <r>
    <n v="616"/>
    <n v="2"/>
    <n v="2"/>
    <x v="345"/>
    <n v="149"/>
    <n v="30"/>
    <n v="0"/>
    <n v="4470"/>
    <s v="A Shirts Life"/>
    <s v="Portland"/>
    <s v="Both"/>
    <x v="23"/>
    <n v="2013"/>
  </r>
  <r>
    <n v="617"/>
    <n v="2"/>
    <n v="3"/>
    <x v="346"/>
    <n v="75"/>
    <n v="22"/>
    <n v="0"/>
    <n v="1650"/>
    <s v="A Shirts Life"/>
    <s v="Portland"/>
    <s v="Both"/>
    <x v="24"/>
    <n v="2013"/>
  </r>
  <r>
    <n v="618"/>
    <n v="2"/>
    <n v="4"/>
    <x v="346"/>
    <n v="148"/>
    <n v="30"/>
    <n v="0"/>
    <n v="4440"/>
    <s v="A Shirts Life"/>
    <s v="Portland"/>
    <s v="Both"/>
    <x v="24"/>
    <n v="2013"/>
  </r>
  <r>
    <n v="619"/>
    <n v="4"/>
    <n v="10"/>
    <x v="346"/>
    <n v="64"/>
    <n v="35"/>
    <n v="0.10000000100000001"/>
    <n v="2015.99999776"/>
    <s v="Tshirt Unlimited"/>
    <s v="Phoenix"/>
    <s v="Male"/>
    <x v="24"/>
    <n v="2013"/>
  </r>
  <r>
    <n v="620"/>
    <n v="6"/>
    <n v="8"/>
    <x v="346"/>
    <n v="100"/>
    <n v="27"/>
    <n v="0"/>
    <n v="2700"/>
    <s v="Abracadaba Ink"/>
    <s v="Salt Lake City"/>
    <s v="Female"/>
    <x v="24"/>
    <n v="2013"/>
  </r>
  <r>
    <n v="621"/>
    <n v="1"/>
    <n v="2"/>
    <x v="347"/>
    <n v="63"/>
    <n v="30"/>
    <n v="5.0000001000000002E-2"/>
    <n v="1795.49999811"/>
    <s v="Threads"/>
    <s v="Seattle"/>
    <s v="Both"/>
    <x v="3"/>
    <n v="2013"/>
  </r>
  <r>
    <n v="622"/>
    <n v="4"/>
    <n v="2"/>
    <x v="348"/>
    <n v="89"/>
    <n v="30"/>
    <n v="5.0000001000000002E-2"/>
    <n v="2536.49999733"/>
    <s v="Tshirt Unlimited"/>
    <s v="Phoenix"/>
    <s v="Both"/>
    <x v="4"/>
    <n v="2013"/>
  </r>
  <r>
    <n v="623"/>
    <n v="7"/>
    <n v="4"/>
    <x v="348"/>
    <n v="45"/>
    <n v="30"/>
    <n v="5.0000001000000002E-2"/>
    <n v="1282.49999865"/>
    <s v="The Shirt on Your Back"/>
    <s v="Bonners Ferry"/>
    <s v="Both"/>
    <x v="4"/>
    <n v="2013"/>
  </r>
  <r>
    <n v="624"/>
    <n v="7"/>
    <n v="9"/>
    <x v="348"/>
    <n v="33"/>
    <n v="25"/>
    <n v="0.10000000100000001"/>
    <n v="742.49999917499997"/>
    <s v="The Shirt on Your Back"/>
    <s v="Bonners Ferry"/>
    <s v="Male"/>
    <x v="4"/>
    <n v="2013"/>
  </r>
  <r>
    <n v="625"/>
    <n v="4"/>
    <n v="9"/>
    <x v="349"/>
    <n v="51"/>
    <n v="25"/>
    <n v="0"/>
    <n v="1275"/>
    <s v="Tshirt Unlimited"/>
    <s v="Phoenix"/>
    <s v="Male"/>
    <x v="6"/>
    <n v="2013"/>
  </r>
  <r>
    <n v="626"/>
    <n v="2"/>
    <n v="8"/>
    <x v="350"/>
    <n v="140"/>
    <n v="27"/>
    <n v="0"/>
    <n v="3780"/>
    <s v="A Shirts Life"/>
    <s v="Portland"/>
    <s v="Female"/>
    <x v="30"/>
    <n v="2013"/>
  </r>
  <r>
    <n v="627"/>
    <n v="7"/>
    <n v="1"/>
    <x v="350"/>
    <n v="29"/>
    <n v="20"/>
    <n v="0"/>
    <n v="580"/>
    <s v="The Shirt on Your Back"/>
    <s v="Bonners Ferry"/>
    <s v="Both"/>
    <x v="30"/>
    <n v="2013"/>
  </r>
  <r>
    <n v="628"/>
    <n v="4"/>
    <n v="1"/>
    <x v="351"/>
    <n v="114"/>
    <n v="20"/>
    <n v="0"/>
    <n v="2280"/>
    <s v="Tshirt Unlimited"/>
    <s v="Phoenix"/>
    <s v="Both"/>
    <x v="7"/>
    <n v="2013"/>
  </r>
  <r>
    <n v="629"/>
    <n v="2"/>
    <n v="4"/>
    <x v="352"/>
    <n v="100"/>
    <n v="30"/>
    <n v="0"/>
    <n v="3000"/>
    <s v="A Shirts Life"/>
    <s v="Portland"/>
    <s v="Both"/>
    <x v="25"/>
    <n v="2013"/>
  </r>
  <r>
    <n v="630"/>
    <n v="6"/>
    <n v="1"/>
    <x v="352"/>
    <n v="33"/>
    <n v="20"/>
    <n v="0"/>
    <n v="660"/>
    <s v="Abracadaba Ink"/>
    <s v="Salt Lake City"/>
    <s v="Both"/>
    <x v="25"/>
    <n v="2013"/>
  </r>
  <r>
    <n v="631"/>
    <n v="5"/>
    <n v="7"/>
    <x v="353"/>
    <n v="70"/>
    <n v="38"/>
    <n v="0"/>
    <n v="2660"/>
    <s v="Rags to Riches"/>
    <s v="Las Vegas"/>
    <s v="Female"/>
    <x v="8"/>
    <n v="2013"/>
  </r>
  <r>
    <n v="632"/>
    <n v="3"/>
    <n v="2"/>
    <x v="354"/>
    <n v="43"/>
    <n v="30"/>
    <n v="5.0000001000000002E-2"/>
    <n v="1225.49999871"/>
    <s v="Shirts R Us"/>
    <s v="Los Angeles"/>
    <s v="Both"/>
    <x v="9"/>
    <n v="2013"/>
  </r>
  <r>
    <n v="633"/>
    <n v="2"/>
    <n v="4"/>
    <x v="355"/>
    <n v="83"/>
    <n v="30"/>
    <n v="5.0000001000000002E-2"/>
    <n v="2365.49999751"/>
    <s v="A Shirts Life"/>
    <s v="Portland"/>
    <s v="Both"/>
    <x v="10"/>
    <n v="2013"/>
  </r>
  <r>
    <n v="634"/>
    <n v="5"/>
    <n v="7"/>
    <x v="355"/>
    <n v="130"/>
    <n v="38"/>
    <n v="0"/>
    <n v="4940"/>
    <s v="Rags to Riches"/>
    <s v="Las Vegas"/>
    <s v="Female"/>
    <x v="10"/>
    <n v="2013"/>
  </r>
  <r>
    <n v="635"/>
    <n v="3"/>
    <n v="7"/>
    <x v="356"/>
    <n v="85"/>
    <n v="38"/>
    <n v="0"/>
    <n v="3230"/>
    <s v="Shirts R Us"/>
    <s v="Los Angeles"/>
    <s v="Female"/>
    <x v="26"/>
    <n v="2013"/>
  </r>
  <r>
    <n v="636"/>
    <n v="2"/>
    <n v="10"/>
    <x v="357"/>
    <n v="149"/>
    <n v="35"/>
    <n v="0"/>
    <n v="5215"/>
    <s v="A Shirts Life"/>
    <s v="Portland"/>
    <s v="Male"/>
    <x v="11"/>
    <n v="2013"/>
  </r>
  <r>
    <n v="637"/>
    <n v="5"/>
    <n v="8"/>
    <x v="358"/>
    <n v="122"/>
    <n v="27"/>
    <n v="0"/>
    <n v="3294"/>
    <s v="Rags to Riches"/>
    <s v="Las Vegas"/>
    <s v="Female"/>
    <x v="12"/>
    <n v="2013"/>
  </r>
  <r>
    <n v="638"/>
    <n v="7"/>
    <n v="5"/>
    <x v="358"/>
    <n v="125"/>
    <n v="16"/>
    <n v="0"/>
    <n v="2000"/>
    <s v="The Shirt on Your Back"/>
    <s v="Bonners Ferry"/>
    <s v="Female"/>
    <x v="12"/>
    <n v="2013"/>
  </r>
  <r>
    <n v="639"/>
    <n v="1"/>
    <n v="7"/>
    <x v="359"/>
    <n v="115"/>
    <n v="38"/>
    <n v="0.10000000100000001"/>
    <n v="3932.9999956299998"/>
    <s v="Threads"/>
    <s v="Seattle"/>
    <s v="Female"/>
    <x v="13"/>
    <n v="2013"/>
  </r>
  <r>
    <n v="640"/>
    <n v="6"/>
    <n v="9"/>
    <x v="359"/>
    <n v="86"/>
    <n v="25"/>
    <n v="0"/>
    <n v="2150"/>
    <s v="Abracadaba Ink"/>
    <s v="Salt Lake City"/>
    <s v="Male"/>
    <x v="13"/>
    <n v="2013"/>
  </r>
  <r>
    <n v="641"/>
    <n v="2"/>
    <n v="5"/>
    <x v="360"/>
    <n v="98"/>
    <n v="16"/>
    <n v="0"/>
    <n v="1568"/>
    <s v="A Shirts Life"/>
    <s v="Portland"/>
    <s v="Female"/>
    <x v="14"/>
    <n v="2013"/>
  </r>
  <r>
    <n v="642"/>
    <n v="4"/>
    <n v="7"/>
    <x v="360"/>
    <n v="95"/>
    <n v="38"/>
    <n v="0.10000000100000001"/>
    <n v="3248.99999639"/>
    <s v="Tshirt Unlimited"/>
    <s v="Phoenix"/>
    <s v="Female"/>
    <x v="14"/>
    <n v="2013"/>
  </r>
  <r>
    <n v="643"/>
    <n v="3"/>
    <n v="8"/>
    <x v="361"/>
    <n v="54"/>
    <n v="27"/>
    <n v="0"/>
    <n v="1458"/>
    <s v="Shirts R Us"/>
    <s v="Los Angeles"/>
    <s v="Female"/>
    <x v="15"/>
    <n v="2013"/>
  </r>
  <r>
    <n v="644"/>
    <n v="1"/>
    <n v="5"/>
    <x v="362"/>
    <n v="109"/>
    <n v="16"/>
    <n v="0"/>
    <n v="1744"/>
    <s v="Threads"/>
    <s v="Seattle"/>
    <s v="Female"/>
    <x v="16"/>
    <n v="2013"/>
  </r>
  <r>
    <n v="645"/>
    <n v="3"/>
    <n v="1"/>
    <x v="362"/>
    <n v="57"/>
    <n v="20"/>
    <n v="0"/>
    <n v="1140"/>
    <s v="Shirts R Us"/>
    <s v="Los Angeles"/>
    <s v="Both"/>
    <x v="16"/>
    <n v="2013"/>
  </r>
  <r>
    <n v="646"/>
    <n v="1"/>
    <n v="10"/>
    <x v="363"/>
    <n v="111"/>
    <n v="35"/>
    <n v="0.10000000100000001"/>
    <n v="3496.4999961150002"/>
    <s v="Threads"/>
    <s v="Seattle"/>
    <s v="Male"/>
    <x v="19"/>
    <n v="2013"/>
  </r>
  <r>
    <n v="647"/>
    <n v="6"/>
    <n v="5"/>
    <x v="363"/>
    <n v="32"/>
    <n v="16"/>
    <n v="0.10000000100000001"/>
    <n v="460.79999948800003"/>
    <s v="Abracadaba Ink"/>
    <s v="Salt Lake City"/>
    <s v="Female"/>
    <x v="19"/>
    <n v="2013"/>
  </r>
  <r>
    <n v="648"/>
    <n v="1"/>
    <n v="6"/>
    <x v="364"/>
    <n v="140"/>
    <n v="28"/>
    <n v="0"/>
    <n v="3920"/>
    <s v="Threads"/>
    <s v="Seattle"/>
    <s v="Female"/>
    <x v="21"/>
    <n v="2013"/>
  </r>
  <r>
    <n v="649"/>
    <n v="2"/>
    <n v="6"/>
    <x v="364"/>
    <n v="117"/>
    <n v="28"/>
    <n v="0"/>
    <n v="3276"/>
    <s v="A Shirts Life"/>
    <s v="Portland"/>
    <s v="Female"/>
    <x v="21"/>
    <n v="2013"/>
  </r>
  <r>
    <n v="650"/>
    <n v="2"/>
    <n v="5"/>
    <x v="365"/>
    <n v="128"/>
    <n v="16"/>
    <n v="0.10000000100000001"/>
    <n v="1843.1999979520001"/>
    <s v="A Shirts Life"/>
    <s v="Portland"/>
    <s v="Female"/>
    <x v="23"/>
    <n v="2013"/>
  </r>
  <r>
    <n v="651"/>
    <n v="4"/>
    <n v="2"/>
    <x v="366"/>
    <n v="104"/>
    <n v="30"/>
    <n v="0"/>
    <n v="3120"/>
    <s v="Tshirt Unlimited"/>
    <s v="Phoenix"/>
    <s v="Both"/>
    <x v="2"/>
    <n v="2013"/>
  </r>
  <r>
    <n v="652"/>
    <n v="3"/>
    <n v="5"/>
    <x v="367"/>
    <n v="90"/>
    <n v="16"/>
    <n v="0"/>
    <n v="1440"/>
    <s v="Shirts R Us"/>
    <s v="Los Angeles"/>
    <s v="Female"/>
    <x v="4"/>
    <n v="2013"/>
  </r>
  <r>
    <n v="653"/>
    <n v="3"/>
    <n v="10"/>
    <x v="367"/>
    <n v="133"/>
    <n v="35"/>
    <n v="0.10000000100000001"/>
    <n v="4189.4999953449997"/>
    <s v="Shirts R Us"/>
    <s v="Los Angeles"/>
    <s v="Male"/>
    <x v="4"/>
    <n v="2013"/>
  </r>
  <r>
    <n v="654"/>
    <n v="3"/>
    <n v="4"/>
    <x v="368"/>
    <n v="126"/>
    <n v="30"/>
    <n v="0"/>
    <n v="3780"/>
    <s v="Shirts R Us"/>
    <s v="Los Angeles"/>
    <s v="Both"/>
    <x v="5"/>
    <n v="2013"/>
  </r>
  <r>
    <n v="655"/>
    <n v="2"/>
    <n v="3"/>
    <x v="369"/>
    <n v="113"/>
    <n v="22"/>
    <n v="0.10000000100000001"/>
    <n v="2237.399997514"/>
    <s v="A Shirts Life"/>
    <s v="Portland"/>
    <s v="Both"/>
    <x v="6"/>
    <n v="2013"/>
  </r>
  <r>
    <n v="656"/>
    <n v="5"/>
    <n v="4"/>
    <x v="370"/>
    <n v="103"/>
    <n v="30"/>
    <n v="0"/>
    <n v="3090"/>
    <s v="Rags to Riches"/>
    <s v="Las Vegas"/>
    <s v="Both"/>
    <x v="30"/>
    <n v="2013"/>
  </r>
  <r>
    <n v="657"/>
    <n v="6"/>
    <n v="7"/>
    <x v="371"/>
    <n v="34"/>
    <n v="38"/>
    <n v="0"/>
    <n v="1292"/>
    <s v="Abracadaba Ink"/>
    <s v="Salt Lake City"/>
    <s v="Female"/>
    <x v="7"/>
    <n v="2013"/>
  </r>
  <r>
    <n v="658"/>
    <n v="4"/>
    <n v="6"/>
    <x v="372"/>
    <n v="128"/>
    <n v="28"/>
    <n v="0.15000000599999999"/>
    <n v="3046.3999784960001"/>
    <s v="Tshirt Unlimited"/>
    <s v="Phoenix"/>
    <s v="Female"/>
    <x v="8"/>
    <n v="2013"/>
  </r>
  <r>
    <n v="659"/>
    <n v="7"/>
    <n v="6"/>
    <x v="372"/>
    <n v="130"/>
    <n v="28"/>
    <n v="0"/>
    <n v="3640"/>
    <s v="The Shirt on Your Back"/>
    <s v="Bonners Ferry"/>
    <s v="Female"/>
    <x v="8"/>
    <n v="2013"/>
  </r>
  <r>
    <n v="660"/>
    <n v="2"/>
    <n v="6"/>
    <x v="373"/>
    <n v="93"/>
    <n v="28"/>
    <n v="0.10000000100000001"/>
    <n v="2343.5999973960002"/>
    <s v="A Shirts Life"/>
    <s v="Portland"/>
    <s v="Female"/>
    <x v="26"/>
    <n v="2013"/>
  </r>
  <r>
    <n v="661"/>
    <n v="6"/>
    <n v="7"/>
    <x v="373"/>
    <n v="138"/>
    <n v="38"/>
    <n v="5.0000001000000002E-2"/>
    <n v="4981.7999947560002"/>
    <s v="Abracadaba Ink"/>
    <s v="Salt Lake City"/>
    <s v="Female"/>
    <x v="26"/>
    <n v="2013"/>
  </r>
  <r>
    <n v="662"/>
    <n v="1"/>
    <n v="1"/>
    <x v="374"/>
    <n v="145"/>
    <n v="20"/>
    <n v="0"/>
    <n v="2900"/>
    <s v="Threads"/>
    <s v="Seattle"/>
    <s v="Both"/>
    <x v="11"/>
    <n v="2013"/>
  </r>
  <r>
    <n v="663"/>
    <n v="4"/>
    <n v="1"/>
    <x v="374"/>
    <n v="127"/>
    <n v="20"/>
    <n v="0"/>
    <n v="2540"/>
    <s v="Tshirt Unlimited"/>
    <s v="Phoenix"/>
    <s v="Both"/>
    <x v="11"/>
    <n v="2013"/>
  </r>
  <r>
    <n v="664"/>
    <n v="7"/>
    <n v="3"/>
    <x v="374"/>
    <n v="110"/>
    <n v="22"/>
    <n v="0"/>
    <n v="2420"/>
    <s v="The Shirt on Your Back"/>
    <s v="Bonners Ferry"/>
    <s v="Both"/>
    <x v="11"/>
    <n v="2013"/>
  </r>
  <r>
    <n v="665"/>
    <n v="6"/>
    <n v="8"/>
    <x v="375"/>
    <n v="67"/>
    <n v="27"/>
    <n v="0.10000000100000001"/>
    <n v="1628.0999981909999"/>
    <s v="Abracadaba Ink"/>
    <s v="Salt Lake City"/>
    <s v="Female"/>
    <x v="12"/>
    <n v="2013"/>
  </r>
  <r>
    <n v="666"/>
    <n v="2"/>
    <n v="7"/>
    <x v="376"/>
    <n v="58"/>
    <n v="38"/>
    <n v="0"/>
    <n v="2204"/>
    <s v="A Shirts Life"/>
    <s v="Portland"/>
    <s v="Female"/>
    <x v="13"/>
    <n v="2013"/>
  </r>
  <r>
    <n v="667"/>
    <n v="5"/>
    <n v="6"/>
    <x v="376"/>
    <n v="132"/>
    <n v="28"/>
    <n v="0"/>
    <n v="3696"/>
    <s v="Rags to Riches"/>
    <s v="Las Vegas"/>
    <s v="Female"/>
    <x v="13"/>
    <n v="2013"/>
  </r>
  <r>
    <n v="668"/>
    <n v="5"/>
    <n v="10"/>
    <x v="376"/>
    <n v="51"/>
    <n v="35"/>
    <n v="0"/>
    <n v="1785"/>
    <s v="Rags to Riches"/>
    <s v="Las Vegas"/>
    <s v="Male"/>
    <x v="13"/>
    <n v="2013"/>
  </r>
  <r>
    <n v="669"/>
    <n v="7"/>
    <n v="2"/>
    <x v="377"/>
    <n v="81"/>
    <n v="30"/>
    <n v="0"/>
    <n v="2430"/>
    <s v="The Shirt on Your Back"/>
    <s v="Bonners Ferry"/>
    <s v="Both"/>
    <x v="27"/>
    <n v="2013"/>
  </r>
  <r>
    <n v="670"/>
    <n v="5"/>
    <n v="1"/>
    <x v="378"/>
    <n v="132"/>
    <n v="20"/>
    <n v="0"/>
    <n v="2640"/>
    <s v="Rags to Riches"/>
    <s v="Las Vegas"/>
    <s v="Both"/>
    <x v="14"/>
    <n v="2013"/>
  </r>
  <r>
    <n v="671"/>
    <n v="6"/>
    <n v="6"/>
    <x v="378"/>
    <n v="76"/>
    <n v="28"/>
    <n v="0"/>
    <n v="2128"/>
    <s v="Abracadaba Ink"/>
    <s v="Salt Lake City"/>
    <s v="Female"/>
    <x v="14"/>
    <n v="2013"/>
  </r>
  <r>
    <n v="672"/>
    <n v="7"/>
    <n v="5"/>
    <x v="378"/>
    <n v="130"/>
    <n v="16"/>
    <n v="0"/>
    <n v="2080"/>
    <s v="The Shirt on Your Back"/>
    <s v="Bonners Ferry"/>
    <s v="Female"/>
    <x v="14"/>
    <n v="2013"/>
  </r>
  <r>
    <n v="673"/>
    <n v="2"/>
    <n v="2"/>
    <x v="379"/>
    <n v="96"/>
    <n v="30"/>
    <n v="0"/>
    <n v="2880"/>
    <s v="A Shirts Life"/>
    <s v="Portland"/>
    <s v="Both"/>
    <x v="15"/>
    <n v="2013"/>
  </r>
  <r>
    <n v="674"/>
    <n v="5"/>
    <n v="6"/>
    <x v="379"/>
    <n v="69"/>
    <n v="28"/>
    <n v="0"/>
    <n v="1932"/>
    <s v="Rags to Riches"/>
    <s v="Las Vegas"/>
    <s v="Female"/>
    <x v="15"/>
    <n v="2013"/>
  </r>
  <r>
    <n v="675"/>
    <n v="6"/>
    <n v="1"/>
    <x v="380"/>
    <n v="108"/>
    <n v="20"/>
    <n v="5.0000001000000002E-2"/>
    <n v="2051.9999978400001"/>
    <s v="Abracadaba Ink"/>
    <s v="Salt Lake City"/>
    <s v="Both"/>
    <x v="16"/>
    <n v="2013"/>
  </r>
  <r>
    <n v="676"/>
    <n v="4"/>
    <n v="7"/>
    <x v="381"/>
    <n v="71"/>
    <n v="38"/>
    <n v="0"/>
    <n v="2698"/>
    <s v="Tshirt Unlimited"/>
    <s v="Phoenix"/>
    <s v="Female"/>
    <x v="18"/>
    <n v="2013"/>
  </r>
  <r>
    <n v="677"/>
    <n v="6"/>
    <n v="6"/>
    <x v="381"/>
    <n v="75"/>
    <n v="28"/>
    <n v="0"/>
    <n v="2100"/>
    <s v="Abracadaba Ink"/>
    <s v="Salt Lake City"/>
    <s v="Female"/>
    <x v="18"/>
    <n v="2013"/>
  </r>
  <r>
    <n v="678"/>
    <n v="6"/>
    <n v="8"/>
    <x v="381"/>
    <n v="27"/>
    <n v="27"/>
    <n v="0"/>
    <n v="729"/>
    <s v="Abracadaba Ink"/>
    <s v="Salt Lake City"/>
    <s v="Female"/>
    <x v="18"/>
    <n v="2013"/>
  </r>
  <r>
    <n v="679"/>
    <n v="5"/>
    <n v="4"/>
    <x v="382"/>
    <n v="63"/>
    <n v="30"/>
    <n v="0"/>
    <n v="1890"/>
    <s v="Rags to Riches"/>
    <s v="Las Vegas"/>
    <s v="Both"/>
    <x v="21"/>
    <n v="2013"/>
  </r>
  <r>
    <n v="680"/>
    <n v="5"/>
    <n v="6"/>
    <x v="382"/>
    <n v="27"/>
    <n v="28"/>
    <n v="0.15000000599999999"/>
    <n v="642.59999546400002"/>
    <s v="Rags to Riches"/>
    <s v="Las Vegas"/>
    <s v="Female"/>
    <x v="21"/>
    <n v="2013"/>
  </r>
  <r>
    <n v="681"/>
    <n v="7"/>
    <n v="7"/>
    <x v="383"/>
    <n v="47"/>
    <n v="38"/>
    <n v="0"/>
    <n v="1786"/>
    <s v="The Shirt on Your Back"/>
    <s v="Bonners Ferry"/>
    <s v="Female"/>
    <x v="22"/>
    <n v="2013"/>
  </r>
  <r>
    <n v="682"/>
    <n v="3"/>
    <n v="2"/>
    <x v="384"/>
    <n v="56"/>
    <n v="30"/>
    <n v="0.10000000100000001"/>
    <n v="1511.99999832"/>
    <s v="Shirts R Us"/>
    <s v="Los Angeles"/>
    <s v="Both"/>
    <x v="0"/>
    <n v="2013"/>
  </r>
  <r>
    <n v="683"/>
    <n v="3"/>
    <n v="3"/>
    <x v="385"/>
    <n v="149"/>
    <n v="22"/>
    <n v="0"/>
    <n v="3278"/>
    <s v="Shirts R Us"/>
    <s v="Los Angeles"/>
    <s v="Both"/>
    <x v="1"/>
    <n v="2013"/>
  </r>
  <r>
    <n v="684"/>
    <n v="4"/>
    <n v="9"/>
    <x v="386"/>
    <n v="59"/>
    <n v="25"/>
    <n v="0"/>
    <n v="1475"/>
    <s v="Tshirt Unlimited"/>
    <s v="Phoenix"/>
    <s v="Male"/>
    <x v="23"/>
    <n v="2013"/>
  </r>
  <r>
    <n v="685"/>
    <n v="2"/>
    <n v="10"/>
    <x v="387"/>
    <n v="30"/>
    <n v="35"/>
    <n v="0"/>
    <n v="1050"/>
    <s v="A Shirts Life"/>
    <s v="Portland"/>
    <s v="Male"/>
    <x v="24"/>
    <n v="2013"/>
  </r>
  <r>
    <n v="686"/>
    <n v="5"/>
    <n v="1"/>
    <x v="387"/>
    <n v="132"/>
    <n v="20"/>
    <n v="0"/>
    <n v="2640"/>
    <s v="Rags to Riches"/>
    <s v="Las Vegas"/>
    <s v="Both"/>
    <x v="24"/>
    <n v="2013"/>
  </r>
  <r>
    <n v="687"/>
    <n v="1"/>
    <n v="1"/>
    <x v="388"/>
    <n v="33"/>
    <n v="20"/>
    <n v="0"/>
    <n v="660"/>
    <s v="Threads"/>
    <s v="Seattle"/>
    <s v="Both"/>
    <x v="3"/>
    <n v="2013"/>
  </r>
  <r>
    <n v="688"/>
    <n v="3"/>
    <n v="3"/>
    <x v="388"/>
    <n v="127"/>
    <n v="22"/>
    <n v="0"/>
    <n v="2794"/>
    <s v="Shirts R Us"/>
    <s v="Los Angeles"/>
    <s v="Both"/>
    <x v="3"/>
    <n v="2013"/>
  </r>
  <r>
    <n v="689"/>
    <n v="5"/>
    <n v="8"/>
    <x v="388"/>
    <n v="107"/>
    <n v="27"/>
    <n v="0"/>
    <n v="2889"/>
    <s v="Rags to Riches"/>
    <s v="Las Vegas"/>
    <s v="Female"/>
    <x v="3"/>
    <n v="2013"/>
  </r>
  <r>
    <n v="690"/>
    <n v="1"/>
    <n v="3"/>
    <x v="389"/>
    <n v="27"/>
    <n v="22"/>
    <n v="0"/>
    <n v="594"/>
    <s v="Threads"/>
    <s v="Seattle"/>
    <s v="Both"/>
    <x v="4"/>
    <n v="2013"/>
  </r>
  <r>
    <n v="691"/>
    <n v="3"/>
    <n v="7"/>
    <x v="389"/>
    <n v="74"/>
    <n v="38"/>
    <n v="0"/>
    <n v="2812"/>
    <s v="Shirts R Us"/>
    <s v="Los Angeles"/>
    <s v="Female"/>
    <x v="4"/>
    <n v="2013"/>
  </r>
  <r>
    <n v="692"/>
    <n v="5"/>
    <n v="3"/>
    <x v="390"/>
    <n v="98"/>
    <n v="22"/>
    <n v="5.0000001000000002E-2"/>
    <n v="2048.1999978439999"/>
    <s v="Rags to Riches"/>
    <s v="Las Vegas"/>
    <s v="Both"/>
    <x v="5"/>
    <n v="2013"/>
  </r>
  <r>
    <n v="693"/>
    <n v="5"/>
    <n v="8"/>
    <x v="391"/>
    <n v="89"/>
    <n v="27"/>
    <n v="0"/>
    <n v="2403"/>
    <s v="Rags to Riches"/>
    <s v="Las Vegas"/>
    <s v="Female"/>
    <x v="8"/>
    <n v="2013"/>
  </r>
  <r>
    <n v="694"/>
    <n v="7"/>
    <n v="5"/>
    <x v="392"/>
    <n v="35"/>
    <n v="16"/>
    <n v="0"/>
    <n v="560"/>
    <s v="The Shirt on Your Back"/>
    <s v="Bonners Ferry"/>
    <s v="Female"/>
    <x v="9"/>
    <n v="2013"/>
  </r>
  <r>
    <n v="695"/>
    <n v="4"/>
    <n v="8"/>
    <x v="393"/>
    <n v="90"/>
    <n v="27"/>
    <n v="0"/>
    <n v="2430"/>
    <s v="Tshirt Unlimited"/>
    <s v="Phoenix"/>
    <s v="Female"/>
    <x v="26"/>
    <n v="2013"/>
  </r>
  <r>
    <n v="696"/>
    <n v="5"/>
    <n v="8"/>
    <x v="393"/>
    <n v="55"/>
    <n v="27"/>
    <n v="0"/>
    <n v="1485"/>
    <s v="Rags to Riches"/>
    <s v="Las Vegas"/>
    <s v="Female"/>
    <x v="26"/>
    <n v="2013"/>
  </r>
  <r>
    <n v="697"/>
    <n v="6"/>
    <n v="4"/>
    <x v="393"/>
    <n v="52"/>
    <n v="30"/>
    <n v="0"/>
    <n v="1560"/>
    <s v="Abracadaba Ink"/>
    <s v="Salt Lake City"/>
    <s v="Both"/>
    <x v="26"/>
    <n v="2013"/>
  </r>
  <r>
    <n v="698"/>
    <n v="4"/>
    <n v="1"/>
    <x v="394"/>
    <n v="86"/>
    <n v="20"/>
    <n v="5.0000001000000002E-2"/>
    <n v="1633.99999828"/>
    <s v="Tshirt Unlimited"/>
    <s v="Phoenix"/>
    <s v="Both"/>
    <x v="11"/>
    <n v="2013"/>
  </r>
  <r>
    <n v="699"/>
    <n v="7"/>
    <n v="1"/>
    <x v="394"/>
    <n v="64"/>
    <n v="20"/>
    <n v="0"/>
    <n v="1280"/>
    <s v="The Shirt on Your Back"/>
    <s v="Bonners Ferry"/>
    <s v="Both"/>
    <x v="11"/>
    <n v="2013"/>
  </r>
  <r>
    <n v="700"/>
    <n v="5"/>
    <n v="4"/>
    <x v="395"/>
    <n v="57"/>
    <n v="30"/>
    <n v="0"/>
    <n v="1710"/>
    <s v="Rags to Riches"/>
    <s v="Las Vegas"/>
    <s v="Both"/>
    <x v="13"/>
    <n v="2013"/>
  </r>
  <r>
    <n v="701"/>
    <n v="6"/>
    <n v="2"/>
    <x v="395"/>
    <n v="127"/>
    <n v="30"/>
    <n v="0"/>
    <n v="3810"/>
    <s v="Abracadaba Ink"/>
    <s v="Salt Lake City"/>
    <s v="Both"/>
    <x v="13"/>
    <n v="2013"/>
  </r>
  <r>
    <n v="702"/>
    <n v="1"/>
    <n v="10"/>
    <x v="396"/>
    <n v="58"/>
    <n v="35"/>
    <n v="0"/>
    <n v="2030"/>
    <s v="Threads"/>
    <s v="Seattle"/>
    <s v="Male"/>
    <x v="27"/>
    <n v="2013"/>
  </r>
  <r>
    <n v="703"/>
    <n v="4"/>
    <n v="1"/>
    <x v="396"/>
    <n v="51"/>
    <n v="20"/>
    <n v="0"/>
    <n v="1020"/>
    <s v="Tshirt Unlimited"/>
    <s v="Phoenix"/>
    <s v="Both"/>
    <x v="27"/>
    <n v="2013"/>
  </r>
  <r>
    <n v="704"/>
    <n v="4"/>
    <n v="9"/>
    <x v="397"/>
    <n v="113"/>
    <n v="25"/>
    <n v="0"/>
    <n v="2825"/>
    <s v="Tshirt Unlimited"/>
    <s v="Phoenix"/>
    <s v="Male"/>
    <x v="14"/>
    <n v="2013"/>
  </r>
  <r>
    <n v="705"/>
    <n v="7"/>
    <n v="3"/>
    <x v="397"/>
    <n v="50"/>
    <n v="22"/>
    <n v="0"/>
    <n v="1100"/>
    <s v="The Shirt on Your Back"/>
    <s v="Bonners Ferry"/>
    <s v="Both"/>
    <x v="14"/>
    <n v="2013"/>
  </r>
  <r>
    <n v="706"/>
    <n v="5"/>
    <n v="1"/>
    <x v="398"/>
    <n v="130"/>
    <n v="20"/>
    <n v="0"/>
    <n v="2600"/>
    <s v="Rags to Riches"/>
    <s v="Las Vegas"/>
    <s v="Both"/>
    <x v="16"/>
    <n v="2013"/>
  </r>
  <r>
    <n v="707"/>
    <n v="4"/>
    <n v="5"/>
    <x v="399"/>
    <n v="128"/>
    <n v="16"/>
    <n v="0"/>
    <n v="2048"/>
    <s v="Tshirt Unlimited"/>
    <s v="Phoenix"/>
    <s v="Female"/>
    <x v="17"/>
    <n v="2013"/>
  </r>
  <r>
    <n v="708"/>
    <n v="2"/>
    <n v="9"/>
    <x v="400"/>
    <n v="113"/>
    <n v="25"/>
    <n v="0.10000000100000001"/>
    <n v="2542.4999971749999"/>
    <s v="A Shirts Life"/>
    <s v="Portland"/>
    <s v="Male"/>
    <x v="18"/>
    <n v="2013"/>
  </r>
  <r>
    <n v="709"/>
    <n v="4"/>
    <n v="5"/>
    <x v="400"/>
    <n v="63"/>
    <n v="16"/>
    <n v="0"/>
    <n v="1008"/>
    <s v="Tshirt Unlimited"/>
    <s v="Phoenix"/>
    <s v="Female"/>
    <x v="18"/>
    <n v="2013"/>
  </r>
  <r>
    <n v="710"/>
    <n v="4"/>
    <n v="4"/>
    <x v="401"/>
    <n v="32"/>
    <n v="30"/>
    <n v="0"/>
    <n v="960"/>
    <s v="Tshirt Unlimited"/>
    <s v="Phoenix"/>
    <s v="Both"/>
    <x v="20"/>
    <n v="2013"/>
  </r>
  <r>
    <n v="711"/>
    <n v="3"/>
    <n v="10"/>
    <x v="402"/>
    <n v="88"/>
    <n v="35"/>
    <n v="0"/>
    <n v="3080"/>
    <s v="Shirts R Us"/>
    <s v="Los Angeles"/>
    <s v="Male"/>
    <x v="21"/>
    <n v="2013"/>
  </r>
  <r>
    <n v="712"/>
    <n v="7"/>
    <n v="8"/>
    <x v="402"/>
    <n v="51"/>
    <n v="27"/>
    <n v="0"/>
    <n v="1377"/>
    <s v="The Shirt on Your Back"/>
    <s v="Bonners Ferry"/>
    <s v="Female"/>
    <x v="21"/>
    <n v="2013"/>
  </r>
  <r>
    <n v="713"/>
    <n v="2"/>
    <n v="9"/>
    <x v="403"/>
    <n v="114"/>
    <n v="25"/>
    <n v="0"/>
    <n v="2850"/>
    <s v="A Shirts Life"/>
    <s v="Portland"/>
    <s v="Male"/>
    <x v="28"/>
    <n v="2013"/>
  </r>
  <r>
    <n v="714"/>
    <n v="3"/>
    <n v="1"/>
    <x v="404"/>
    <n v="147"/>
    <n v="20"/>
    <n v="0"/>
    <n v="2940"/>
    <s v="Shirts R Us"/>
    <s v="Los Angeles"/>
    <s v="Both"/>
    <x v="0"/>
    <n v="2013"/>
  </r>
  <r>
    <n v="715"/>
    <n v="5"/>
    <n v="8"/>
    <x v="404"/>
    <n v="89"/>
    <n v="27"/>
    <n v="0"/>
    <n v="2403"/>
    <s v="Rags to Riches"/>
    <s v="Las Vegas"/>
    <s v="Female"/>
    <x v="0"/>
    <n v="2013"/>
  </r>
  <r>
    <n v="716"/>
    <n v="4"/>
    <n v="8"/>
    <x v="405"/>
    <n v="77"/>
    <n v="27"/>
    <n v="0"/>
    <n v="2079"/>
    <s v="Tshirt Unlimited"/>
    <s v="Phoenix"/>
    <s v="Female"/>
    <x v="1"/>
    <n v="2013"/>
  </r>
  <r>
    <n v="717"/>
    <n v="5"/>
    <n v="3"/>
    <x v="406"/>
    <n v="46"/>
    <n v="22"/>
    <n v="0"/>
    <n v="1012"/>
    <s v="Rags to Riches"/>
    <s v="Las Vegas"/>
    <s v="Both"/>
    <x v="23"/>
    <n v="2013"/>
  </r>
  <r>
    <n v="718"/>
    <n v="4"/>
    <n v="10"/>
    <x v="407"/>
    <n v="136"/>
    <n v="35"/>
    <n v="0"/>
    <n v="4760"/>
    <s v="Tshirt Unlimited"/>
    <s v="Phoenix"/>
    <s v="Male"/>
    <x v="2"/>
    <n v="2013"/>
  </r>
  <r>
    <n v="719"/>
    <n v="5"/>
    <n v="9"/>
    <x v="407"/>
    <n v="65"/>
    <n v="25"/>
    <n v="0"/>
    <n v="1625"/>
    <s v="Rags to Riches"/>
    <s v="Las Vegas"/>
    <s v="Male"/>
    <x v="2"/>
    <n v="2013"/>
  </r>
  <r>
    <n v="720"/>
    <n v="1"/>
    <n v="7"/>
    <x v="408"/>
    <n v="109"/>
    <n v="38"/>
    <n v="0"/>
    <n v="4142"/>
    <s v="Threads"/>
    <s v="Seattle"/>
    <s v="Female"/>
    <x v="24"/>
    <n v="2013"/>
  </r>
  <r>
    <n v="721"/>
    <n v="1"/>
    <n v="10"/>
    <x v="408"/>
    <n v="126"/>
    <n v="35"/>
    <n v="0"/>
    <n v="4410"/>
    <s v="Threads"/>
    <s v="Seattle"/>
    <s v="Male"/>
    <x v="24"/>
    <n v="2013"/>
  </r>
  <r>
    <n v="722"/>
    <n v="6"/>
    <n v="9"/>
    <x v="408"/>
    <n v="51"/>
    <n v="25"/>
    <n v="5.0000001000000002E-2"/>
    <n v="1211.2499987250001"/>
    <s v="Abracadaba Ink"/>
    <s v="Salt Lake City"/>
    <s v="Male"/>
    <x v="24"/>
    <n v="2013"/>
  </r>
  <r>
    <n v="723"/>
    <n v="3"/>
    <n v="10"/>
    <x v="409"/>
    <n v="26"/>
    <n v="35"/>
    <n v="0"/>
    <n v="910"/>
    <s v="Shirts R Us"/>
    <s v="Los Angeles"/>
    <s v="Male"/>
    <x v="3"/>
    <n v="2013"/>
  </r>
  <r>
    <n v="724"/>
    <n v="4"/>
    <n v="10"/>
    <x v="409"/>
    <n v="137"/>
    <n v="35"/>
    <n v="0"/>
    <n v="4795"/>
    <s v="Tshirt Unlimited"/>
    <s v="Phoenix"/>
    <s v="Male"/>
    <x v="3"/>
    <n v="2013"/>
  </r>
  <r>
    <n v="725"/>
    <n v="6"/>
    <n v="10"/>
    <x v="410"/>
    <n v="121"/>
    <n v="35"/>
    <n v="0"/>
    <n v="4235"/>
    <s v="Abracadaba Ink"/>
    <s v="Salt Lake City"/>
    <s v="Male"/>
    <x v="5"/>
    <n v="2013"/>
  </r>
  <r>
    <n v="726"/>
    <n v="3"/>
    <n v="4"/>
    <x v="411"/>
    <n v="88"/>
    <n v="30"/>
    <n v="5.0000001000000002E-2"/>
    <n v="2507.9999973600002"/>
    <s v="Shirts R Us"/>
    <s v="Los Angeles"/>
    <s v="Both"/>
    <x v="6"/>
    <n v="2013"/>
  </r>
  <r>
    <n v="727"/>
    <n v="7"/>
    <n v="6"/>
    <x v="412"/>
    <n v="118"/>
    <n v="28"/>
    <n v="0"/>
    <n v="3304"/>
    <s v="The Shirt on Your Back"/>
    <s v="Bonners Ferry"/>
    <s v="Female"/>
    <x v="30"/>
    <n v="2013"/>
  </r>
  <r>
    <n v="728"/>
    <n v="2"/>
    <n v="5"/>
    <x v="413"/>
    <n v="51"/>
    <n v="16"/>
    <n v="0"/>
    <n v="816"/>
    <s v="A Shirts Life"/>
    <s v="Portland"/>
    <s v="Female"/>
    <x v="7"/>
    <n v="2013"/>
  </r>
  <r>
    <n v="729"/>
    <n v="6"/>
    <n v="1"/>
    <x v="413"/>
    <n v="68"/>
    <n v="20"/>
    <n v="0"/>
    <n v="1360"/>
    <s v="Abracadaba Ink"/>
    <s v="Salt Lake City"/>
    <s v="Both"/>
    <x v="7"/>
    <n v="2013"/>
  </r>
  <r>
    <n v="730"/>
    <n v="5"/>
    <n v="10"/>
    <x v="414"/>
    <n v="98"/>
    <n v="35"/>
    <n v="0"/>
    <n v="3430"/>
    <s v="Rags to Riches"/>
    <s v="Las Vegas"/>
    <s v="Male"/>
    <x v="25"/>
    <n v="2013"/>
  </r>
  <r>
    <n v="731"/>
    <n v="4"/>
    <n v="4"/>
    <x v="415"/>
    <n v="36"/>
    <n v="30"/>
    <n v="0.10000000100000001"/>
    <n v="971.99999892000005"/>
    <s v="Tshirt Unlimited"/>
    <s v="Phoenix"/>
    <s v="Both"/>
    <x v="8"/>
    <n v="2013"/>
  </r>
  <r>
    <n v="732"/>
    <n v="2"/>
    <n v="3"/>
    <x v="416"/>
    <n v="106"/>
    <n v="22"/>
    <n v="5.0000001000000002E-2"/>
    <n v="2215.3999976680002"/>
    <s v="A Shirts Life"/>
    <s v="Portland"/>
    <s v="Both"/>
    <x v="9"/>
    <n v="2013"/>
  </r>
  <r>
    <n v="733"/>
    <n v="1"/>
    <n v="8"/>
    <x v="417"/>
    <n v="49"/>
    <n v="27"/>
    <n v="0"/>
    <n v="1323"/>
    <s v="Threads"/>
    <s v="Seattle"/>
    <s v="Female"/>
    <x v="10"/>
    <n v="2013"/>
  </r>
  <r>
    <n v="734"/>
    <n v="4"/>
    <n v="2"/>
    <x v="417"/>
    <n v="87"/>
    <n v="30"/>
    <n v="5.0000001000000002E-2"/>
    <n v="2479.4999973899999"/>
    <s v="Tshirt Unlimited"/>
    <s v="Phoenix"/>
    <s v="Both"/>
    <x v="10"/>
    <n v="2013"/>
  </r>
  <r>
    <n v="735"/>
    <n v="5"/>
    <n v="2"/>
    <x v="417"/>
    <n v="142"/>
    <n v="30"/>
    <n v="0"/>
    <n v="4260"/>
    <s v="Rags to Riches"/>
    <s v="Las Vegas"/>
    <s v="Both"/>
    <x v="10"/>
    <n v="2013"/>
  </r>
  <r>
    <n v="736"/>
    <n v="5"/>
    <n v="4"/>
    <x v="417"/>
    <n v="134"/>
    <n v="30"/>
    <n v="0"/>
    <n v="4020"/>
    <s v="Rags to Riches"/>
    <s v="Las Vegas"/>
    <s v="Both"/>
    <x v="10"/>
    <n v="2013"/>
  </r>
  <r>
    <n v="737"/>
    <n v="6"/>
    <n v="9"/>
    <x v="417"/>
    <n v="107"/>
    <n v="25"/>
    <n v="0"/>
    <n v="2675"/>
    <s v="Abracadaba Ink"/>
    <s v="Salt Lake City"/>
    <s v="Male"/>
    <x v="10"/>
    <n v="2013"/>
  </r>
  <r>
    <n v="738"/>
    <n v="3"/>
    <n v="1"/>
    <x v="418"/>
    <n v="105"/>
    <n v="20"/>
    <n v="0"/>
    <n v="2100"/>
    <s v="Shirts R Us"/>
    <s v="Los Angeles"/>
    <s v="Both"/>
    <x v="26"/>
    <n v="2013"/>
  </r>
  <r>
    <n v="739"/>
    <n v="5"/>
    <n v="8"/>
    <x v="418"/>
    <n v="52"/>
    <n v="27"/>
    <n v="0"/>
    <n v="1404"/>
    <s v="Rags to Riches"/>
    <s v="Las Vegas"/>
    <s v="Female"/>
    <x v="26"/>
    <n v="2013"/>
  </r>
  <r>
    <n v="740"/>
    <n v="2"/>
    <n v="4"/>
    <x v="419"/>
    <n v="71"/>
    <n v="30"/>
    <n v="0.10000000100000001"/>
    <n v="1916.99999787"/>
    <s v="A Shirts Life"/>
    <s v="Portland"/>
    <s v="Both"/>
    <x v="11"/>
    <n v="2013"/>
  </r>
  <r>
    <n v="741"/>
    <n v="2"/>
    <n v="2"/>
    <x v="420"/>
    <n v="37"/>
    <n v="30"/>
    <n v="0"/>
    <n v="1110"/>
    <s v="A Shirts Life"/>
    <s v="Portland"/>
    <s v="Both"/>
    <x v="13"/>
    <n v="2013"/>
  </r>
  <r>
    <n v="742"/>
    <n v="7"/>
    <n v="3"/>
    <x v="421"/>
    <n v="92"/>
    <n v="22"/>
    <n v="0"/>
    <n v="2024"/>
    <s v="The Shirt on Your Back"/>
    <s v="Bonners Ferry"/>
    <s v="Both"/>
    <x v="27"/>
    <n v="2013"/>
  </r>
  <r>
    <n v="743"/>
    <n v="1"/>
    <n v="2"/>
    <x v="422"/>
    <n v="98"/>
    <n v="30"/>
    <n v="0"/>
    <n v="2940"/>
    <s v="Threads"/>
    <s v="Seattle"/>
    <s v="Both"/>
    <x v="15"/>
    <n v="2013"/>
  </r>
  <r>
    <n v="744"/>
    <n v="1"/>
    <n v="10"/>
    <x v="423"/>
    <n v="104"/>
    <n v="35"/>
    <n v="0"/>
    <n v="3640"/>
    <s v="Threads"/>
    <s v="Seattle"/>
    <s v="Male"/>
    <x v="18"/>
    <n v="2013"/>
  </r>
  <r>
    <n v="745"/>
    <n v="3"/>
    <n v="3"/>
    <x v="423"/>
    <n v="87"/>
    <n v="22"/>
    <n v="0"/>
    <n v="1914"/>
    <s v="Shirts R Us"/>
    <s v="Los Angeles"/>
    <s v="Both"/>
    <x v="18"/>
    <n v="2013"/>
  </r>
  <r>
    <n v="746"/>
    <n v="1"/>
    <n v="8"/>
    <x v="424"/>
    <n v="132"/>
    <n v="27"/>
    <n v="0"/>
    <n v="3564"/>
    <s v="Threads"/>
    <s v="Seattle"/>
    <s v="Female"/>
    <x v="19"/>
    <n v="2013"/>
  </r>
  <r>
    <n v="747"/>
    <n v="6"/>
    <n v="2"/>
    <x v="424"/>
    <n v="133"/>
    <n v="30"/>
    <n v="0"/>
    <n v="3990"/>
    <s v="Abracadaba Ink"/>
    <s v="Salt Lake City"/>
    <s v="Both"/>
    <x v="19"/>
    <n v="2013"/>
  </r>
  <r>
    <n v="748"/>
    <n v="2"/>
    <n v="8"/>
    <x v="425"/>
    <n v="128"/>
    <n v="27"/>
    <n v="0"/>
    <n v="3456"/>
    <s v="A Shirts Life"/>
    <s v="Portland"/>
    <s v="Female"/>
    <x v="20"/>
    <n v="2013"/>
  </r>
  <r>
    <n v="749"/>
    <n v="3"/>
    <n v="7"/>
    <x v="426"/>
    <n v="110"/>
    <n v="38"/>
    <n v="0"/>
    <n v="4180"/>
    <s v="Shirts R Us"/>
    <s v="Los Angeles"/>
    <s v="Female"/>
    <x v="21"/>
    <n v="2013"/>
  </r>
  <r>
    <n v="750"/>
    <n v="5"/>
    <n v="9"/>
    <x v="426"/>
    <n v="95"/>
    <n v="25"/>
    <n v="0"/>
    <n v="2375"/>
    <s v="Rags to Riches"/>
    <s v="Las Vegas"/>
    <s v="Male"/>
    <x v="21"/>
    <n v="2013"/>
  </r>
  <r>
    <n v="751"/>
    <n v="4"/>
    <n v="5"/>
    <x v="427"/>
    <n v="68"/>
    <n v="16"/>
    <n v="0"/>
    <n v="1088"/>
    <s v="Tshirt Unlimited"/>
    <s v="Phoenix"/>
    <s v="Female"/>
    <x v="22"/>
    <n v="2013"/>
  </r>
  <r>
    <n v="752"/>
    <n v="6"/>
    <n v="2"/>
    <x v="427"/>
    <n v="98"/>
    <n v="30"/>
    <n v="0"/>
    <n v="2940"/>
    <s v="Abracadaba Ink"/>
    <s v="Salt Lake City"/>
    <s v="Both"/>
    <x v="22"/>
    <n v="2013"/>
  </r>
  <r>
    <n v="753"/>
    <n v="3"/>
    <n v="1"/>
    <x v="428"/>
    <n v="138"/>
    <n v="20"/>
    <n v="5.0000001000000002E-2"/>
    <n v="2621.9999972400001"/>
    <s v="Shirts R Us"/>
    <s v="Los Angeles"/>
    <s v="Both"/>
    <x v="29"/>
    <n v="2013"/>
  </r>
  <r>
    <n v="754"/>
    <n v="6"/>
    <n v="7"/>
    <x v="429"/>
    <n v="136"/>
    <n v="38"/>
    <n v="0"/>
    <n v="5168"/>
    <s v="Abracadaba Ink"/>
    <s v="Salt Lake City"/>
    <s v="Female"/>
    <x v="28"/>
    <n v="2013"/>
  </r>
  <r>
    <n v="755"/>
    <n v="1"/>
    <n v="1"/>
    <x v="430"/>
    <n v="34"/>
    <n v="20"/>
    <n v="0.15000000599999999"/>
    <n v="577.99999591999995"/>
    <s v="Threads"/>
    <s v="Seattle"/>
    <s v="Both"/>
    <x v="0"/>
    <n v="2013"/>
  </r>
  <r>
    <n v="756"/>
    <n v="1"/>
    <n v="7"/>
    <x v="430"/>
    <n v="135"/>
    <n v="38"/>
    <n v="0"/>
    <n v="5130"/>
    <s v="Threads"/>
    <s v="Seattle"/>
    <s v="Female"/>
    <x v="0"/>
    <n v="2013"/>
  </r>
  <r>
    <n v="757"/>
    <n v="6"/>
    <n v="1"/>
    <x v="430"/>
    <n v="35"/>
    <n v="20"/>
    <n v="0"/>
    <n v="700"/>
    <s v="Abracadaba Ink"/>
    <s v="Salt Lake City"/>
    <s v="Both"/>
    <x v="0"/>
    <n v="2013"/>
  </r>
  <r>
    <n v="758"/>
    <n v="3"/>
    <n v="9"/>
    <x v="431"/>
    <n v="109"/>
    <n v="25"/>
    <n v="0.15000000599999999"/>
    <n v="2316.2499836500001"/>
    <s v="Shirts R Us"/>
    <s v="Los Angeles"/>
    <s v="Male"/>
    <x v="23"/>
    <n v="2013"/>
  </r>
  <r>
    <n v="759"/>
    <n v="2"/>
    <n v="7"/>
    <x v="432"/>
    <n v="72"/>
    <n v="38"/>
    <n v="0"/>
    <n v="2736"/>
    <s v="A Shirts Life"/>
    <s v="Portland"/>
    <s v="Female"/>
    <x v="2"/>
    <n v="2013"/>
  </r>
  <r>
    <n v="760"/>
    <n v="7"/>
    <n v="2"/>
    <x v="432"/>
    <n v="77"/>
    <n v="30"/>
    <n v="0"/>
    <n v="2310"/>
    <s v="The Shirt on Your Back"/>
    <s v="Bonners Ferry"/>
    <s v="Both"/>
    <x v="2"/>
    <n v="2013"/>
  </r>
  <r>
    <n v="761"/>
    <n v="1"/>
    <n v="2"/>
    <x v="433"/>
    <n v="109"/>
    <n v="30"/>
    <n v="0"/>
    <n v="3270"/>
    <s v="Threads"/>
    <s v="Seattle"/>
    <s v="Both"/>
    <x v="3"/>
    <n v="2013"/>
  </r>
  <r>
    <n v="762"/>
    <n v="3"/>
    <n v="7"/>
    <x v="433"/>
    <n v="67"/>
    <n v="38"/>
    <n v="0"/>
    <n v="2546"/>
    <s v="Shirts R Us"/>
    <s v="Los Angeles"/>
    <s v="Female"/>
    <x v="3"/>
    <n v="2013"/>
  </r>
  <r>
    <n v="763"/>
    <n v="7"/>
    <n v="5"/>
    <x v="433"/>
    <n v="56"/>
    <n v="16"/>
    <n v="0"/>
    <n v="896"/>
    <s v="The Shirt on Your Back"/>
    <s v="Bonners Ferry"/>
    <s v="Female"/>
    <x v="3"/>
    <n v="2013"/>
  </r>
  <r>
    <n v="764"/>
    <n v="1"/>
    <n v="8"/>
    <x v="434"/>
    <n v="49"/>
    <n v="27"/>
    <n v="0"/>
    <n v="1323"/>
    <s v="Threads"/>
    <s v="Seattle"/>
    <s v="Female"/>
    <x v="5"/>
    <n v="2013"/>
  </r>
  <r>
    <n v="765"/>
    <n v="4"/>
    <n v="6"/>
    <x v="434"/>
    <n v="127"/>
    <n v="28"/>
    <n v="0"/>
    <n v="3556"/>
    <s v="Tshirt Unlimited"/>
    <s v="Phoenix"/>
    <s v="Female"/>
    <x v="5"/>
    <n v="2013"/>
  </r>
  <r>
    <n v="766"/>
    <n v="4"/>
    <n v="9"/>
    <x v="434"/>
    <n v="127"/>
    <n v="25"/>
    <n v="5.0000001000000002E-2"/>
    <n v="3016.2499968249999"/>
    <s v="Tshirt Unlimited"/>
    <s v="Phoenix"/>
    <s v="Male"/>
    <x v="5"/>
    <n v="2013"/>
  </r>
  <r>
    <n v="767"/>
    <n v="3"/>
    <n v="10"/>
    <x v="435"/>
    <n v="104"/>
    <n v="35"/>
    <n v="0"/>
    <n v="3640"/>
    <s v="Shirts R Us"/>
    <s v="Los Angeles"/>
    <s v="Male"/>
    <x v="6"/>
    <n v="2013"/>
  </r>
  <r>
    <n v="768"/>
    <n v="7"/>
    <n v="5"/>
    <x v="435"/>
    <n v="96"/>
    <n v="16"/>
    <n v="0"/>
    <n v="1536"/>
    <s v="The Shirt on Your Back"/>
    <s v="Bonners Ferry"/>
    <s v="Female"/>
    <x v="6"/>
    <n v="2013"/>
  </r>
  <r>
    <n v="769"/>
    <n v="7"/>
    <n v="6"/>
    <x v="436"/>
    <n v="61"/>
    <n v="28"/>
    <n v="0"/>
    <n v="1708"/>
    <s v="The Shirt on Your Back"/>
    <s v="Bonners Ferry"/>
    <s v="Female"/>
    <x v="30"/>
    <n v="2013"/>
  </r>
  <r>
    <n v="770"/>
    <n v="1"/>
    <n v="5"/>
    <x v="437"/>
    <n v="89"/>
    <n v="16"/>
    <n v="0"/>
    <n v="1424"/>
    <s v="Threads"/>
    <s v="Seattle"/>
    <s v="Female"/>
    <x v="7"/>
    <n v="2013"/>
  </r>
  <r>
    <n v="771"/>
    <n v="7"/>
    <n v="9"/>
    <x v="438"/>
    <n v="78"/>
    <n v="25"/>
    <n v="0"/>
    <n v="1950"/>
    <s v="The Shirt on Your Back"/>
    <s v="Bonners Ferry"/>
    <s v="Male"/>
    <x v="25"/>
    <n v="2013"/>
  </r>
  <r>
    <n v="772"/>
    <n v="2"/>
    <n v="2"/>
    <x v="439"/>
    <n v="64"/>
    <n v="30"/>
    <n v="0"/>
    <n v="1920"/>
    <s v="A Shirts Life"/>
    <s v="Portland"/>
    <s v="Both"/>
    <x v="11"/>
    <n v="2013"/>
  </r>
  <r>
    <n v="773"/>
    <n v="7"/>
    <n v="3"/>
    <x v="439"/>
    <n v="124"/>
    <n v="22"/>
    <n v="0"/>
    <n v="2728"/>
    <s v="The Shirt on Your Back"/>
    <s v="Bonners Ferry"/>
    <s v="Both"/>
    <x v="11"/>
    <n v="2013"/>
  </r>
  <r>
    <n v="774"/>
    <n v="3"/>
    <n v="5"/>
    <x v="440"/>
    <n v="27"/>
    <n v="16"/>
    <n v="0"/>
    <n v="432"/>
    <s v="Shirts R Us"/>
    <s v="Los Angeles"/>
    <s v="Female"/>
    <x v="12"/>
    <n v="2013"/>
  </r>
  <r>
    <n v="775"/>
    <n v="7"/>
    <n v="10"/>
    <x v="440"/>
    <n v="149"/>
    <n v="35"/>
    <n v="0"/>
    <n v="5215"/>
    <s v="The Shirt on Your Back"/>
    <s v="Bonners Ferry"/>
    <s v="Male"/>
    <x v="12"/>
    <n v="2013"/>
  </r>
  <r>
    <n v="776"/>
    <n v="1"/>
    <n v="7"/>
    <x v="441"/>
    <n v="71"/>
    <n v="38"/>
    <n v="0.10000000100000001"/>
    <n v="2428.1999973020002"/>
    <s v="Threads"/>
    <s v="Seattle"/>
    <s v="Female"/>
    <x v="13"/>
    <n v="2013"/>
  </r>
  <r>
    <n v="777"/>
    <n v="6"/>
    <n v="6"/>
    <x v="441"/>
    <n v="101"/>
    <n v="28"/>
    <n v="0"/>
    <n v="2828"/>
    <s v="Abracadaba Ink"/>
    <s v="Salt Lake City"/>
    <s v="Female"/>
    <x v="13"/>
    <n v="2013"/>
  </r>
  <r>
    <n v="778"/>
    <n v="7"/>
    <n v="6"/>
    <x v="441"/>
    <n v="129"/>
    <n v="28"/>
    <n v="0.10000000100000001"/>
    <n v="3250.7999963880002"/>
    <s v="The Shirt on Your Back"/>
    <s v="Bonners Ferry"/>
    <s v="Female"/>
    <x v="13"/>
    <n v="2013"/>
  </r>
  <r>
    <n v="779"/>
    <n v="1"/>
    <n v="3"/>
    <x v="442"/>
    <n v="98"/>
    <n v="22"/>
    <n v="0"/>
    <n v="2156"/>
    <s v="Threads"/>
    <s v="Seattle"/>
    <s v="Both"/>
    <x v="15"/>
    <n v="2013"/>
  </r>
  <r>
    <n v="780"/>
    <n v="7"/>
    <n v="3"/>
    <x v="442"/>
    <n v="139"/>
    <n v="22"/>
    <n v="0"/>
    <n v="3058"/>
    <s v="The Shirt on Your Back"/>
    <s v="Bonners Ferry"/>
    <s v="Both"/>
    <x v="15"/>
    <n v="2013"/>
  </r>
  <r>
    <n v="781"/>
    <n v="1"/>
    <n v="10"/>
    <x v="443"/>
    <n v="125"/>
    <n v="35"/>
    <n v="0"/>
    <n v="4375"/>
    <s v="Threads"/>
    <s v="Seattle"/>
    <s v="Male"/>
    <x v="17"/>
    <n v="2013"/>
  </r>
  <r>
    <n v="782"/>
    <n v="1"/>
    <n v="3"/>
    <x v="444"/>
    <n v="30"/>
    <n v="22"/>
    <n v="0"/>
    <n v="660"/>
    <s v="Threads"/>
    <s v="Seattle"/>
    <s v="Both"/>
    <x v="18"/>
    <n v="2013"/>
  </r>
  <r>
    <n v="783"/>
    <n v="1"/>
    <n v="4"/>
    <x v="444"/>
    <n v="58"/>
    <n v="30"/>
    <n v="0"/>
    <n v="1740"/>
    <s v="Threads"/>
    <s v="Seattle"/>
    <s v="Both"/>
    <x v="18"/>
    <n v="2013"/>
  </r>
  <r>
    <n v="784"/>
    <n v="3"/>
    <n v="2"/>
    <x v="445"/>
    <n v="54"/>
    <n v="30"/>
    <n v="0"/>
    <n v="1620"/>
    <s v="Shirts R Us"/>
    <s v="Los Angeles"/>
    <s v="Both"/>
    <x v="19"/>
    <n v="2013"/>
  </r>
  <r>
    <n v="785"/>
    <n v="4"/>
    <n v="6"/>
    <x v="446"/>
    <n v="72"/>
    <n v="28"/>
    <n v="0"/>
    <n v="2016"/>
    <s v="Tshirt Unlimited"/>
    <s v="Phoenix"/>
    <s v="Female"/>
    <x v="20"/>
    <n v="2013"/>
  </r>
  <r>
    <n v="786"/>
    <n v="5"/>
    <n v="7"/>
    <x v="446"/>
    <n v="28"/>
    <n v="38"/>
    <n v="0.15000000599999999"/>
    <n v="904.39999361600007"/>
    <s v="Rags to Riches"/>
    <s v="Las Vegas"/>
    <s v="Female"/>
    <x v="20"/>
    <n v="2013"/>
  </r>
  <r>
    <n v="787"/>
    <n v="1"/>
    <n v="7"/>
    <x v="447"/>
    <n v="37"/>
    <n v="38"/>
    <n v="0.15000000599999999"/>
    <n v="1195.099991564"/>
    <s v="Threads"/>
    <s v="Seattle"/>
    <s v="Female"/>
    <x v="21"/>
    <n v="2013"/>
  </r>
  <r>
    <n v="788"/>
    <n v="7"/>
    <n v="7"/>
    <x v="447"/>
    <n v="72"/>
    <n v="38"/>
    <n v="0"/>
    <n v="2736"/>
    <s v="The Shirt on Your Back"/>
    <s v="Bonners Ferry"/>
    <s v="Female"/>
    <x v="21"/>
    <n v="2013"/>
  </r>
  <r>
    <n v="789"/>
    <n v="3"/>
    <n v="9"/>
    <x v="448"/>
    <n v="112"/>
    <n v="25"/>
    <n v="0"/>
    <n v="2800"/>
    <s v="Shirts R Us"/>
    <s v="Los Angeles"/>
    <s v="Male"/>
    <x v="22"/>
    <n v="2013"/>
  </r>
  <r>
    <n v="790"/>
    <n v="3"/>
    <n v="3"/>
    <x v="449"/>
    <n v="87"/>
    <n v="22"/>
    <n v="0"/>
    <n v="1914"/>
    <s v="Shirts R Us"/>
    <s v="Los Angeles"/>
    <s v="Both"/>
    <x v="28"/>
    <n v="2013"/>
  </r>
  <r>
    <n v="791"/>
    <n v="6"/>
    <n v="5"/>
    <x v="450"/>
    <n v="33"/>
    <n v="16"/>
    <n v="0"/>
    <n v="528"/>
    <s v="Abracadaba Ink"/>
    <s v="Salt Lake City"/>
    <s v="Female"/>
    <x v="0"/>
    <n v="2013"/>
  </r>
  <r>
    <n v="792"/>
    <n v="2"/>
    <n v="2"/>
    <x v="451"/>
    <n v="56"/>
    <n v="30"/>
    <n v="0"/>
    <n v="1680"/>
    <s v="A Shirts Life"/>
    <s v="Portland"/>
    <s v="Both"/>
    <x v="1"/>
    <n v="2013"/>
  </r>
  <r>
    <n v="793"/>
    <n v="2"/>
    <n v="9"/>
    <x v="451"/>
    <n v="72"/>
    <n v="25"/>
    <n v="0"/>
    <n v="1800"/>
    <s v="A Shirts Life"/>
    <s v="Portland"/>
    <s v="Male"/>
    <x v="1"/>
    <n v="2013"/>
  </r>
  <r>
    <n v="794"/>
    <n v="3"/>
    <n v="2"/>
    <x v="451"/>
    <n v="91"/>
    <n v="30"/>
    <n v="0"/>
    <n v="2730"/>
    <s v="Shirts R Us"/>
    <s v="Los Angeles"/>
    <s v="Both"/>
    <x v="1"/>
    <n v="2013"/>
  </r>
  <r>
    <n v="795"/>
    <n v="6"/>
    <n v="3"/>
    <x v="451"/>
    <n v="103"/>
    <n v="22"/>
    <n v="0"/>
    <n v="2266"/>
    <s v="Abracadaba Ink"/>
    <s v="Salt Lake City"/>
    <s v="Both"/>
    <x v="1"/>
    <n v="2013"/>
  </r>
  <r>
    <n v="796"/>
    <n v="1"/>
    <n v="2"/>
    <x v="452"/>
    <n v="81"/>
    <n v="30"/>
    <n v="0"/>
    <n v="2430"/>
    <s v="Threads"/>
    <s v="Seattle"/>
    <s v="Both"/>
    <x v="24"/>
    <n v="2013"/>
  </r>
  <r>
    <n v="797"/>
    <n v="3"/>
    <n v="7"/>
    <x v="453"/>
    <n v="57"/>
    <n v="38"/>
    <n v="0"/>
    <n v="2166"/>
    <s v="Shirts R Us"/>
    <s v="Los Angeles"/>
    <s v="Female"/>
    <x v="3"/>
    <n v="2013"/>
  </r>
  <r>
    <n v="798"/>
    <n v="6"/>
    <n v="6"/>
    <x v="453"/>
    <n v="91"/>
    <n v="28"/>
    <n v="0"/>
    <n v="2548"/>
    <s v="Abracadaba Ink"/>
    <s v="Salt Lake City"/>
    <s v="Female"/>
    <x v="3"/>
    <n v="2013"/>
  </r>
  <r>
    <n v="799"/>
    <n v="2"/>
    <n v="1"/>
    <x v="454"/>
    <n v="63"/>
    <n v="20"/>
    <n v="0"/>
    <n v="1260"/>
    <s v="A Shirts Life"/>
    <s v="Portland"/>
    <s v="Both"/>
    <x v="4"/>
    <n v="2013"/>
  </r>
  <r>
    <n v="800"/>
    <n v="2"/>
    <n v="3"/>
    <x v="454"/>
    <n v="88"/>
    <n v="22"/>
    <n v="0"/>
    <n v="1936"/>
    <s v="A Shirts Life"/>
    <s v="Portland"/>
    <s v="Both"/>
    <x v="4"/>
    <n v="2013"/>
  </r>
  <r>
    <n v="801"/>
    <n v="2"/>
    <n v="3"/>
    <x v="455"/>
    <n v="108"/>
    <n v="22"/>
    <n v="0"/>
    <n v="2376"/>
    <s v="A Shirts Life"/>
    <s v="Portland"/>
    <s v="Both"/>
    <x v="5"/>
    <n v="2013"/>
  </r>
  <r>
    <n v="802"/>
    <n v="2"/>
    <n v="6"/>
    <x v="455"/>
    <n v="43"/>
    <n v="28"/>
    <n v="0"/>
    <n v="1204"/>
    <s v="A Shirts Life"/>
    <s v="Portland"/>
    <s v="Female"/>
    <x v="5"/>
    <n v="2013"/>
  </r>
  <r>
    <n v="803"/>
    <n v="6"/>
    <n v="3"/>
    <x v="455"/>
    <n v="127"/>
    <n v="22"/>
    <n v="0"/>
    <n v="2794"/>
    <s v="Abracadaba Ink"/>
    <s v="Salt Lake City"/>
    <s v="Both"/>
    <x v="5"/>
    <n v="2013"/>
  </r>
  <r>
    <n v="804"/>
    <n v="7"/>
    <n v="9"/>
    <x v="455"/>
    <n v="132"/>
    <n v="25"/>
    <n v="0"/>
    <n v="3300"/>
    <s v="The Shirt on Your Back"/>
    <s v="Bonners Ferry"/>
    <s v="Male"/>
    <x v="5"/>
    <n v="2013"/>
  </r>
  <r>
    <n v="805"/>
    <n v="2"/>
    <n v="1"/>
    <x v="456"/>
    <n v="131"/>
    <n v="20"/>
    <n v="0"/>
    <n v="2620"/>
    <s v="A Shirts Life"/>
    <s v="Portland"/>
    <s v="Both"/>
    <x v="6"/>
    <n v="2013"/>
  </r>
  <r>
    <n v="806"/>
    <n v="6"/>
    <n v="2"/>
    <x v="456"/>
    <n v="136"/>
    <n v="30"/>
    <n v="0"/>
    <n v="4080"/>
    <s v="Abracadaba Ink"/>
    <s v="Salt Lake City"/>
    <s v="Both"/>
    <x v="6"/>
    <n v="2013"/>
  </r>
  <r>
    <n v="807"/>
    <n v="7"/>
    <n v="3"/>
    <x v="457"/>
    <n v="41"/>
    <n v="22"/>
    <n v="0"/>
    <n v="902"/>
    <s v="The Shirt on Your Back"/>
    <s v="Bonners Ferry"/>
    <s v="Both"/>
    <x v="7"/>
    <n v="2013"/>
  </r>
  <r>
    <n v="808"/>
    <n v="5"/>
    <n v="8"/>
    <x v="458"/>
    <n v="141"/>
    <n v="27"/>
    <n v="0"/>
    <n v="3807"/>
    <s v="Rags to Riches"/>
    <s v="Las Vegas"/>
    <s v="Female"/>
    <x v="8"/>
    <n v="2013"/>
  </r>
  <r>
    <n v="809"/>
    <n v="2"/>
    <n v="4"/>
    <x v="459"/>
    <n v="138"/>
    <n v="30"/>
    <n v="0"/>
    <n v="4140"/>
    <s v="A Shirts Life"/>
    <s v="Portland"/>
    <s v="Both"/>
    <x v="10"/>
    <n v="2013"/>
  </r>
  <r>
    <n v="810"/>
    <n v="5"/>
    <n v="10"/>
    <x v="460"/>
    <n v="104"/>
    <n v="35"/>
    <n v="0.10000000100000001"/>
    <n v="3275.9999963599998"/>
    <s v="Rags to Riches"/>
    <s v="Las Vegas"/>
    <s v="Male"/>
    <x v="26"/>
    <n v="2013"/>
  </r>
  <r>
    <n v="811"/>
    <n v="3"/>
    <n v="10"/>
    <x v="461"/>
    <n v="104"/>
    <n v="35"/>
    <n v="0"/>
    <n v="3640"/>
    <s v="Shirts R Us"/>
    <s v="Los Angeles"/>
    <s v="Male"/>
    <x v="11"/>
    <n v="2013"/>
  </r>
  <r>
    <n v="812"/>
    <n v="3"/>
    <n v="8"/>
    <x v="462"/>
    <n v="71"/>
    <n v="27"/>
    <n v="0"/>
    <n v="1917"/>
    <s v="Shirts R Us"/>
    <s v="Los Angeles"/>
    <s v="Female"/>
    <x v="27"/>
    <n v="2013"/>
  </r>
  <r>
    <n v="813"/>
    <n v="7"/>
    <n v="6"/>
    <x v="462"/>
    <n v="104"/>
    <n v="28"/>
    <n v="0"/>
    <n v="2912"/>
    <s v="The Shirt on Your Back"/>
    <s v="Bonners Ferry"/>
    <s v="Female"/>
    <x v="27"/>
    <n v="2013"/>
  </r>
  <r>
    <n v="814"/>
    <n v="7"/>
    <n v="7"/>
    <x v="462"/>
    <n v="54"/>
    <n v="38"/>
    <n v="0"/>
    <n v="2052"/>
    <s v="The Shirt on Your Back"/>
    <s v="Bonners Ferry"/>
    <s v="Female"/>
    <x v="27"/>
    <n v="2013"/>
  </r>
  <r>
    <n v="815"/>
    <n v="3"/>
    <n v="1"/>
    <x v="463"/>
    <n v="25"/>
    <n v="20"/>
    <n v="0"/>
    <n v="500"/>
    <s v="Shirts R Us"/>
    <s v="Los Angeles"/>
    <s v="Both"/>
    <x v="14"/>
    <n v="2013"/>
  </r>
  <r>
    <n v="816"/>
    <n v="1"/>
    <n v="6"/>
    <x v="464"/>
    <n v="142"/>
    <n v="28"/>
    <n v="5.0000001000000002E-2"/>
    <n v="3777.199996024"/>
    <s v="Threads"/>
    <s v="Seattle"/>
    <s v="Female"/>
    <x v="16"/>
    <n v="2013"/>
  </r>
  <r>
    <n v="817"/>
    <n v="7"/>
    <n v="5"/>
    <x v="465"/>
    <n v="115"/>
    <n v="16"/>
    <n v="0"/>
    <n v="1840"/>
    <s v="The Shirt on Your Back"/>
    <s v="Bonners Ferry"/>
    <s v="Female"/>
    <x v="18"/>
    <n v="2013"/>
  </r>
  <r>
    <n v="818"/>
    <n v="4"/>
    <n v="8"/>
    <x v="466"/>
    <n v="96"/>
    <n v="27"/>
    <n v="0"/>
    <n v="2592"/>
    <s v="Tshirt Unlimited"/>
    <s v="Phoenix"/>
    <s v="Female"/>
    <x v="19"/>
    <n v="2013"/>
  </r>
  <r>
    <n v="819"/>
    <n v="4"/>
    <n v="4"/>
    <x v="467"/>
    <n v="40"/>
    <n v="30"/>
    <n v="0"/>
    <n v="1200"/>
    <s v="Tshirt Unlimited"/>
    <s v="Phoenix"/>
    <s v="Both"/>
    <x v="20"/>
    <n v="2013"/>
  </r>
  <r>
    <n v="820"/>
    <n v="7"/>
    <n v="8"/>
    <x v="467"/>
    <n v="85"/>
    <n v="27"/>
    <n v="0"/>
    <n v="2295"/>
    <s v="The Shirt on Your Back"/>
    <s v="Bonners Ferry"/>
    <s v="Female"/>
    <x v="20"/>
    <n v="2013"/>
  </r>
  <r>
    <n v="821"/>
    <n v="5"/>
    <n v="2"/>
    <x v="468"/>
    <n v="31"/>
    <n v="30"/>
    <n v="0"/>
    <n v="930"/>
    <s v="Rags to Riches"/>
    <s v="Las Vegas"/>
    <s v="Both"/>
    <x v="21"/>
    <n v="2013"/>
  </r>
  <r>
    <n v="822"/>
    <n v="1"/>
    <n v="3"/>
    <x v="469"/>
    <n v="32"/>
    <n v="22"/>
    <n v="0"/>
    <n v="704"/>
    <s v="Threads"/>
    <s v="Seattle"/>
    <s v="Both"/>
    <x v="22"/>
    <n v="2013"/>
  </r>
  <r>
    <n v="823"/>
    <n v="1"/>
    <n v="8"/>
    <x v="470"/>
    <n v="85"/>
    <n v="27"/>
    <n v="0.10000000100000001"/>
    <n v="2065.4999977050002"/>
    <s v="Threads"/>
    <s v="Seattle"/>
    <s v="Female"/>
    <x v="29"/>
    <n v="2013"/>
  </r>
  <r>
    <n v="824"/>
    <n v="6"/>
    <n v="3"/>
    <x v="470"/>
    <n v="140"/>
    <n v="22"/>
    <n v="0"/>
    <n v="3080"/>
    <s v="Abracadaba Ink"/>
    <s v="Salt Lake City"/>
    <s v="Both"/>
    <x v="29"/>
    <n v="2013"/>
  </r>
  <r>
    <n v="825"/>
    <n v="6"/>
    <n v="6"/>
    <x v="471"/>
    <n v="98"/>
    <n v="28"/>
    <n v="0"/>
    <n v="2744"/>
    <s v="Abracadaba Ink"/>
    <s v="Salt Lake City"/>
    <s v="Female"/>
    <x v="0"/>
    <n v="2013"/>
  </r>
  <r>
    <n v="826"/>
    <n v="7"/>
    <n v="8"/>
    <x v="472"/>
    <n v="118"/>
    <n v="27"/>
    <n v="0"/>
    <n v="3186"/>
    <s v="The Shirt on Your Back"/>
    <s v="Bonners Ferry"/>
    <s v="Female"/>
    <x v="23"/>
    <n v="2013"/>
  </r>
  <r>
    <n v="827"/>
    <n v="4"/>
    <n v="6"/>
    <x v="473"/>
    <n v="136"/>
    <n v="28"/>
    <n v="0"/>
    <n v="3808"/>
    <s v="Tshirt Unlimited"/>
    <s v="Phoenix"/>
    <s v="Female"/>
    <x v="2"/>
    <n v="2013"/>
  </r>
  <r>
    <n v="828"/>
    <n v="4"/>
    <n v="2"/>
    <x v="474"/>
    <n v="56"/>
    <n v="30"/>
    <n v="0"/>
    <n v="1680"/>
    <s v="Tshirt Unlimited"/>
    <s v="Phoenix"/>
    <s v="Both"/>
    <x v="3"/>
    <n v="2013"/>
  </r>
  <r>
    <n v="829"/>
    <n v="6"/>
    <n v="10"/>
    <x v="474"/>
    <n v="78"/>
    <n v="35"/>
    <n v="0"/>
    <n v="2730"/>
    <s v="Abracadaba Ink"/>
    <s v="Salt Lake City"/>
    <s v="Male"/>
    <x v="3"/>
    <n v="2013"/>
  </r>
  <r>
    <n v="830"/>
    <n v="2"/>
    <n v="7"/>
    <x v="475"/>
    <n v="63"/>
    <n v="38"/>
    <n v="0"/>
    <n v="2394"/>
    <s v="A Shirts Life"/>
    <s v="Portland"/>
    <s v="Female"/>
    <x v="5"/>
    <n v="2013"/>
  </r>
  <r>
    <n v="831"/>
    <n v="3"/>
    <n v="6"/>
    <x v="475"/>
    <n v="87"/>
    <n v="28"/>
    <n v="5.0000001000000002E-2"/>
    <n v="2314.1999975640001"/>
    <s v="Shirts R Us"/>
    <s v="Los Angeles"/>
    <s v="Female"/>
    <x v="5"/>
    <n v="2013"/>
  </r>
  <r>
    <n v="832"/>
    <n v="1"/>
    <n v="1"/>
    <x v="476"/>
    <n v="90"/>
    <n v="20"/>
    <n v="0"/>
    <n v="1800"/>
    <s v="Threads"/>
    <s v="Seattle"/>
    <s v="Both"/>
    <x v="6"/>
    <n v="2013"/>
  </r>
  <r>
    <n v="833"/>
    <n v="4"/>
    <n v="7"/>
    <x v="477"/>
    <n v="128"/>
    <n v="38"/>
    <n v="0"/>
    <n v="4864"/>
    <s v="Tshirt Unlimited"/>
    <s v="Phoenix"/>
    <s v="Female"/>
    <x v="30"/>
    <n v="2013"/>
  </r>
  <r>
    <n v="834"/>
    <n v="4"/>
    <n v="3"/>
    <x v="478"/>
    <n v="53"/>
    <n v="22"/>
    <n v="0.10000000100000001"/>
    <n v="1049.3999988339999"/>
    <s v="Tshirt Unlimited"/>
    <s v="Phoenix"/>
    <s v="Both"/>
    <x v="25"/>
    <n v="2013"/>
  </r>
  <r>
    <n v="835"/>
    <n v="5"/>
    <n v="6"/>
    <x v="478"/>
    <n v="77"/>
    <n v="28"/>
    <n v="5.0000001000000002E-2"/>
    <n v="2048.1999978439999"/>
    <s v="Rags to Riches"/>
    <s v="Las Vegas"/>
    <s v="Female"/>
    <x v="25"/>
    <n v="2013"/>
  </r>
  <r>
    <n v="836"/>
    <n v="5"/>
    <n v="10"/>
    <x v="478"/>
    <n v="91"/>
    <n v="35"/>
    <n v="0"/>
    <n v="3185"/>
    <s v="Rags to Riches"/>
    <s v="Las Vegas"/>
    <s v="Male"/>
    <x v="25"/>
    <n v="2013"/>
  </r>
  <r>
    <n v="837"/>
    <n v="2"/>
    <n v="1"/>
    <x v="479"/>
    <n v="75"/>
    <n v="20"/>
    <n v="5.0000001000000002E-2"/>
    <n v="1424.9999984999999"/>
    <s v="A Shirts Life"/>
    <s v="Portland"/>
    <s v="Both"/>
    <x v="8"/>
    <n v="2013"/>
  </r>
  <r>
    <n v="838"/>
    <n v="2"/>
    <n v="4"/>
    <x v="479"/>
    <n v="108"/>
    <n v="30"/>
    <n v="0"/>
    <n v="3240"/>
    <s v="A Shirts Life"/>
    <s v="Portland"/>
    <s v="Both"/>
    <x v="8"/>
    <n v="2013"/>
  </r>
  <r>
    <n v="839"/>
    <n v="1"/>
    <n v="7"/>
    <x v="480"/>
    <n v="139"/>
    <n v="38"/>
    <n v="0"/>
    <n v="5282"/>
    <s v="Threads"/>
    <s v="Seattle"/>
    <s v="Female"/>
    <x v="9"/>
    <n v="2013"/>
  </r>
  <r>
    <n v="840"/>
    <n v="3"/>
    <n v="8"/>
    <x v="480"/>
    <n v="26"/>
    <n v="27"/>
    <n v="0"/>
    <n v="702"/>
    <s v="Shirts R Us"/>
    <s v="Los Angeles"/>
    <s v="Female"/>
    <x v="9"/>
    <n v="2013"/>
  </r>
  <r>
    <n v="841"/>
    <n v="3"/>
    <n v="8"/>
    <x v="481"/>
    <n v="40"/>
    <n v="27"/>
    <n v="0"/>
    <n v="1080"/>
    <s v="Shirts R Us"/>
    <s v="Los Angeles"/>
    <s v="Female"/>
    <x v="10"/>
    <n v="2013"/>
  </r>
  <r>
    <n v="842"/>
    <n v="2"/>
    <n v="7"/>
    <x v="482"/>
    <n v="35"/>
    <n v="38"/>
    <n v="0"/>
    <n v="1330"/>
    <s v="A Shirts Life"/>
    <s v="Portland"/>
    <s v="Female"/>
    <x v="26"/>
    <n v="2013"/>
  </r>
  <r>
    <n v="843"/>
    <n v="5"/>
    <n v="4"/>
    <x v="482"/>
    <n v="81"/>
    <n v="30"/>
    <n v="0"/>
    <n v="2430"/>
    <s v="Rags to Riches"/>
    <s v="Las Vegas"/>
    <s v="Both"/>
    <x v="26"/>
    <n v="2013"/>
  </r>
  <r>
    <n v="844"/>
    <n v="4"/>
    <n v="4"/>
    <x v="483"/>
    <n v="119"/>
    <n v="30"/>
    <n v="0"/>
    <n v="3570"/>
    <s v="Tshirt Unlimited"/>
    <s v="Phoenix"/>
    <s v="Both"/>
    <x v="11"/>
    <n v="2013"/>
  </r>
  <r>
    <n v="845"/>
    <n v="5"/>
    <n v="2"/>
    <x v="483"/>
    <n v="134"/>
    <n v="30"/>
    <n v="0"/>
    <n v="4020"/>
    <s v="Rags to Riches"/>
    <s v="Las Vegas"/>
    <s v="Both"/>
    <x v="11"/>
    <n v="2013"/>
  </r>
  <r>
    <n v="846"/>
    <n v="5"/>
    <n v="4"/>
    <x v="483"/>
    <n v="78"/>
    <n v="30"/>
    <n v="0"/>
    <n v="2340"/>
    <s v="Rags to Riches"/>
    <s v="Las Vegas"/>
    <s v="Both"/>
    <x v="11"/>
    <n v="2013"/>
  </r>
  <r>
    <n v="847"/>
    <n v="5"/>
    <n v="6"/>
    <x v="483"/>
    <n v="130"/>
    <n v="28"/>
    <n v="0"/>
    <n v="3640"/>
    <s v="Rags to Riches"/>
    <s v="Las Vegas"/>
    <s v="Female"/>
    <x v="11"/>
    <n v="2013"/>
  </r>
  <r>
    <n v="848"/>
    <n v="1"/>
    <n v="9"/>
    <x v="484"/>
    <n v="104"/>
    <n v="25"/>
    <n v="5.0000001000000002E-2"/>
    <n v="2469.9999974000002"/>
    <s v="Threads"/>
    <s v="Seattle"/>
    <s v="Male"/>
    <x v="12"/>
    <n v="2013"/>
  </r>
  <r>
    <n v="849"/>
    <n v="6"/>
    <n v="6"/>
    <x v="484"/>
    <n v="132"/>
    <n v="28"/>
    <n v="0"/>
    <n v="3696"/>
    <s v="Abracadaba Ink"/>
    <s v="Salt Lake City"/>
    <s v="Female"/>
    <x v="12"/>
    <n v="2013"/>
  </r>
  <r>
    <n v="850"/>
    <n v="7"/>
    <n v="8"/>
    <x v="484"/>
    <n v="67"/>
    <n v="27"/>
    <n v="0"/>
    <n v="1809"/>
    <s v="The Shirt on Your Back"/>
    <s v="Bonners Ferry"/>
    <s v="Female"/>
    <x v="12"/>
    <n v="2013"/>
  </r>
  <r>
    <n v="851"/>
    <n v="3"/>
    <n v="8"/>
    <x v="485"/>
    <n v="93"/>
    <n v="27"/>
    <n v="5.0000001000000002E-2"/>
    <n v="2385.449997489"/>
    <s v="Shirts R Us"/>
    <s v="Los Angeles"/>
    <s v="Female"/>
    <x v="13"/>
    <n v="2013"/>
  </r>
  <r>
    <n v="852"/>
    <n v="6"/>
    <n v="8"/>
    <x v="485"/>
    <n v="147"/>
    <n v="27"/>
    <n v="5.0000001000000002E-2"/>
    <n v="3770.5499960309999"/>
    <s v="Abracadaba Ink"/>
    <s v="Salt Lake City"/>
    <s v="Female"/>
    <x v="13"/>
    <n v="2013"/>
  </r>
  <r>
    <n v="853"/>
    <n v="6"/>
    <n v="6"/>
    <x v="486"/>
    <n v="136"/>
    <n v="28"/>
    <n v="0"/>
    <n v="3808"/>
    <s v="Abracadaba Ink"/>
    <s v="Salt Lake City"/>
    <s v="Female"/>
    <x v="14"/>
    <n v="2013"/>
  </r>
  <r>
    <n v="854"/>
    <n v="6"/>
    <n v="10"/>
    <x v="487"/>
    <n v="111"/>
    <n v="35"/>
    <n v="0"/>
    <n v="3885"/>
    <s v="Abracadaba Ink"/>
    <s v="Salt Lake City"/>
    <s v="Male"/>
    <x v="15"/>
    <n v="2013"/>
  </r>
  <r>
    <n v="855"/>
    <n v="2"/>
    <n v="2"/>
    <x v="488"/>
    <n v="64"/>
    <n v="30"/>
    <n v="0.15000000599999999"/>
    <n v="1631.99998848"/>
    <s v="A Shirts Life"/>
    <s v="Portland"/>
    <s v="Both"/>
    <x v="16"/>
    <n v="2013"/>
  </r>
  <r>
    <n v="856"/>
    <n v="2"/>
    <n v="3"/>
    <x v="489"/>
    <n v="45"/>
    <n v="22"/>
    <n v="0"/>
    <n v="990"/>
    <s v="A Shirts Life"/>
    <s v="Portland"/>
    <s v="Both"/>
    <x v="19"/>
    <n v="2013"/>
  </r>
  <r>
    <n v="857"/>
    <n v="6"/>
    <n v="9"/>
    <x v="489"/>
    <n v="79"/>
    <n v="25"/>
    <n v="0"/>
    <n v="1975"/>
    <s v="Abracadaba Ink"/>
    <s v="Salt Lake City"/>
    <s v="Male"/>
    <x v="19"/>
    <n v="2013"/>
  </r>
  <r>
    <n v="858"/>
    <n v="5"/>
    <n v="6"/>
    <x v="490"/>
    <n v="94"/>
    <n v="28"/>
    <n v="0"/>
    <n v="2632"/>
    <s v="Rags to Riches"/>
    <s v="Las Vegas"/>
    <s v="Female"/>
    <x v="20"/>
    <n v="2013"/>
  </r>
  <r>
    <n v="859"/>
    <n v="7"/>
    <n v="2"/>
    <x v="491"/>
    <n v="38"/>
    <n v="30"/>
    <n v="0"/>
    <n v="1140"/>
    <s v="The Shirt on Your Back"/>
    <s v="Bonners Ferry"/>
    <s v="Both"/>
    <x v="21"/>
    <n v="2013"/>
  </r>
  <r>
    <n v="860"/>
    <n v="2"/>
    <n v="3"/>
    <x v="492"/>
    <n v="69"/>
    <n v="22"/>
    <n v="0"/>
    <n v="1518"/>
    <s v="A Shirts Life"/>
    <s v="Portland"/>
    <s v="Both"/>
    <x v="22"/>
    <n v="2013"/>
  </r>
  <r>
    <n v="861"/>
    <n v="4"/>
    <n v="9"/>
    <x v="492"/>
    <n v="147"/>
    <n v="25"/>
    <n v="0"/>
    <n v="3675"/>
    <s v="Tshirt Unlimited"/>
    <s v="Phoenix"/>
    <s v="Male"/>
    <x v="22"/>
    <n v="2013"/>
  </r>
  <r>
    <n v="862"/>
    <n v="7"/>
    <n v="4"/>
    <x v="493"/>
    <n v="62"/>
    <n v="30"/>
    <n v="0.10000000100000001"/>
    <n v="1673.9999981400001"/>
    <s v="The Shirt on Your Back"/>
    <s v="Bonners Ferry"/>
    <s v="Both"/>
    <x v="28"/>
    <n v="2013"/>
  </r>
  <r>
    <n v="863"/>
    <n v="5"/>
    <n v="2"/>
    <x v="494"/>
    <n v="49"/>
    <n v="30"/>
    <n v="0.10000000100000001"/>
    <n v="1322.9999985300001"/>
    <s v="Rags to Riches"/>
    <s v="Las Vegas"/>
    <s v="Both"/>
    <x v="0"/>
    <n v="2013"/>
  </r>
  <r>
    <n v="864"/>
    <n v="5"/>
    <n v="1"/>
    <x v="495"/>
    <n v="139"/>
    <n v="20"/>
    <n v="0"/>
    <n v="2780"/>
    <s v="Rags to Riches"/>
    <s v="Las Vegas"/>
    <s v="Both"/>
    <x v="1"/>
    <n v="2013"/>
  </r>
  <r>
    <n v="865"/>
    <n v="7"/>
    <n v="10"/>
    <x v="496"/>
    <n v="77"/>
    <n v="35"/>
    <n v="0"/>
    <n v="2695"/>
    <s v="The Shirt on Your Back"/>
    <s v="Bonners Ferry"/>
    <s v="Male"/>
    <x v="2"/>
    <n v="2013"/>
  </r>
  <r>
    <n v="866"/>
    <n v="3"/>
    <n v="6"/>
    <x v="497"/>
    <n v="54"/>
    <n v="28"/>
    <n v="0"/>
    <n v="1512"/>
    <s v="Shirts R Us"/>
    <s v="Los Angeles"/>
    <s v="Female"/>
    <x v="3"/>
    <n v="2013"/>
  </r>
  <r>
    <n v="867"/>
    <n v="7"/>
    <n v="3"/>
    <x v="498"/>
    <n v="79"/>
    <n v="22"/>
    <n v="0"/>
    <n v="1738"/>
    <s v="The Shirt on Your Back"/>
    <s v="Bonners Ferry"/>
    <s v="Both"/>
    <x v="5"/>
    <n v="2013"/>
  </r>
  <r>
    <n v="868"/>
    <n v="4"/>
    <n v="3"/>
    <x v="499"/>
    <n v="101"/>
    <n v="22"/>
    <n v="0"/>
    <n v="2222"/>
    <s v="Tshirt Unlimited"/>
    <s v="Phoenix"/>
    <s v="Both"/>
    <x v="6"/>
    <n v="2013"/>
  </r>
  <r>
    <n v="869"/>
    <n v="5"/>
    <n v="10"/>
    <x v="500"/>
    <n v="57"/>
    <n v="35"/>
    <n v="0"/>
    <n v="1995"/>
    <s v="Rags to Riches"/>
    <s v="Las Vegas"/>
    <s v="Male"/>
    <x v="7"/>
    <n v="2013"/>
  </r>
  <r>
    <n v="870"/>
    <n v="2"/>
    <n v="1"/>
    <x v="501"/>
    <n v="140"/>
    <n v="20"/>
    <n v="0"/>
    <n v="2800"/>
    <s v="A Shirts Life"/>
    <s v="Portland"/>
    <s v="Both"/>
    <x v="25"/>
    <n v="2013"/>
  </r>
  <r>
    <n v="871"/>
    <n v="3"/>
    <n v="10"/>
    <x v="502"/>
    <n v="40"/>
    <n v="35"/>
    <n v="0"/>
    <n v="1400"/>
    <s v="Shirts R Us"/>
    <s v="Los Angeles"/>
    <s v="Male"/>
    <x v="8"/>
    <n v="2013"/>
  </r>
  <r>
    <n v="872"/>
    <n v="1"/>
    <n v="2"/>
    <x v="503"/>
    <n v="49"/>
    <n v="30"/>
    <n v="0"/>
    <n v="1470"/>
    <s v="Threads"/>
    <s v="Seattle"/>
    <s v="Both"/>
    <x v="9"/>
    <n v="2013"/>
  </r>
  <r>
    <n v="873"/>
    <n v="1"/>
    <n v="8"/>
    <x v="503"/>
    <n v="124"/>
    <n v="27"/>
    <n v="0"/>
    <n v="3348"/>
    <s v="Threads"/>
    <s v="Seattle"/>
    <s v="Female"/>
    <x v="9"/>
    <n v="2013"/>
  </r>
  <r>
    <n v="874"/>
    <n v="4"/>
    <n v="3"/>
    <x v="504"/>
    <n v="86"/>
    <n v="22"/>
    <n v="0"/>
    <n v="1892"/>
    <s v="Tshirt Unlimited"/>
    <s v="Phoenix"/>
    <s v="Both"/>
    <x v="26"/>
    <n v="2013"/>
  </r>
  <r>
    <n v="875"/>
    <n v="4"/>
    <n v="4"/>
    <x v="504"/>
    <n v="56"/>
    <n v="30"/>
    <n v="0"/>
    <n v="1680"/>
    <s v="Tshirt Unlimited"/>
    <s v="Phoenix"/>
    <s v="Both"/>
    <x v="26"/>
    <n v="2013"/>
  </r>
  <r>
    <n v="876"/>
    <n v="3"/>
    <n v="2"/>
    <x v="505"/>
    <n v="130"/>
    <n v="30"/>
    <n v="0"/>
    <n v="3900"/>
    <s v="Shirts R Us"/>
    <s v="Los Angeles"/>
    <s v="Both"/>
    <x v="11"/>
    <n v="2013"/>
  </r>
  <r>
    <n v="877"/>
    <n v="6"/>
    <n v="10"/>
    <x v="505"/>
    <n v="82"/>
    <n v="35"/>
    <n v="0"/>
    <n v="2870"/>
    <s v="Abracadaba Ink"/>
    <s v="Salt Lake City"/>
    <s v="Male"/>
    <x v="11"/>
    <n v="2013"/>
  </r>
  <r>
    <n v="878"/>
    <n v="2"/>
    <n v="4"/>
    <x v="506"/>
    <n v="45"/>
    <n v="30"/>
    <n v="0"/>
    <n v="1350"/>
    <s v="A Shirts Life"/>
    <s v="Portland"/>
    <s v="Both"/>
    <x v="12"/>
    <n v="2013"/>
  </r>
  <r>
    <n v="879"/>
    <n v="6"/>
    <n v="2"/>
    <x v="506"/>
    <n v="123"/>
    <n v="30"/>
    <n v="0"/>
    <n v="3690"/>
    <s v="Abracadaba Ink"/>
    <s v="Salt Lake City"/>
    <s v="Both"/>
    <x v="12"/>
    <n v="2013"/>
  </r>
  <r>
    <n v="880"/>
    <n v="2"/>
    <n v="9"/>
    <x v="507"/>
    <n v="141"/>
    <n v="25"/>
    <n v="0"/>
    <n v="3525"/>
    <s v="A Shirts Life"/>
    <s v="Portland"/>
    <s v="Male"/>
    <x v="13"/>
    <n v="2013"/>
  </r>
  <r>
    <n v="881"/>
    <n v="3"/>
    <n v="1"/>
    <x v="508"/>
    <n v="53"/>
    <n v="20"/>
    <n v="0"/>
    <n v="1060"/>
    <s v="Shirts R Us"/>
    <s v="Los Angeles"/>
    <s v="Both"/>
    <x v="27"/>
    <n v="2013"/>
  </r>
  <r>
    <n v="882"/>
    <n v="4"/>
    <n v="8"/>
    <x v="508"/>
    <n v="94"/>
    <n v="27"/>
    <n v="5.0000001000000002E-2"/>
    <n v="2411.0999974619999"/>
    <s v="Tshirt Unlimited"/>
    <s v="Phoenix"/>
    <s v="Female"/>
    <x v="27"/>
    <n v="2013"/>
  </r>
  <r>
    <n v="883"/>
    <n v="4"/>
    <n v="9"/>
    <x v="508"/>
    <n v="106"/>
    <n v="25"/>
    <n v="5.0000001000000002E-2"/>
    <n v="2517.4999973499998"/>
    <s v="Tshirt Unlimited"/>
    <s v="Phoenix"/>
    <s v="Male"/>
    <x v="27"/>
    <n v="2013"/>
  </r>
  <r>
    <n v="884"/>
    <n v="6"/>
    <n v="2"/>
    <x v="508"/>
    <n v="29"/>
    <n v="30"/>
    <n v="0"/>
    <n v="870"/>
    <s v="Abracadaba Ink"/>
    <s v="Salt Lake City"/>
    <s v="Both"/>
    <x v="27"/>
    <n v="2013"/>
  </r>
  <r>
    <n v="885"/>
    <n v="2"/>
    <n v="6"/>
    <x v="509"/>
    <n v="78"/>
    <n v="28"/>
    <n v="0"/>
    <n v="2184"/>
    <s v="A Shirts Life"/>
    <s v="Portland"/>
    <s v="Female"/>
    <x v="16"/>
    <n v="2013"/>
  </r>
  <r>
    <n v="886"/>
    <n v="4"/>
    <n v="9"/>
    <x v="509"/>
    <n v="31"/>
    <n v="25"/>
    <n v="0.15000000599999999"/>
    <n v="658.74999535000006"/>
    <s v="Tshirt Unlimited"/>
    <s v="Phoenix"/>
    <s v="Male"/>
    <x v="16"/>
    <n v="2013"/>
  </r>
  <r>
    <n v="887"/>
    <n v="7"/>
    <n v="2"/>
    <x v="510"/>
    <n v="30"/>
    <n v="30"/>
    <n v="0"/>
    <n v="900"/>
    <s v="The Shirt on Your Back"/>
    <s v="Bonners Ferry"/>
    <s v="Both"/>
    <x v="17"/>
    <n v="2013"/>
  </r>
  <r>
    <n v="888"/>
    <n v="1"/>
    <n v="2"/>
    <x v="511"/>
    <n v="126"/>
    <n v="30"/>
    <n v="0.15000000599999999"/>
    <n v="3212.9999773200002"/>
    <s v="Threads"/>
    <s v="Seattle"/>
    <s v="Both"/>
    <x v="19"/>
    <n v="2013"/>
  </r>
  <r>
    <n v="889"/>
    <n v="5"/>
    <n v="7"/>
    <x v="511"/>
    <n v="124"/>
    <n v="38"/>
    <n v="0"/>
    <n v="4712"/>
    <s v="Rags to Riches"/>
    <s v="Las Vegas"/>
    <s v="Female"/>
    <x v="19"/>
    <n v="2013"/>
  </r>
  <r>
    <n v="890"/>
    <n v="5"/>
    <n v="10"/>
    <x v="511"/>
    <n v="90"/>
    <n v="35"/>
    <n v="0"/>
    <n v="3150"/>
    <s v="Rags to Riches"/>
    <s v="Las Vegas"/>
    <s v="Male"/>
    <x v="19"/>
    <n v="2013"/>
  </r>
  <r>
    <n v="891"/>
    <n v="5"/>
    <n v="2"/>
    <x v="512"/>
    <n v="54"/>
    <n v="30"/>
    <n v="0"/>
    <n v="1620"/>
    <s v="Rags to Riches"/>
    <s v="Las Vegas"/>
    <s v="Both"/>
    <x v="20"/>
    <n v="2013"/>
  </r>
  <r>
    <n v="892"/>
    <n v="5"/>
    <n v="5"/>
    <x v="512"/>
    <n v="63"/>
    <n v="16"/>
    <n v="0"/>
    <n v="1008"/>
    <s v="Rags to Riches"/>
    <s v="Las Vegas"/>
    <s v="Female"/>
    <x v="20"/>
    <n v="2013"/>
  </r>
  <r>
    <n v="893"/>
    <n v="7"/>
    <n v="3"/>
    <x v="512"/>
    <n v="92"/>
    <n v="22"/>
    <n v="0"/>
    <n v="2024"/>
    <s v="The Shirt on Your Back"/>
    <s v="Bonners Ferry"/>
    <s v="Both"/>
    <x v="20"/>
    <n v="2013"/>
  </r>
  <r>
    <n v="894"/>
    <n v="2"/>
    <n v="1"/>
    <x v="513"/>
    <n v="83"/>
    <n v="20"/>
    <n v="5.0000001000000002E-2"/>
    <n v="1576.99999834"/>
    <s v="A Shirts Life"/>
    <s v="Portland"/>
    <s v="Both"/>
    <x v="29"/>
    <n v="2013"/>
  </r>
  <r>
    <n v="895"/>
    <n v="3"/>
    <n v="2"/>
    <x v="513"/>
    <n v="123"/>
    <n v="30"/>
    <n v="0"/>
    <n v="3690"/>
    <s v="Shirts R Us"/>
    <s v="Los Angeles"/>
    <s v="Both"/>
    <x v="29"/>
    <n v="2013"/>
  </r>
  <r>
    <n v="896"/>
    <n v="3"/>
    <n v="4"/>
    <x v="513"/>
    <n v="88"/>
    <n v="30"/>
    <n v="0"/>
    <n v="2640"/>
    <s v="Shirts R Us"/>
    <s v="Los Angeles"/>
    <s v="Both"/>
    <x v="29"/>
    <n v="2013"/>
  </r>
  <r>
    <n v="897"/>
    <n v="5"/>
    <n v="10"/>
    <x v="514"/>
    <n v="72"/>
    <n v="35"/>
    <n v="0.10000000100000001"/>
    <n v="2267.9999974799998"/>
    <s v="Rags to Riches"/>
    <s v="Las Vegas"/>
    <s v="Male"/>
    <x v="28"/>
    <n v="2014"/>
  </r>
  <r>
    <n v="898"/>
    <n v="6"/>
    <n v="3"/>
    <x v="514"/>
    <n v="94"/>
    <n v="22"/>
    <n v="0"/>
    <n v="2068"/>
    <s v="Abracadaba Ink"/>
    <s v="Salt Lake City"/>
    <s v="Both"/>
    <x v="28"/>
    <n v="2014"/>
  </r>
  <r>
    <n v="899"/>
    <n v="3"/>
    <n v="1"/>
    <x v="515"/>
    <n v="70"/>
    <n v="20"/>
    <n v="0"/>
    <n v="1400"/>
    <s v="Shirts R Us"/>
    <s v="Los Angeles"/>
    <s v="Both"/>
    <x v="0"/>
    <n v="2014"/>
  </r>
  <r>
    <n v="900"/>
    <n v="5"/>
    <n v="6"/>
    <x v="515"/>
    <n v="50"/>
    <n v="28"/>
    <n v="5.0000001000000002E-2"/>
    <n v="1329.9999986"/>
    <s v="Rags to Riches"/>
    <s v="Las Vegas"/>
    <s v="Female"/>
    <x v="0"/>
    <n v="2014"/>
  </r>
  <r>
    <n v="901"/>
    <n v="6"/>
    <n v="3"/>
    <x v="515"/>
    <n v="67"/>
    <n v="22"/>
    <n v="0"/>
    <n v="1474"/>
    <s v="Abracadaba Ink"/>
    <s v="Salt Lake City"/>
    <s v="Both"/>
    <x v="0"/>
    <n v="2014"/>
  </r>
  <r>
    <n v="902"/>
    <n v="3"/>
    <n v="5"/>
    <x v="516"/>
    <n v="56"/>
    <n v="16"/>
    <n v="0"/>
    <n v="896"/>
    <s v="Shirts R Us"/>
    <s v="Los Angeles"/>
    <s v="Female"/>
    <x v="1"/>
    <n v="2014"/>
  </r>
  <r>
    <n v="903"/>
    <n v="1"/>
    <n v="10"/>
    <x v="517"/>
    <n v="50"/>
    <n v="35"/>
    <n v="0"/>
    <n v="1750"/>
    <s v="Threads"/>
    <s v="Seattle"/>
    <s v="Male"/>
    <x v="23"/>
    <n v="2014"/>
  </r>
  <r>
    <n v="904"/>
    <n v="3"/>
    <n v="1"/>
    <x v="518"/>
    <n v="64"/>
    <n v="20"/>
    <n v="0"/>
    <n v="1280"/>
    <s v="Shirts R Us"/>
    <s v="Los Angeles"/>
    <s v="Both"/>
    <x v="2"/>
    <n v="2014"/>
  </r>
  <r>
    <n v="905"/>
    <n v="4"/>
    <n v="2"/>
    <x v="518"/>
    <n v="62"/>
    <n v="30"/>
    <n v="0"/>
    <n v="1860"/>
    <s v="Tshirt Unlimited"/>
    <s v="Phoenix"/>
    <s v="Both"/>
    <x v="2"/>
    <n v="2014"/>
  </r>
  <r>
    <n v="906"/>
    <n v="4"/>
    <n v="1"/>
    <x v="519"/>
    <n v="63"/>
    <n v="20"/>
    <n v="0"/>
    <n v="1260"/>
    <s v="Tshirt Unlimited"/>
    <s v="Phoenix"/>
    <s v="Both"/>
    <x v="3"/>
    <n v="2014"/>
  </r>
  <r>
    <n v="907"/>
    <n v="6"/>
    <n v="5"/>
    <x v="520"/>
    <n v="64"/>
    <n v="16"/>
    <n v="0"/>
    <n v="1024"/>
    <s v="Abracadaba Ink"/>
    <s v="Salt Lake City"/>
    <s v="Female"/>
    <x v="4"/>
    <n v="2014"/>
  </r>
  <r>
    <n v="908"/>
    <n v="6"/>
    <n v="7"/>
    <x v="520"/>
    <n v="144"/>
    <n v="38"/>
    <n v="0"/>
    <n v="5472"/>
    <s v="Abracadaba Ink"/>
    <s v="Salt Lake City"/>
    <s v="Female"/>
    <x v="4"/>
    <n v="2014"/>
  </r>
  <r>
    <n v="909"/>
    <n v="6"/>
    <n v="10"/>
    <x v="520"/>
    <n v="149"/>
    <n v="35"/>
    <n v="0"/>
    <n v="5215"/>
    <s v="Abracadaba Ink"/>
    <s v="Salt Lake City"/>
    <s v="Male"/>
    <x v="4"/>
    <n v="2014"/>
  </r>
  <r>
    <n v="910"/>
    <n v="4"/>
    <n v="8"/>
    <x v="521"/>
    <n v="126"/>
    <n v="27"/>
    <n v="0"/>
    <n v="3402"/>
    <s v="Tshirt Unlimited"/>
    <s v="Phoenix"/>
    <s v="Female"/>
    <x v="5"/>
    <n v="2014"/>
  </r>
  <r>
    <n v="911"/>
    <n v="6"/>
    <n v="9"/>
    <x v="521"/>
    <n v="59"/>
    <n v="25"/>
    <n v="0"/>
    <n v="1475"/>
    <s v="Abracadaba Ink"/>
    <s v="Salt Lake City"/>
    <s v="Male"/>
    <x v="5"/>
    <n v="2014"/>
  </r>
  <r>
    <n v="912"/>
    <n v="2"/>
    <n v="1"/>
    <x v="522"/>
    <n v="37"/>
    <n v="20"/>
    <n v="0.10000000100000001"/>
    <n v="665.99999925999998"/>
    <s v="A Shirts Life"/>
    <s v="Portland"/>
    <s v="Both"/>
    <x v="30"/>
    <n v="2014"/>
  </r>
  <r>
    <n v="913"/>
    <n v="2"/>
    <n v="2"/>
    <x v="522"/>
    <n v="111"/>
    <n v="30"/>
    <n v="0"/>
    <n v="3330"/>
    <s v="A Shirts Life"/>
    <s v="Portland"/>
    <s v="Both"/>
    <x v="30"/>
    <n v="2014"/>
  </r>
  <r>
    <n v="914"/>
    <n v="7"/>
    <n v="9"/>
    <x v="522"/>
    <n v="123"/>
    <n v="25"/>
    <n v="0"/>
    <n v="3075"/>
    <s v="The Shirt on Your Back"/>
    <s v="Bonners Ferry"/>
    <s v="Male"/>
    <x v="30"/>
    <n v="2014"/>
  </r>
  <r>
    <n v="915"/>
    <n v="7"/>
    <n v="1"/>
    <x v="523"/>
    <n v="123"/>
    <n v="20"/>
    <n v="0"/>
    <n v="2460"/>
    <s v="The Shirt on Your Back"/>
    <s v="Bonners Ferry"/>
    <s v="Both"/>
    <x v="7"/>
    <n v="2014"/>
  </r>
  <r>
    <n v="916"/>
    <n v="4"/>
    <n v="1"/>
    <x v="524"/>
    <n v="40"/>
    <n v="20"/>
    <n v="0"/>
    <n v="800"/>
    <s v="Tshirt Unlimited"/>
    <s v="Phoenix"/>
    <s v="Both"/>
    <x v="25"/>
    <n v="2014"/>
  </r>
  <r>
    <n v="917"/>
    <n v="2"/>
    <n v="2"/>
    <x v="525"/>
    <n v="59"/>
    <n v="30"/>
    <n v="0"/>
    <n v="1770"/>
    <s v="A Shirts Life"/>
    <s v="Portland"/>
    <s v="Both"/>
    <x v="10"/>
    <n v="2014"/>
  </r>
  <r>
    <n v="918"/>
    <n v="7"/>
    <n v="6"/>
    <x v="526"/>
    <n v="46"/>
    <n v="28"/>
    <n v="5.0000001000000002E-2"/>
    <n v="1223.5999987119999"/>
    <s v="The Shirt on Your Back"/>
    <s v="Bonners Ferry"/>
    <s v="Female"/>
    <x v="26"/>
    <n v="2014"/>
  </r>
  <r>
    <n v="919"/>
    <n v="3"/>
    <n v="7"/>
    <x v="527"/>
    <n v="61"/>
    <n v="38"/>
    <n v="0"/>
    <n v="2318"/>
    <s v="Shirts R Us"/>
    <s v="Los Angeles"/>
    <s v="Female"/>
    <x v="11"/>
    <n v="2014"/>
  </r>
  <r>
    <n v="920"/>
    <n v="3"/>
    <n v="8"/>
    <x v="527"/>
    <n v="99"/>
    <n v="27"/>
    <n v="5.0000001000000002E-2"/>
    <n v="2539.349997327"/>
    <s v="Shirts R Us"/>
    <s v="Los Angeles"/>
    <s v="Female"/>
    <x v="11"/>
    <n v="2014"/>
  </r>
  <r>
    <n v="921"/>
    <n v="2"/>
    <n v="3"/>
    <x v="528"/>
    <n v="115"/>
    <n v="22"/>
    <n v="0"/>
    <n v="2530"/>
    <s v="A Shirts Life"/>
    <s v="Portland"/>
    <s v="Both"/>
    <x v="12"/>
    <n v="2014"/>
  </r>
  <r>
    <n v="922"/>
    <n v="1"/>
    <n v="2"/>
    <x v="529"/>
    <n v="31"/>
    <n v="30"/>
    <n v="0"/>
    <n v="930"/>
    <s v="Threads"/>
    <s v="Seattle"/>
    <s v="Both"/>
    <x v="14"/>
    <n v="2014"/>
  </r>
  <r>
    <n v="923"/>
    <n v="1"/>
    <n v="6"/>
    <x v="529"/>
    <n v="133"/>
    <n v="28"/>
    <n v="0"/>
    <n v="3724"/>
    <s v="Threads"/>
    <s v="Seattle"/>
    <s v="Female"/>
    <x v="14"/>
    <n v="2014"/>
  </r>
  <r>
    <n v="924"/>
    <n v="5"/>
    <n v="3"/>
    <x v="529"/>
    <n v="85"/>
    <n v="22"/>
    <n v="0.15000000599999999"/>
    <n v="1589.49998878"/>
    <s v="Rags to Riches"/>
    <s v="Las Vegas"/>
    <s v="Both"/>
    <x v="14"/>
    <n v="2014"/>
  </r>
  <r>
    <n v="925"/>
    <n v="3"/>
    <n v="7"/>
    <x v="530"/>
    <n v="51"/>
    <n v="38"/>
    <n v="0"/>
    <n v="1938"/>
    <s v="Shirts R Us"/>
    <s v="Los Angeles"/>
    <s v="Female"/>
    <x v="15"/>
    <n v="2014"/>
  </r>
  <r>
    <n v="926"/>
    <n v="1"/>
    <n v="4"/>
    <x v="531"/>
    <n v="100"/>
    <n v="30"/>
    <n v="0.10000000100000001"/>
    <n v="2699.9999969999999"/>
    <s v="Threads"/>
    <s v="Seattle"/>
    <s v="Both"/>
    <x v="16"/>
    <n v="2014"/>
  </r>
  <r>
    <n v="927"/>
    <n v="1"/>
    <n v="6"/>
    <x v="531"/>
    <n v="123"/>
    <n v="28"/>
    <n v="0"/>
    <n v="3444"/>
    <s v="Threads"/>
    <s v="Seattle"/>
    <s v="Female"/>
    <x v="16"/>
    <n v="2014"/>
  </r>
  <r>
    <n v="928"/>
    <n v="2"/>
    <n v="1"/>
    <x v="531"/>
    <n v="28"/>
    <n v="20"/>
    <n v="0"/>
    <n v="560"/>
    <s v="A Shirts Life"/>
    <s v="Portland"/>
    <s v="Both"/>
    <x v="16"/>
    <n v="2014"/>
  </r>
  <r>
    <n v="929"/>
    <n v="7"/>
    <n v="4"/>
    <x v="532"/>
    <n v="50"/>
    <n v="30"/>
    <n v="0.15000000599999999"/>
    <n v="1274.9999910000001"/>
    <s v="The Shirt on Your Back"/>
    <s v="Bonners Ferry"/>
    <s v="Both"/>
    <x v="17"/>
    <n v="2014"/>
  </r>
  <r>
    <n v="930"/>
    <n v="4"/>
    <n v="10"/>
    <x v="533"/>
    <n v="36"/>
    <n v="35"/>
    <n v="0"/>
    <n v="1260"/>
    <s v="Tshirt Unlimited"/>
    <s v="Phoenix"/>
    <s v="Male"/>
    <x v="18"/>
    <n v="2014"/>
  </r>
  <r>
    <n v="931"/>
    <n v="1"/>
    <n v="10"/>
    <x v="534"/>
    <n v="25"/>
    <n v="35"/>
    <n v="0"/>
    <n v="875"/>
    <s v="Threads"/>
    <s v="Seattle"/>
    <s v="Male"/>
    <x v="19"/>
    <n v="2014"/>
  </r>
  <r>
    <n v="932"/>
    <n v="5"/>
    <n v="6"/>
    <x v="535"/>
    <n v="78"/>
    <n v="28"/>
    <n v="0"/>
    <n v="2184"/>
    <s v="Rags to Riches"/>
    <s v="Las Vegas"/>
    <s v="Female"/>
    <x v="20"/>
    <n v="2014"/>
  </r>
  <r>
    <n v="933"/>
    <n v="3"/>
    <n v="5"/>
    <x v="536"/>
    <n v="77"/>
    <n v="16"/>
    <n v="0"/>
    <n v="1232"/>
    <s v="Shirts R Us"/>
    <s v="Los Angeles"/>
    <s v="Female"/>
    <x v="21"/>
    <n v="2014"/>
  </r>
  <r>
    <n v="934"/>
    <n v="4"/>
    <n v="2"/>
    <x v="536"/>
    <n v="107"/>
    <n v="30"/>
    <n v="5.0000001000000002E-2"/>
    <n v="3049.4999967899998"/>
    <s v="Tshirt Unlimited"/>
    <s v="Phoenix"/>
    <s v="Both"/>
    <x v="21"/>
    <n v="2014"/>
  </r>
  <r>
    <n v="935"/>
    <n v="4"/>
    <n v="4"/>
    <x v="536"/>
    <n v="41"/>
    <n v="30"/>
    <n v="0"/>
    <n v="1230"/>
    <s v="Tshirt Unlimited"/>
    <s v="Phoenix"/>
    <s v="Both"/>
    <x v="21"/>
    <n v="2014"/>
  </r>
  <r>
    <n v="936"/>
    <n v="5"/>
    <n v="4"/>
    <x v="536"/>
    <n v="150"/>
    <n v="30"/>
    <n v="5.0000001000000002E-2"/>
    <n v="4274.9999955000003"/>
    <s v="Rags to Riches"/>
    <s v="Las Vegas"/>
    <s v="Both"/>
    <x v="21"/>
    <n v="2014"/>
  </r>
  <r>
    <n v="937"/>
    <n v="2"/>
    <n v="1"/>
    <x v="537"/>
    <n v="33"/>
    <n v="20"/>
    <n v="0.10000000100000001"/>
    <n v="593.99999934000004"/>
    <s v="A Shirts Life"/>
    <s v="Portland"/>
    <s v="Both"/>
    <x v="22"/>
    <n v="2014"/>
  </r>
  <r>
    <n v="938"/>
    <n v="2"/>
    <n v="10"/>
    <x v="537"/>
    <n v="133"/>
    <n v="35"/>
    <n v="0"/>
    <n v="4655"/>
    <s v="A Shirts Life"/>
    <s v="Portland"/>
    <s v="Male"/>
    <x v="22"/>
    <n v="2014"/>
  </r>
  <r>
    <n v="939"/>
    <n v="6"/>
    <n v="5"/>
    <x v="537"/>
    <n v="65"/>
    <n v="16"/>
    <n v="0"/>
    <n v="1040"/>
    <s v="Abracadaba Ink"/>
    <s v="Salt Lake City"/>
    <s v="Female"/>
    <x v="22"/>
    <n v="2014"/>
  </r>
  <r>
    <n v="940"/>
    <n v="4"/>
    <n v="7"/>
    <x v="538"/>
    <n v="101"/>
    <n v="38"/>
    <n v="0"/>
    <n v="3838"/>
    <s v="Tshirt Unlimited"/>
    <s v="Phoenix"/>
    <s v="Female"/>
    <x v="29"/>
    <n v="2014"/>
  </r>
  <r>
    <n v="941"/>
    <n v="1"/>
    <n v="9"/>
    <x v="539"/>
    <n v="95"/>
    <n v="25"/>
    <n v="0"/>
    <n v="2375"/>
    <s v="Threads"/>
    <s v="Seattle"/>
    <s v="Male"/>
    <x v="28"/>
    <n v="2014"/>
  </r>
  <r>
    <n v="942"/>
    <n v="4"/>
    <n v="9"/>
    <x v="540"/>
    <n v="109"/>
    <n v="25"/>
    <n v="0"/>
    <n v="2725"/>
    <s v="Tshirt Unlimited"/>
    <s v="Phoenix"/>
    <s v="Male"/>
    <x v="0"/>
    <n v="2014"/>
  </r>
  <r>
    <n v="943"/>
    <n v="2"/>
    <n v="1"/>
    <x v="541"/>
    <n v="143"/>
    <n v="20"/>
    <n v="0"/>
    <n v="2860"/>
    <s v="A Shirts Life"/>
    <s v="Portland"/>
    <s v="Both"/>
    <x v="1"/>
    <n v="2014"/>
  </r>
  <r>
    <n v="944"/>
    <n v="4"/>
    <n v="6"/>
    <x v="541"/>
    <n v="38"/>
    <n v="28"/>
    <n v="0"/>
    <n v="1064"/>
    <s v="Tshirt Unlimited"/>
    <s v="Phoenix"/>
    <s v="Female"/>
    <x v="1"/>
    <n v="2014"/>
  </r>
  <r>
    <n v="945"/>
    <n v="7"/>
    <n v="9"/>
    <x v="541"/>
    <n v="34"/>
    <n v="25"/>
    <n v="0"/>
    <n v="850"/>
    <s v="The Shirt on Your Back"/>
    <s v="Bonners Ferry"/>
    <s v="Male"/>
    <x v="1"/>
    <n v="2014"/>
  </r>
  <r>
    <n v="946"/>
    <n v="2"/>
    <n v="5"/>
    <x v="542"/>
    <n v="55"/>
    <n v="16"/>
    <n v="0"/>
    <n v="880"/>
    <s v="A Shirts Life"/>
    <s v="Portland"/>
    <s v="Female"/>
    <x v="23"/>
    <n v="2014"/>
  </r>
  <r>
    <n v="947"/>
    <n v="4"/>
    <n v="1"/>
    <x v="542"/>
    <n v="124"/>
    <n v="20"/>
    <n v="0"/>
    <n v="2480"/>
    <s v="Tshirt Unlimited"/>
    <s v="Phoenix"/>
    <s v="Both"/>
    <x v="23"/>
    <n v="2014"/>
  </r>
  <r>
    <n v="948"/>
    <n v="7"/>
    <n v="1"/>
    <x v="542"/>
    <n v="74"/>
    <n v="20"/>
    <n v="0"/>
    <n v="1480"/>
    <s v="The Shirt on Your Back"/>
    <s v="Bonners Ferry"/>
    <s v="Both"/>
    <x v="23"/>
    <n v="2014"/>
  </r>
  <r>
    <n v="949"/>
    <n v="4"/>
    <n v="6"/>
    <x v="543"/>
    <n v="60"/>
    <n v="28"/>
    <n v="0"/>
    <n v="1680"/>
    <s v="Tshirt Unlimited"/>
    <s v="Phoenix"/>
    <s v="Female"/>
    <x v="2"/>
    <n v="2014"/>
  </r>
  <r>
    <n v="950"/>
    <n v="5"/>
    <n v="2"/>
    <x v="544"/>
    <n v="98"/>
    <n v="30"/>
    <n v="0"/>
    <n v="2940"/>
    <s v="Rags to Riches"/>
    <s v="Las Vegas"/>
    <s v="Both"/>
    <x v="24"/>
    <n v="2014"/>
  </r>
  <r>
    <n v="951"/>
    <n v="6"/>
    <n v="3"/>
    <x v="544"/>
    <n v="119"/>
    <n v="22"/>
    <n v="0"/>
    <n v="2618"/>
    <s v="Abracadaba Ink"/>
    <s v="Salt Lake City"/>
    <s v="Both"/>
    <x v="24"/>
    <n v="2014"/>
  </r>
  <r>
    <n v="952"/>
    <n v="3"/>
    <n v="7"/>
    <x v="545"/>
    <n v="141"/>
    <n v="38"/>
    <n v="0"/>
    <n v="5358"/>
    <s v="Shirts R Us"/>
    <s v="Los Angeles"/>
    <s v="Female"/>
    <x v="3"/>
    <n v="2014"/>
  </r>
  <r>
    <n v="953"/>
    <n v="4"/>
    <n v="7"/>
    <x v="545"/>
    <n v="85"/>
    <n v="38"/>
    <n v="0"/>
    <n v="3230"/>
    <s v="Tshirt Unlimited"/>
    <s v="Phoenix"/>
    <s v="Female"/>
    <x v="3"/>
    <n v="2014"/>
  </r>
  <r>
    <n v="954"/>
    <n v="3"/>
    <n v="9"/>
    <x v="546"/>
    <n v="129"/>
    <n v="25"/>
    <n v="0"/>
    <n v="3225"/>
    <s v="Shirts R Us"/>
    <s v="Los Angeles"/>
    <s v="Male"/>
    <x v="5"/>
    <n v="2014"/>
  </r>
  <r>
    <n v="955"/>
    <n v="4"/>
    <n v="2"/>
    <x v="546"/>
    <n v="120"/>
    <n v="30"/>
    <n v="5.0000001000000002E-2"/>
    <n v="3419.9999963999999"/>
    <s v="Tshirt Unlimited"/>
    <s v="Phoenix"/>
    <s v="Both"/>
    <x v="5"/>
    <n v="2014"/>
  </r>
  <r>
    <n v="956"/>
    <n v="5"/>
    <n v="8"/>
    <x v="546"/>
    <n v="35"/>
    <n v="27"/>
    <n v="0"/>
    <n v="945"/>
    <s v="Rags to Riches"/>
    <s v="Las Vegas"/>
    <s v="Female"/>
    <x v="5"/>
    <n v="2014"/>
  </r>
  <r>
    <n v="957"/>
    <n v="5"/>
    <n v="10"/>
    <x v="546"/>
    <n v="145"/>
    <n v="35"/>
    <n v="0"/>
    <n v="5075"/>
    <s v="Rags to Riches"/>
    <s v="Las Vegas"/>
    <s v="Male"/>
    <x v="5"/>
    <n v="2014"/>
  </r>
  <r>
    <n v="958"/>
    <n v="6"/>
    <n v="9"/>
    <x v="546"/>
    <n v="55"/>
    <n v="25"/>
    <n v="0"/>
    <n v="1375"/>
    <s v="Abracadaba Ink"/>
    <s v="Salt Lake City"/>
    <s v="Male"/>
    <x v="5"/>
    <n v="2014"/>
  </r>
  <r>
    <n v="959"/>
    <n v="1"/>
    <n v="9"/>
    <x v="547"/>
    <n v="90"/>
    <n v="25"/>
    <n v="0"/>
    <n v="2250"/>
    <s v="Threads"/>
    <s v="Seattle"/>
    <s v="Male"/>
    <x v="6"/>
    <n v="2014"/>
  </r>
  <r>
    <n v="960"/>
    <n v="4"/>
    <n v="6"/>
    <x v="547"/>
    <n v="150"/>
    <n v="28"/>
    <n v="0"/>
    <n v="4200"/>
    <s v="Tshirt Unlimited"/>
    <s v="Phoenix"/>
    <s v="Female"/>
    <x v="6"/>
    <n v="2014"/>
  </r>
  <r>
    <n v="961"/>
    <n v="7"/>
    <n v="2"/>
    <x v="547"/>
    <n v="35"/>
    <n v="30"/>
    <n v="0"/>
    <n v="1050"/>
    <s v="The Shirt on Your Back"/>
    <s v="Bonners Ferry"/>
    <s v="Both"/>
    <x v="6"/>
    <n v="2014"/>
  </r>
  <r>
    <n v="962"/>
    <n v="1"/>
    <n v="7"/>
    <x v="548"/>
    <n v="31"/>
    <n v="38"/>
    <n v="0"/>
    <n v="1178"/>
    <s v="Threads"/>
    <s v="Seattle"/>
    <s v="Female"/>
    <x v="30"/>
    <n v="2014"/>
  </r>
  <r>
    <n v="963"/>
    <n v="2"/>
    <n v="4"/>
    <x v="548"/>
    <n v="46"/>
    <n v="30"/>
    <n v="0"/>
    <n v="1380"/>
    <s v="A Shirts Life"/>
    <s v="Portland"/>
    <s v="Both"/>
    <x v="30"/>
    <n v="2014"/>
  </r>
  <r>
    <n v="964"/>
    <n v="1"/>
    <n v="6"/>
    <x v="549"/>
    <n v="31"/>
    <n v="28"/>
    <n v="0"/>
    <n v="868"/>
    <s v="Threads"/>
    <s v="Seattle"/>
    <s v="Female"/>
    <x v="7"/>
    <n v="2014"/>
  </r>
  <r>
    <n v="965"/>
    <n v="1"/>
    <n v="8"/>
    <x v="549"/>
    <n v="92"/>
    <n v="27"/>
    <n v="0"/>
    <n v="2484"/>
    <s v="Threads"/>
    <s v="Seattle"/>
    <s v="Female"/>
    <x v="7"/>
    <n v="2014"/>
  </r>
  <r>
    <n v="966"/>
    <n v="4"/>
    <n v="1"/>
    <x v="549"/>
    <n v="62"/>
    <n v="20"/>
    <n v="0"/>
    <n v="1240"/>
    <s v="Tshirt Unlimited"/>
    <s v="Phoenix"/>
    <s v="Both"/>
    <x v="7"/>
    <n v="2014"/>
  </r>
  <r>
    <n v="967"/>
    <n v="6"/>
    <n v="2"/>
    <x v="549"/>
    <n v="61"/>
    <n v="30"/>
    <n v="0"/>
    <n v="1830"/>
    <s v="Abracadaba Ink"/>
    <s v="Salt Lake City"/>
    <s v="Both"/>
    <x v="7"/>
    <n v="2014"/>
  </r>
  <r>
    <n v="968"/>
    <n v="6"/>
    <n v="2"/>
    <x v="550"/>
    <n v="83"/>
    <n v="30"/>
    <n v="0"/>
    <n v="2490"/>
    <s v="Abracadaba Ink"/>
    <s v="Salt Lake City"/>
    <s v="Both"/>
    <x v="25"/>
    <n v="2014"/>
  </r>
  <r>
    <n v="969"/>
    <n v="7"/>
    <n v="3"/>
    <x v="550"/>
    <n v="87"/>
    <n v="22"/>
    <n v="0"/>
    <n v="1914"/>
    <s v="The Shirt on Your Back"/>
    <s v="Bonners Ferry"/>
    <s v="Both"/>
    <x v="25"/>
    <n v="2014"/>
  </r>
  <r>
    <n v="970"/>
    <n v="7"/>
    <n v="4"/>
    <x v="551"/>
    <n v="62"/>
    <n v="30"/>
    <n v="0"/>
    <n v="1860"/>
    <s v="The Shirt on Your Back"/>
    <s v="Bonners Ferry"/>
    <s v="Both"/>
    <x v="8"/>
    <n v="2014"/>
  </r>
  <r>
    <n v="971"/>
    <n v="1"/>
    <n v="1"/>
    <x v="552"/>
    <n v="41"/>
    <n v="20"/>
    <n v="0"/>
    <n v="820"/>
    <s v="Threads"/>
    <s v="Seattle"/>
    <s v="Both"/>
    <x v="10"/>
    <n v="2014"/>
  </r>
  <r>
    <n v="972"/>
    <n v="2"/>
    <n v="1"/>
    <x v="552"/>
    <n v="114"/>
    <n v="20"/>
    <n v="0"/>
    <n v="2280"/>
    <s v="A Shirts Life"/>
    <s v="Portland"/>
    <s v="Both"/>
    <x v="10"/>
    <n v="2014"/>
  </r>
  <r>
    <n v="973"/>
    <n v="1"/>
    <n v="3"/>
    <x v="553"/>
    <n v="71"/>
    <n v="22"/>
    <n v="0.10000000100000001"/>
    <n v="1405.7999984379999"/>
    <s v="Threads"/>
    <s v="Seattle"/>
    <s v="Both"/>
    <x v="26"/>
    <n v="2014"/>
  </r>
  <r>
    <n v="974"/>
    <n v="1"/>
    <n v="6"/>
    <x v="553"/>
    <n v="29"/>
    <n v="28"/>
    <n v="0"/>
    <n v="812"/>
    <s v="Threads"/>
    <s v="Seattle"/>
    <s v="Female"/>
    <x v="26"/>
    <n v="2014"/>
  </r>
  <r>
    <n v="975"/>
    <n v="2"/>
    <n v="2"/>
    <x v="553"/>
    <n v="53"/>
    <n v="30"/>
    <n v="0"/>
    <n v="1590"/>
    <s v="A Shirts Life"/>
    <s v="Portland"/>
    <s v="Both"/>
    <x v="26"/>
    <n v="2014"/>
  </r>
  <r>
    <n v="976"/>
    <n v="5"/>
    <n v="10"/>
    <x v="554"/>
    <n v="86"/>
    <n v="35"/>
    <n v="0.10000000100000001"/>
    <n v="2708.99999699"/>
    <s v="Rags to Riches"/>
    <s v="Las Vegas"/>
    <s v="Male"/>
    <x v="11"/>
    <n v="2014"/>
  </r>
  <r>
    <n v="977"/>
    <n v="2"/>
    <n v="3"/>
    <x v="555"/>
    <n v="134"/>
    <n v="22"/>
    <n v="0"/>
    <n v="2948"/>
    <s v="A Shirts Life"/>
    <s v="Portland"/>
    <s v="Both"/>
    <x v="12"/>
    <n v="2014"/>
  </r>
  <r>
    <n v="978"/>
    <n v="5"/>
    <n v="2"/>
    <x v="555"/>
    <n v="122"/>
    <n v="30"/>
    <n v="0"/>
    <n v="3660"/>
    <s v="Rags to Riches"/>
    <s v="Las Vegas"/>
    <s v="Both"/>
    <x v="12"/>
    <n v="2014"/>
  </r>
  <r>
    <n v="979"/>
    <n v="6"/>
    <n v="3"/>
    <x v="555"/>
    <n v="78"/>
    <n v="22"/>
    <n v="0"/>
    <n v="1716"/>
    <s v="Abracadaba Ink"/>
    <s v="Salt Lake City"/>
    <s v="Both"/>
    <x v="12"/>
    <n v="2014"/>
  </r>
  <r>
    <n v="980"/>
    <n v="2"/>
    <n v="3"/>
    <x v="556"/>
    <n v="146"/>
    <n v="22"/>
    <n v="0"/>
    <n v="3212"/>
    <s v="A Shirts Life"/>
    <s v="Portland"/>
    <s v="Both"/>
    <x v="13"/>
    <n v="2014"/>
  </r>
  <r>
    <n v="981"/>
    <n v="4"/>
    <n v="3"/>
    <x v="556"/>
    <n v="85"/>
    <n v="22"/>
    <n v="0"/>
    <n v="1870"/>
    <s v="Tshirt Unlimited"/>
    <s v="Phoenix"/>
    <s v="Both"/>
    <x v="13"/>
    <n v="2014"/>
  </r>
  <r>
    <n v="982"/>
    <n v="2"/>
    <n v="7"/>
    <x v="557"/>
    <n v="68"/>
    <n v="38"/>
    <n v="0"/>
    <n v="2584"/>
    <s v="A Shirts Life"/>
    <s v="Portland"/>
    <s v="Female"/>
    <x v="27"/>
    <n v="2014"/>
  </r>
  <r>
    <n v="983"/>
    <n v="1"/>
    <n v="8"/>
    <x v="558"/>
    <n v="89"/>
    <n v="27"/>
    <n v="5.0000001000000002E-2"/>
    <n v="2282.8499975969999"/>
    <s v="Threads"/>
    <s v="Seattle"/>
    <s v="Female"/>
    <x v="14"/>
    <n v="2014"/>
  </r>
  <r>
    <n v="984"/>
    <n v="5"/>
    <n v="9"/>
    <x v="558"/>
    <n v="139"/>
    <n v="25"/>
    <n v="0"/>
    <n v="3475"/>
    <s v="Rags to Riches"/>
    <s v="Las Vegas"/>
    <s v="Male"/>
    <x v="14"/>
    <n v="2014"/>
  </r>
  <r>
    <n v="985"/>
    <n v="3"/>
    <n v="3"/>
    <x v="559"/>
    <n v="68"/>
    <n v="22"/>
    <n v="0"/>
    <n v="1496"/>
    <s v="Shirts R Us"/>
    <s v="Los Angeles"/>
    <s v="Both"/>
    <x v="16"/>
    <n v="2014"/>
  </r>
  <r>
    <n v="986"/>
    <n v="3"/>
    <n v="7"/>
    <x v="559"/>
    <n v="118"/>
    <n v="38"/>
    <n v="0"/>
    <n v="4484"/>
    <s v="Shirts R Us"/>
    <s v="Los Angeles"/>
    <s v="Female"/>
    <x v="16"/>
    <n v="2014"/>
  </r>
  <r>
    <n v="987"/>
    <n v="4"/>
    <n v="4"/>
    <x v="559"/>
    <n v="143"/>
    <n v="30"/>
    <n v="0"/>
    <n v="4290"/>
    <s v="Tshirt Unlimited"/>
    <s v="Phoenix"/>
    <s v="Both"/>
    <x v="16"/>
    <n v="2014"/>
  </r>
  <r>
    <n v="988"/>
    <n v="7"/>
    <n v="6"/>
    <x v="560"/>
    <n v="34"/>
    <n v="28"/>
    <n v="0"/>
    <n v="952"/>
    <s v="The Shirt on Your Back"/>
    <s v="Bonners Ferry"/>
    <s v="Female"/>
    <x v="17"/>
    <n v="2014"/>
  </r>
  <r>
    <n v="989"/>
    <n v="7"/>
    <n v="1"/>
    <x v="561"/>
    <n v="133"/>
    <n v="20"/>
    <n v="0"/>
    <n v="2660"/>
    <s v="The Shirt on Your Back"/>
    <s v="Bonners Ferry"/>
    <s v="Both"/>
    <x v="18"/>
    <n v="2014"/>
  </r>
  <r>
    <n v="990"/>
    <n v="3"/>
    <n v="7"/>
    <x v="562"/>
    <n v="135"/>
    <n v="38"/>
    <n v="0"/>
    <n v="5130"/>
    <s v="Shirts R Us"/>
    <s v="Los Angeles"/>
    <s v="Female"/>
    <x v="20"/>
    <n v="2014"/>
  </r>
  <r>
    <n v="991"/>
    <n v="5"/>
    <n v="2"/>
    <x v="562"/>
    <n v="99"/>
    <n v="30"/>
    <n v="0"/>
    <n v="2970"/>
    <s v="Rags to Riches"/>
    <s v="Las Vegas"/>
    <s v="Both"/>
    <x v="20"/>
    <n v="2014"/>
  </r>
  <r>
    <n v="992"/>
    <n v="3"/>
    <n v="5"/>
    <x v="563"/>
    <n v="149"/>
    <n v="16"/>
    <n v="0"/>
    <n v="2384"/>
    <s v="Shirts R Us"/>
    <s v="Los Angeles"/>
    <s v="Female"/>
    <x v="0"/>
    <n v="2014"/>
  </r>
  <r>
    <n v="993"/>
    <n v="4"/>
    <n v="5"/>
    <x v="563"/>
    <n v="92"/>
    <n v="16"/>
    <n v="5.0000001000000002E-2"/>
    <n v="1398.399998528"/>
    <s v="Tshirt Unlimited"/>
    <s v="Phoenix"/>
    <s v="Female"/>
    <x v="0"/>
    <n v="2014"/>
  </r>
  <r>
    <n v="994"/>
    <n v="1"/>
    <n v="4"/>
    <x v="564"/>
    <n v="71"/>
    <n v="30"/>
    <n v="0"/>
    <n v="2130"/>
    <s v="Threads"/>
    <s v="Seattle"/>
    <s v="Both"/>
    <x v="23"/>
    <n v="2014"/>
  </r>
  <r>
    <n v="995"/>
    <n v="1"/>
    <n v="7"/>
    <x v="565"/>
    <n v="31"/>
    <n v="38"/>
    <n v="0"/>
    <n v="1178"/>
    <s v="Threads"/>
    <s v="Seattle"/>
    <s v="Female"/>
    <x v="2"/>
    <n v="2014"/>
  </r>
  <r>
    <n v="996"/>
    <n v="4"/>
    <n v="1"/>
    <x v="565"/>
    <n v="121"/>
    <n v="20"/>
    <n v="0"/>
    <n v="2420"/>
    <s v="Tshirt Unlimited"/>
    <s v="Phoenix"/>
    <s v="Both"/>
    <x v="2"/>
    <n v="2014"/>
  </r>
  <r>
    <n v="997"/>
    <n v="1"/>
    <n v="5"/>
    <x v="566"/>
    <n v="121"/>
    <n v="16"/>
    <n v="0"/>
    <n v="1936"/>
    <s v="Threads"/>
    <s v="Seattle"/>
    <s v="Female"/>
    <x v="4"/>
    <n v="2014"/>
  </r>
  <r>
    <n v="998"/>
    <n v="6"/>
    <n v="6"/>
    <x v="567"/>
    <n v="60"/>
    <n v="28"/>
    <n v="0"/>
    <n v="1680"/>
    <s v="Abracadaba Ink"/>
    <s v="Salt Lake City"/>
    <s v="Female"/>
    <x v="30"/>
    <n v="2014"/>
  </r>
  <r>
    <n v="999"/>
    <n v="6"/>
    <n v="5"/>
    <x v="568"/>
    <n v="48"/>
    <n v="16"/>
    <n v="0"/>
    <n v="768"/>
    <s v="Abracadaba Ink"/>
    <s v="Salt Lake City"/>
    <s v="Female"/>
    <x v="8"/>
    <n v="2014"/>
  </r>
  <r>
    <n v="1000"/>
    <n v="7"/>
    <n v="3"/>
    <x v="568"/>
    <n v="92"/>
    <n v="22"/>
    <n v="0"/>
    <n v="2024"/>
    <s v="The Shirt on Your Back"/>
    <s v="Bonners Ferry"/>
    <s v="Both"/>
    <x v="8"/>
    <n v="2014"/>
  </r>
  <r>
    <n v="1001"/>
    <n v="1"/>
    <n v="1"/>
    <x v="569"/>
    <n v="133"/>
    <n v="20"/>
    <n v="0"/>
    <n v="2660"/>
    <s v="Threads"/>
    <s v="Seattle"/>
    <s v="Both"/>
    <x v="9"/>
    <n v="2014"/>
  </r>
  <r>
    <n v="1002"/>
    <n v="1"/>
    <n v="6"/>
    <x v="569"/>
    <n v="112"/>
    <n v="28"/>
    <n v="5.0000001000000002E-2"/>
    <n v="2979.1999968639998"/>
    <s v="Threads"/>
    <s v="Seattle"/>
    <s v="Female"/>
    <x v="9"/>
    <n v="2014"/>
  </r>
  <r>
    <n v="1003"/>
    <n v="1"/>
    <n v="10"/>
    <x v="569"/>
    <n v="59"/>
    <n v="35"/>
    <n v="0"/>
    <n v="2065"/>
    <s v="Threads"/>
    <s v="Seattle"/>
    <s v="Male"/>
    <x v="9"/>
    <n v="2014"/>
  </r>
  <r>
    <n v="1004"/>
    <n v="4"/>
    <n v="2"/>
    <x v="569"/>
    <n v="96"/>
    <n v="30"/>
    <n v="0"/>
    <n v="2880"/>
    <s v="Tshirt Unlimited"/>
    <s v="Phoenix"/>
    <s v="Both"/>
    <x v="9"/>
    <n v="2014"/>
  </r>
  <r>
    <n v="1005"/>
    <n v="4"/>
    <n v="5"/>
    <x v="569"/>
    <n v="73"/>
    <n v="16"/>
    <n v="5.0000001000000002E-2"/>
    <n v="1109.599998832"/>
    <s v="Tshirt Unlimited"/>
    <s v="Phoenix"/>
    <s v="Female"/>
    <x v="9"/>
    <n v="2014"/>
  </r>
  <r>
    <n v="1006"/>
    <n v="7"/>
    <n v="1"/>
    <x v="569"/>
    <n v="103"/>
    <n v="20"/>
    <n v="0"/>
    <n v="2060"/>
    <s v="The Shirt on Your Back"/>
    <s v="Bonners Ferry"/>
    <s v="Both"/>
    <x v="9"/>
    <n v="2014"/>
  </r>
  <r>
    <n v="1007"/>
    <n v="2"/>
    <n v="7"/>
    <x v="570"/>
    <n v="135"/>
    <n v="38"/>
    <n v="0"/>
    <n v="5130"/>
    <s v="A Shirts Life"/>
    <s v="Portland"/>
    <s v="Female"/>
    <x v="11"/>
    <n v="2014"/>
  </r>
  <r>
    <n v="1008"/>
    <n v="3"/>
    <n v="10"/>
    <x v="570"/>
    <n v="26"/>
    <n v="35"/>
    <n v="0"/>
    <n v="910"/>
    <s v="Shirts R Us"/>
    <s v="Los Angeles"/>
    <s v="Male"/>
    <x v="11"/>
    <n v="2014"/>
  </r>
  <r>
    <n v="1009"/>
    <n v="4"/>
    <n v="5"/>
    <x v="570"/>
    <n v="52"/>
    <n v="16"/>
    <n v="0"/>
    <n v="832"/>
    <s v="Tshirt Unlimited"/>
    <s v="Phoenix"/>
    <s v="Female"/>
    <x v="11"/>
    <n v="2014"/>
  </r>
  <r>
    <n v="1010"/>
    <n v="5"/>
    <n v="2"/>
    <x v="571"/>
    <n v="117"/>
    <n v="30"/>
    <n v="0"/>
    <n v="3510"/>
    <s v="Rags to Riches"/>
    <s v="Las Vegas"/>
    <s v="Both"/>
    <x v="12"/>
    <n v="2014"/>
  </r>
  <r>
    <n v="1011"/>
    <n v="5"/>
    <n v="6"/>
    <x v="571"/>
    <n v="118"/>
    <n v="28"/>
    <n v="0"/>
    <n v="3304"/>
    <s v="Rags to Riches"/>
    <s v="Las Vegas"/>
    <s v="Female"/>
    <x v="12"/>
    <n v="2014"/>
  </r>
  <r>
    <n v="1012"/>
    <n v="7"/>
    <n v="2"/>
    <x v="572"/>
    <n v="85"/>
    <n v="30"/>
    <n v="0.15000000599999999"/>
    <n v="2167.4999846999999"/>
    <s v="The Shirt on Your Back"/>
    <s v="Bonners Ferry"/>
    <s v="Both"/>
    <x v="13"/>
    <n v="2014"/>
  </r>
  <r>
    <n v="1013"/>
    <n v="2"/>
    <n v="5"/>
    <x v="573"/>
    <n v="28"/>
    <n v="16"/>
    <n v="0"/>
    <n v="448"/>
    <s v="A Shirts Life"/>
    <s v="Portland"/>
    <s v="Female"/>
    <x v="27"/>
    <n v="2014"/>
  </r>
  <r>
    <n v="1014"/>
    <n v="7"/>
    <n v="7"/>
    <x v="573"/>
    <n v="65"/>
    <n v="38"/>
    <n v="0"/>
    <n v="2470"/>
    <s v="The Shirt on Your Back"/>
    <s v="Bonners Ferry"/>
    <s v="Female"/>
    <x v="27"/>
    <n v="2014"/>
  </r>
  <r>
    <n v="1015"/>
    <n v="1"/>
    <n v="3"/>
    <x v="574"/>
    <n v="120"/>
    <n v="22"/>
    <n v="0"/>
    <n v="2640"/>
    <s v="Threads"/>
    <s v="Seattle"/>
    <s v="Both"/>
    <x v="15"/>
    <n v="2014"/>
  </r>
  <r>
    <n v="1016"/>
    <n v="6"/>
    <n v="8"/>
    <x v="574"/>
    <n v="70"/>
    <n v="27"/>
    <n v="0"/>
    <n v="1890"/>
    <s v="Abracadaba Ink"/>
    <s v="Salt Lake City"/>
    <s v="Female"/>
    <x v="15"/>
    <n v="2014"/>
  </r>
  <r>
    <n v="1017"/>
    <n v="7"/>
    <n v="8"/>
    <x v="574"/>
    <n v="146"/>
    <n v="27"/>
    <n v="0"/>
    <n v="3942"/>
    <s v="The Shirt on Your Back"/>
    <s v="Bonners Ferry"/>
    <s v="Female"/>
    <x v="15"/>
    <n v="2014"/>
  </r>
  <r>
    <n v="1018"/>
    <n v="1"/>
    <n v="3"/>
    <x v="575"/>
    <n v="81"/>
    <n v="22"/>
    <n v="0"/>
    <n v="1782"/>
    <s v="Threads"/>
    <s v="Seattle"/>
    <s v="Both"/>
    <x v="17"/>
    <n v="2014"/>
  </r>
  <r>
    <n v="1019"/>
    <n v="6"/>
    <n v="10"/>
    <x v="575"/>
    <n v="132"/>
    <n v="35"/>
    <n v="0.10000000100000001"/>
    <n v="4157.9999953799997"/>
    <s v="Abracadaba Ink"/>
    <s v="Salt Lake City"/>
    <s v="Male"/>
    <x v="17"/>
    <n v="2014"/>
  </r>
  <r>
    <n v="1020"/>
    <n v="3"/>
    <n v="4"/>
    <x v="576"/>
    <n v="34"/>
    <n v="30"/>
    <n v="0"/>
    <n v="1020"/>
    <s v="Shirts R Us"/>
    <s v="Los Angeles"/>
    <s v="Both"/>
    <x v="18"/>
    <n v="2014"/>
  </r>
  <r>
    <n v="1021"/>
    <n v="7"/>
    <n v="4"/>
    <x v="576"/>
    <n v="48"/>
    <n v="30"/>
    <n v="0"/>
    <n v="1440"/>
    <s v="The Shirt on Your Back"/>
    <s v="Bonners Ferry"/>
    <s v="Both"/>
    <x v="18"/>
    <n v="2014"/>
  </r>
  <r>
    <n v="1022"/>
    <n v="3"/>
    <n v="2"/>
    <x v="577"/>
    <n v="71"/>
    <n v="30"/>
    <n v="5.0000001000000002E-2"/>
    <n v="2023.49999787"/>
    <s v="Shirts R Us"/>
    <s v="Los Angeles"/>
    <s v="Both"/>
    <x v="19"/>
    <n v="2014"/>
  </r>
  <r>
    <n v="1023"/>
    <n v="6"/>
    <n v="1"/>
    <x v="577"/>
    <n v="117"/>
    <n v="20"/>
    <n v="0"/>
    <n v="2340"/>
    <s v="Abracadaba Ink"/>
    <s v="Salt Lake City"/>
    <s v="Both"/>
    <x v="19"/>
    <n v="2014"/>
  </r>
  <r>
    <n v="1024"/>
    <n v="2"/>
    <n v="5"/>
    <x v="578"/>
    <n v="84"/>
    <n v="16"/>
    <n v="0"/>
    <n v="1344"/>
    <s v="A Shirts Life"/>
    <s v="Portland"/>
    <s v="Female"/>
    <x v="22"/>
    <n v="2014"/>
  </r>
  <r>
    <n v="1025"/>
    <n v="5"/>
    <n v="1"/>
    <x v="578"/>
    <n v="135"/>
    <n v="20"/>
    <n v="0.10000000100000001"/>
    <n v="2429.9999972999999"/>
    <s v="Rags to Riches"/>
    <s v="Las Vegas"/>
    <s v="Both"/>
    <x v="22"/>
    <n v="2014"/>
  </r>
  <r>
    <n v="1026"/>
    <n v="7"/>
    <n v="1"/>
    <x v="578"/>
    <n v="144"/>
    <n v="20"/>
    <n v="0"/>
    <n v="2880"/>
    <s v="The Shirt on Your Back"/>
    <s v="Bonners Ferry"/>
    <s v="Both"/>
    <x v="22"/>
    <n v="2014"/>
  </r>
  <r>
    <n v="1027"/>
    <n v="6"/>
    <n v="4"/>
    <x v="579"/>
    <n v="116"/>
    <n v="30"/>
    <n v="0"/>
    <n v="3480"/>
    <s v="Abracadaba Ink"/>
    <s v="Salt Lake City"/>
    <s v="Both"/>
    <x v="29"/>
    <n v="2014"/>
  </r>
  <r>
    <n v="1028"/>
    <n v="1"/>
    <n v="7"/>
    <x v="580"/>
    <n v="29"/>
    <n v="38"/>
    <n v="5.0000001000000002E-2"/>
    <n v="1046.8999988979999"/>
    <s v="Threads"/>
    <s v="Seattle"/>
    <s v="Female"/>
    <x v="28"/>
    <n v="2014"/>
  </r>
  <r>
    <n v="1029"/>
    <n v="5"/>
    <n v="6"/>
    <x v="580"/>
    <n v="43"/>
    <n v="28"/>
    <n v="0"/>
    <n v="1204"/>
    <s v="Rags to Riches"/>
    <s v="Las Vegas"/>
    <s v="Female"/>
    <x v="28"/>
    <n v="2014"/>
  </r>
  <r>
    <n v="1030"/>
    <n v="5"/>
    <n v="9"/>
    <x v="580"/>
    <n v="134"/>
    <n v="25"/>
    <n v="0"/>
    <n v="3350"/>
    <s v="Rags to Riches"/>
    <s v="Las Vegas"/>
    <s v="Male"/>
    <x v="28"/>
    <n v="2014"/>
  </r>
  <r>
    <n v="1031"/>
    <n v="2"/>
    <n v="1"/>
    <x v="581"/>
    <n v="125"/>
    <n v="20"/>
    <n v="0.10000000100000001"/>
    <n v="2249.9999975000001"/>
    <s v="A Shirts Life"/>
    <s v="Portland"/>
    <s v="Both"/>
    <x v="0"/>
    <n v="2014"/>
  </r>
  <r>
    <n v="1032"/>
    <n v="6"/>
    <n v="2"/>
    <x v="582"/>
    <n v="40"/>
    <n v="30"/>
    <n v="0"/>
    <n v="1200"/>
    <s v="Abracadaba Ink"/>
    <s v="Salt Lake City"/>
    <s v="Both"/>
    <x v="1"/>
    <n v="2014"/>
  </r>
  <r>
    <n v="1033"/>
    <n v="7"/>
    <n v="3"/>
    <x v="582"/>
    <n v="144"/>
    <n v="22"/>
    <n v="0"/>
    <n v="3168"/>
    <s v="The Shirt on Your Back"/>
    <s v="Bonners Ferry"/>
    <s v="Both"/>
    <x v="1"/>
    <n v="2014"/>
  </r>
  <r>
    <n v="1034"/>
    <n v="5"/>
    <n v="1"/>
    <x v="583"/>
    <n v="63"/>
    <n v="20"/>
    <n v="0.10000000100000001"/>
    <n v="1133.9999987399999"/>
    <s v="Rags to Riches"/>
    <s v="Las Vegas"/>
    <s v="Both"/>
    <x v="23"/>
    <n v="2014"/>
  </r>
  <r>
    <n v="1035"/>
    <n v="7"/>
    <n v="8"/>
    <x v="583"/>
    <n v="85"/>
    <n v="27"/>
    <n v="0"/>
    <n v="2295"/>
    <s v="The Shirt on Your Back"/>
    <s v="Bonners Ferry"/>
    <s v="Female"/>
    <x v="23"/>
    <n v="2014"/>
  </r>
  <r>
    <n v="1036"/>
    <n v="6"/>
    <n v="8"/>
    <x v="584"/>
    <n v="52"/>
    <n v="27"/>
    <n v="0"/>
    <n v="1404"/>
    <s v="Abracadaba Ink"/>
    <s v="Salt Lake City"/>
    <s v="Female"/>
    <x v="2"/>
    <n v="2014"/>
  </r>
  <r>
    <n v="1037"/>
    <n v="6"/>
    <n v="6"/>
    <x v="585"/>
    <n v="38"/>
    <n v="28"/>
    <n v="5.0000001000000002E-2"/>
    <n v="1010.799998936"/>
    <s v="Abracadaba Ink"/>
    <s v="Salt Lake City"/>
    <s v="Female"/>
    <x v="24"/>
    <n v="2014"/>
  </r>
  <r>
    <n v="1038"/>
    <n v="6"/>
    <n v="10"/>
    <x v="586"/>
    <n v="147"/>
    <n v="35"/>
    <n v="0"/>
    <n v="5145"/>
    <s v="Abracadaba Ink"/>
    <s v="Salt Lake City"/>
    <s v="Male"/>
    <x v="3"/>
    <n v="2014"/>
  </r>
  <r>
    <n v="1039"/>
    <n v="7"/>
    <n v="9"/>
    <x v="586"/>
    <n v="33"/>
    <n v="25"/>
    <n v="5.0000001000000002E-2"/>
    <n v="783.74999917499997"/>
    <s v="The Shirt on Your Back"/>
    <s v="Bonners Ferry"/>
    <s v="Male"/>
    <x v="3"/>
    <n v="2014"/>
  </r>
  <r>
    <n v="1040"/>
    <n v="3"/>
    <n v="2"/>
    <x v="587"/>
    <n v="136"/>
    <n v="30"/>
    <n v="0"/>
    <n v="4080"/>
    <s v="Shirts R Us"/>
    <s v="Los Angeles"/>
    <s v="Both"/>
    <x v="5"/>
    <n v="2014"/>
  </r>
  <r>
    <n v="1041"/>
    <n v="3"/>
    <n v="7"/>
    <x v="587"/>
    <n v="146"/>
    <n v="38"/>
    <n v="0"/>
    <n v="5548"/>
    <s v="Shirts R Us"/>
    <s v="Los Angeles"/>
    <s v="Female"/>
    <x v="5"/>
    <n v="2014"/>
  </r>
  <r>
    <n v="1042"/>
    <n v="4"/>
    <n v="3"/>
    <x v="587"/>
    <n v="40"/>
    <n v="22"/>
    <n v="0"/>
    <n v="880"/>
    <s v="Tshirt Unlimited"/>
    <s v="Phoenix"/>
    <s v="Both"/>
    <x v="5"/>
    <n v="2014"/>
  </r>
  <r>
    <n v="1043"/>
    <n v="7"/>
    <n v="9"/>
    <x v="588"/>
    <n v="35"/>
    <n v="25"/>
    <n v="0"/>
    <n v="875"/>
    <s v="The Shirt on Your Back"/>
    <s v="Bonners Ferry"/>
    <s v="Male"/>
    <x v="7"/>
    <n v="2014"/>
  </r>
  <r>
    <n v="1044"/>
    <n v="6"/>
    <n v="9"/>
    <x v="589"/>
    <n v="137"/>
    <n v="25"/>
    <n v="5.0000001000000002E-2"/>
    <n v="3253.7499965749998"/>
    <s v="Abracadaba Ink"/>
    <s v="Salt Lake City"/>
    <s v="Male"/>
    <x v="25"/>
    <n v="2014"/>
  </r>
  <r>
    <n v="1045"/>
    <n v="2"/>
    <n v="7"/>
    <x v="590"/>
    <n v="78"/>
    <n v="38"/>
    <n v="0"/>
    <n v="2964"/>
    <s v="A Shirts Life"/>
    <s v="Portland"/>
    <s v="Female"/>
    <x v="9"/>
    <n v="2014"/>
  </r>
  <r>
    <n v="1046"/>
    <n v="2"/>
    <n v="1"/>
    <x v="591"/>
    <n v="39"/>
    <n v="20"/>
    <n v="0"/>
    <n v="780"/>
    <s v="A Shirts Life"/>
    <s v="Portland"/>
    <s v="Both"/>
    <x v="10"/>
    <n v="2014"/>
  </r>
  <r>
    <n v="1047"/>
    <n v="5"/>
    <n v="3"/>
    <x v="592"/>
    <n v="91"/>
    <n v="22"/>
    <n v="0"/>
    <n v="2002"/>
    <s v="Rags to Riches"/>
    <s v="Las Vegas"/>
    <s v="Both"/>
    <x v="11"/>
    <n v="2014"/>
  </r>
  <r>
    <n v="1048"/>
    <n v="6"/>
    <n v="2"/>
    <x v="592"/>
    <n v="64"/>
    <n v="30"/>
    <n v="0"/>
    <n v="1920"/>
    <s v="Abracadaba Ink"/>
    <s v="Salt Lake City"/>
    <s v="Both"/>
    <x v="11"/>
    <n v="2014"/>
  </r>
  <r>
    <n v="1049"/>
    <n v="2"/>
    <n v="1"/>
    <x v="593"/>
    <n v="146"/>
    <n v="20"/>
    <n v="0.10000000100000001"/>
    <n v="2627.99999708"/>
    <s v="A Shirts Life"/>
    <s v="Portland"/>
    <s v="Both"/>
    <x v="12"/>
    <n v="2014"/>
  </r>
  <r>
    <n v="1050"/>
    <n v="1"/>
    <n v="7"/>
    <x v="594"/>
    <n v="127"/>
    <n v="38"/>
    <n v="0"/>
    <n v="4826"/>
    <s v="Threads"/>
    <s v="Seattle"/>
    <s v="Female"/>
    <x v="13"/>
    <n v="2014"/>
  </r>
  <r>
    <n v="1051"/>
    <n v="3"/>
    <n v="10"/>
    <x v="594"/>
    <n v="105"/>
    <n v="35"/>
    <n v="0"/>
    <n v="3675"/>
    <s v="Shirts R Us"/>
    <s v="Los Angeles"/>
    <s v="Male"/>
    <x v="13"/>
    <n v="2014"/>
  </r>
  <r>
    <n v="1052"/>
    <n v="4"/>
    <n v="10"/>
    <x v="594"/>
    <n v="129"/>
    <n v="35"/>
    <n v="0"/>
    <n v="4515"/>
    <s v="Tshirt Unlimited"/>
    <s v="Phoenix"/>
    <s v="Male"/>
    <x v="13"/>
    <n v="2014"/>
  </r>
  <r>
    <n v="1053"/>
    <n v="1"/>
    <n v="4"/>
    <x v="595"/>
    <n v="121"/>
    <n v="30"/>
    <n v="0"/>
    <n v="3630"/>
    <s v="Threads"/>
    <s v="Seattle"/>
    <s v="Both"/>
    <x v="14"/>
    <n v="2014"/>
  </r>
  <r>
    <n v="1054"/>
    <n v="6"/>
    <n v="5"/>
    <x v="596"/>
    <n v="81"/>
    <n v="16"/>
    <n v="0"/>
    <n v="1296"/>
    <s v="Abracadaba Ink"/>
    <s v="Salt Lake City"/>
    <s v="Female"/>
    <x v="15"/>
    <n v="2014"/>
  </r>
  <r>
    <n v="1055"/>
    <n v="4"/>
    <n v="1"/>
    <x v="597"/>
    <n v="138"/>
    <n v="20"/>
    <n v="0"/>
    <n v="2760"/>
    <s v="Tshirt Unlimited"/>
    <s v="Phoenix"/>
    <s v="Both"/>
    <x v="16"/>
    <n v="2014"/>
  </r>
  <r>
    <n v="1056"/>
    <n v="4"/>
    <n v="1"/>
    <x v="598"/>
    <n v="80"/>
    <n v="20"/>
    <n v="0"/>
    <n v="1600"/>
    <s v="Tshirt Unlimited"/>
    <s v="Phoenix"/>
    <s v="Both"/>
    <x v="17"/>
    <n v="2014"/>
  </r>
  <r>
    <n v="1057"/>
    <n v="5"/>
    <n v="9"/>
    <x v="598"/>
    <n v="89"/>
    <n v="25"/>
    <n v="0"/>
    <n v="2225"/>
    <s v="Rags to Riches"/>
    <s v="Las Vegas"/>
    <s v="Male"/>
    <x v="17"/>
    <n v="2014"/>
  </r>
  <r>
    <n v="1058"/>
    <n v="2"/>
    <n v="7"/>
    <x v="599"/>
    <n v="72"/>
    <n v="38"/>
    <n v="0"/>
    <n v="2736"/>
    <s v="A Shirts Life"/>
    <s v="Portland"/>
    <s v="Female"/>
    <x v="19"/>
    <n v="2014"/>
  </r>
  <r>
    <n v="1059"/>
    <n v="1"/>
    <n v="1"/>
    <x v="600"/>
    <n v="62"/>
    <n v="20"/>
    <n v="0"/>
    <n v="1240"/>
    <s v="Threads"/>
    <s v="Seattle"/>
    <s v="Both"/>
    <x v="20"/>
    <n v="2014"/>
  </r>
  <r>
    <n v="1060"/>
    <n v="4"/>
    <n v="4"/>
    <x v="600"/>
    <n v="86"/>
    <n v="30"/>
    <n v="5.0000001000000002E-2"/>
    <n v="2450.99999742"/>
    <s v="Tshirt Unlimited"/>
    <s v="Phoenix"/>
    <s v="Both"/>
    <x v="20"/>
    <n v="2014"/>
  </r>
  <r>
    <n v="1061"/>
    <n v="4"/>
    <n v="9"/>
    <x v="601"/>
    <n v="67"/>
    <n v="25"/>
    <n v="0"/>
    <n v="1675"/>
    <s v="Tshirt Unlimited"/>
    <s v="Phoenix"/>
    <s v="Male"/>
    <x v="21"/>
    <n v="2014"/>
  </r>
  <r>
    <n v="1062"/>
    <n v="1"/>
    <n v="10"/>
    <x v="602"/>
    <n v="147"/>
    <n v="35"/>
    <n v="0"/>
    <n v="5145"/>
    <s v="Threads"/>
    <s v="Seattle"/>
    <s v="Male"/>
    <x v="22"/>
    <n v="2014"/>
  </r>
  <r>
    <n v="1063"/>
    <n v="1"/>
    <n v="6"/>
    <x v="603"/>
    <n v="124"/>
    <n v="28"/>
    <n v="0"/>
    <n v="3472"/>
    <s v="Threads"/>
    <s v="Seattle"/>
    <s v="Female"/>
    <x v="0"/>
    <n v="2014"/>
  </r>
  <r>
    <n v="1064"/>
    <n v="2"/>
    <n v="1"/>
    <x v="603"/>
    <n v="85"/>
    <n v="20"/>
    <n v="0.10000000100000001"/>
    <n v="1529.9999983"/>
    <s v="A Shirts Life"/>
    <s v="Portland"/>
    <s v="Both"/>
    <x v="0"/>
    <n v="2014"/>
  </r>
  <r>
    <n v="1065"/>
    <n v="4"/>
    <n v="2"/>
    <x v="603"/>
    <n v="106"/>
    <n v="30"/>
    <n v="0"/>
    <n v="3180"/>
    <s v="Tshirt Unlimited"/>
    <s v="Phoenix"/>
    <s v="Both"/>
    <x v="0"/>
    <n v="2014"/>
  </r>
  <r>
    <n v="1066"/>
    <n v="7"/>
    <n v="8"/>
    <x v="604"/>
    <n v="31"/>
    <n v="27"/>
    <n v="0"/>
    <n v="837"/>
    <s v="The Shirt on Your Back"/>
    <s v="Bonners Ferry"/>
    <s v="Female"/>
    <x v="1"/>
    <n v="2014"/>
  </r>
  <r>
    <n v="1067"/>
    <n v="2"/>
    <n v="5"/>
    <x v="605"/>
    <n v="97"/>
    <n v="16"/>
    <n v="0.15000000599999999"/>
    <n v="1319.1999906880001"/>
    <s v="A Shirts Life"/>
    <s v="Portland"/>
    <s v="Female"/>
    <x v="2"/>
    <n v="2014"/>
  </r>
  <r>
    <n v="1068"/>
    <n v="5"/>
    <n v="8"/>
    <x v="605"/>
    <n v="49"/>
    <n v="27"/>
    <n v="0"/>
    <n v="1323"/>
    <s v="Rags to Riches"/>
    <s v="Las Vegas"/>
    <s v="Female"/>
    <x v="2"/>
    <n v="2014"/>
  </r>
  <r>
    <n v="1069"/>
    <n v="2"/>
    <n v="4"/>
    <x v="606"/>
    <n v="122"/>
    <n v="30"/>
    <n v="0.10000000100000001"/>
    <n v="3293.9999963400001"/>
    <s v="A Shirts Life"/>
    <s v="Portland"/>
    <s v="Both"/>
    <x v="3"/>
    <n v="2014"/>
  </r>
  <r>
    <n v="1070"/>
    <n v="5"/>
    <n v="6"/>
    <x v="606"/>
    <n v="146"/>
    <n v="28"/>
    <n v="0.10000000100000001"/>
    <n v="3679.1999959119998"/>
    <s v="Rags to Riches"/>
    <s v="Las Vegas"/>
    <s v="Female"/>
    <x v="3"/>
    <n v="2014"/>
  </r>
  <r>
    <n v="1071"/>
    <n v="5"/>
    <n v="9"/>
    <x v="607"/>
    <n v="109"/>
    <n v="25"/>
    <n v="0.10000000100000001"/>
    <n v="2452.4999972750002"/>
    <s v="Rags to Riches"/>
    <s v="Las Vegas"/>
    <s v="Male"/>
    <x v="4"/>
    <n v="2014"/>
  </r>
  <r>
    <n v="1072"/>
    <n v="2"/>
    <n v="3"/>
    <x v="608"/>
    <n v="67"/>
    <n v="22"/>
    <n v="0"/>
    <n v="1474"/>
    <s v="A Shirts Life"/>
    <s v="Portland"/>
    <s v="Both"/>
    <x v="6"/>
    <n v="2014"/>
  </r>
  <r>
    <n v="1073"/>
    <n v="4"/>
    <n v="4"/>
    <x v="608"/>
    <n v="149"/>
    <n v="30"/>
    <n v="0"/>
    <n v="4470"/>
    <s v="Tshirt Unlimited"/>
    <s v="Phoenix"/>
    <s v="Both"/>
    <x v="6"/>
    <n v="2014"/>
  </r>
  <r>
    <n v="1074"/>
    <n v="6"/>
    <n v="2"/>
    <x v="609"/>
    <n v="63"/>
    <n v="30"/>
    <n v="0"/>
    <n v="1890"/>
    <s v="Abracadaba Ink"/>
    <s v="Salt Lake City"/>
    <s v="Both"/>
    <x v="30"/>
    <n v="2014"/>
  </r>
  <r>
    <n v="1075"/>
    <n v="6"/>
    <n v="6"/>
    <x v="609"/>
    <n v="100"/>
    <n v="28"/>
    <n v="5.0000001000000002E-2"/>
    <n v="2659.9999972000001"/>
    <s v="Abracadaba Ink"/>
    <s v="Salt Lake City"/>
    <s v="Female"/>
    <x v="30"/>
    <n v="2014"/>
  </r>
  <r>
    <n v="1076"/>
    <n v="2"/>
    <n v="6"/>
    <x v="610"/>
    <n v="110"/>
    <n v="28"/>
    <n v="0"/>
    <n v="3080"/>
    <s v="A Shirts Life"/>
    <s v="Portland"/>
    <s v="Female"/>
    <x v="25"/>
    <n v="2014"/>
  </r>
  <r>
    <n v="1077"/>
    <n v="7"/>
    <n v="1"/>
    <x v="610"/>
    <n v="79"/>
    <n v="20"/>
    <n v="5.0000001000000002E-2"/>
    <n v="1500.9999984199999"/>
    <s v="The Shirt on Your Back"/>
    <s v="Bonners Ferry"/>
    <s v="Both"/>
    <x v="25"/>
    <n v="2014"/>
  </r>
  <r>
    <n v="1078"/>
    <n v="1"/>
    <n v="1"/>
    <x v="611"/>
    <n v="134"/>
    <n v="20"/>
    <n v="0.10000000100000001"/>
    <n v="2411.9999973200001"/>
    <s v="Threads"/>
    <s v="Seattle"/>
    <s v="Both"/>
    <x v="8"/>
    <n v="2014"/>
  </r>
  <r>
    <n v="1079"/>
    <n v="1"/>
    <n v="4"/>
    <x v="611"/>
    <n v="98"/>
    <n v="30"/>
    <n v="0"/>
    <n v="2940"/>
    <s v="Threads"/>
    <s v="Seattle"/>
    <s v="Both"/>
    <x v="8"/>
    <n v="2014"/>
  </r>
  <r>
    <n v="1080"/>
    <n v="3"/>
    <n v="1"/>
    <x v="611"/>
    <n v="58"/>
    <n v="20"/>
    <n v="5.0000001000000002E-2"/>
    <n v="1101.99999884"/>
    <s v="Shirts R Us"/>
    <s v="Los Angeles"/>
    <s v="Both"/>
    <x v="8"/>
    <n v="2014"/>
  </r>
  <r>
    <n v="1081"/>
    <n v="3"/>
    <n v="7"/>
    <x v="611"/>
    <n v="48"/>
    <n v="38"/>
    <n v="0"/>
    <n v="1824"/>
    <s v="Shirts R Us"/>
    <s v="Los Angeles"/>
    <s v="Female"/>
    <x v="8"/>
    <n v="2014"/>
  </r>
  <r>
    <n v="1082"/>
    <n v="4"/>
    <n v="7"/>
    <x v="612"/>
    <n v="149"/>
    <n v="38"/>
    <n v="5.0000001000000002E-2"/>
    <n v="5378.8999943380004"/>
    <s v="Tshirt Unlimited"/>
    <s v="Phoenix"/>
    <s v="Female"/>
    <x v="9"/>
    <n v="2014"/>
  </r>
  <r>
    <n v="1083"/>
    <n v="1"/>
    <n v="4"/>
    <x v="613"/>
    <n v="25"/>
    <n v="30"/>
    <n v="0"/>
    <n v="750"/>
    <s v="Threads"/>
    <s v="Seattle"/>
    <s v="Both"/>
    <x v="26"/>
    <n v="2014"/>
  </r>
  <r>
    <n v="1084"/>
    <n v="1"/>
    <n v="10"/>
    <x v="614"/>
    <n v="54"/>
    <n v="35"/>
    <n v="5.0000001000000002E-2"/>
    <n v="1795.49999811"/>
    <s v="Threads"/>
    <s v="Seattle"/>
    <s v="Male"/>
    <x v="11"/>
    <n v="2014"/>
  </r>
  <r>
    <n v="1085"/>
    <n v="3"/>
    <n v="8"/>
    <x v="615"/>
    <n v="102"/>
    <n v="27"/>
    <n v="0"/>
    <n v="2754"/>
    <s v="Shirts R Us"/>
    <s v="Los Angeles"/>
    <s v="Female"/>
    <x v="13"/>
    <n v="2014"/>
  </r>
  <r>
    <n v="1086"/>
    <n v="5"/>
    <n v="5"/>
    <x v="615"/>
    <n v="119"/>
    <n v="16"/>
    <n v="0"/>
    <n v="1904"/>
    <s v="Rags to Riches"/>
    <s v="Las Vegas"/>
    <s v="Female"/>
    <x v="13"/>
    <n v="2014"/>
  </r>
  <r>
    <n v="1087"/>
    <n v="1"/>
    <n v="5"/>
    <x v="616"/>
    <n v="40"/>
    <n v="16"/>
    <n v="0"/>
    <n v="640"/>
    <s v="Threads"/>
    <s v="Seattle"/>
    <s v="Female"/>
    <x v="14"/>
    <n v="2014"/>
  </r>
  <r>
    <n v="1088"/>
    <n v="4"/>
    <n v="9"/>
    <x v="616"/>
    <n v="133"/>
    <n v="25"/>
    <n v="5.0000001000000002E-2"/>
    <n v="3158.7499966750001"/>
    <s v="Tshirt Unlimited"/>
    <s v="Phoenix"/>
    <s v="Male"/>
    <x v="14"/>
    <n v="2014"/>
  </r>
  <r>
    <n v="1089"/>
    <n v="6"/>
    <n v="4"/>
    <x v="616"/>
    <n v="133"/>
    <n v="30"/>
    <n v="0"/>
    <n v="3990"/>
    <s v="Abracadaba Ink"/>
    <s v="Salt Lake City"/>
    <s v="Both"/>
    <x v="14"/>
    <n v="2014"/>
  </r>
  <r>
    <n v="1090"/>
    <n v="1"/>
    <n v="1"/>
    <x v="617"/>
    <n v="149"/>
    <n v="20"/>
    <n v="0"/>
    <n v="2980"/>
    <s v="Threads"/>
    <s v="Seattle"/>
    <s v="Both"/>
    <x v="15"/>
    <n v="2014"/>
  </r>
  <r>
    <n v="1091"/>
    <n v="2"/>
    <n v="5"/>
    <x v="617"/>
    <n v="54"/>
    <n v="16"/>
    <n v="0"/>
    <n v="864"/>
    <s v="A Shirts Life"/>
    <s v="Portland"/>
    <s v="Female"/>
    <x v="15"/>
    <n v="2014"/>
  </r>
  <r>
    <n v="1092"/>
    <n v="2"/>
    <n v="8"/>
    <x v="617"/>
    <n v="147"/>
    <n v="27"/>
    <n v="5.0000001000000002E-2"/>
    <n v="3770.5499960309999"/>
    <s v="A Shirts Life"/>
    <s v="Portland"/>
    <s v="Female"/>
    <x v="15"/>
    <n v="2014"/>
  </r>
  <r>
    <n v="1093"/>
    <n v="6"/>
    <n v="2"/>
    <x v="618"/>
    <n v="121"/>
    <n v="30"/>
    <n v="0"/>
    <n v="3630"/>
    <s v="Abracadaba Ink"/>
    <s v="Salt Lake City"/>
    <s v="Both"/>
    <x v="16"/>
    <n v="2014"/>
  </r>
  <r>
    <n v="1094"/>
    <n v="5"/>
    <n v="5"/>
    <x v="619"/>
    <n v="42"/>
    <n v="16"/>
    <n v="0"/>
    <n v="672"/>
    <s v="Rags to Riches"/>
    <s v="Las Vegas"/>
    <s v="Female"/>
    <x v="17"/>
    <n v="2014"/>
  </r>
  <r>
    <n v="1095"/>
    <n v="6"/>
    <n v="10"/>
    <x v="619"/>
    <n v="91"/>
    <n v="35"/>
    <n v="0"/>
    <n v="3185"/>
    <s v="Abracadaba Ink"/>
    <s v="Salt Lake City"/>
    <s v="Male"/>
    <x v="17"/>
    <n v="2014"/>
  </r>
  <r>
    <n v="1096"/>
    <n v="7"/>
    <n v="6"/>
    <x v="620"/>
    <n v="44"/>
    <n v="28"/>
    <n v="0"/>
    <n v="1232"/>
    <s v="The Shirt on Your Back"/>
    <s v="Bonners Ferry"/>
    <s v="Female"/>
    <x v="18"/>
    <n v="2014"/>
  </r>
  <r>
    <n v="1097"/>
    <n v="6"/>
    <n v="5"/>
    <x v="621"/>
    <n v="142"/>
    <n v="16"/>
    <n v="0"/>
    <n v="2272"/>
    <s v="Abracadaba Ink"/>
    <s v="Salt Lake City"/>
    <s v="Female"/>
    <x v="19"/>
    <n v="2014"/>
  </r>
  <r>
    <n v="1098"/>
    <n v="6"/>
    <n v="6"/>
    <x v="621"/>
    <n v="53"/>
    <n v="28"/>
    <n v="0"/>
    <n v="1484"/>
    <s v="Abracadaba Ink"/>
    <s v="Salt Lake City"/>
    <s v="Female"/>
    <x v="19"/>
    <n v="2014"/>
  </r>
  <r>
    <n v="1099"/>
    <n v="2"/>
    <n v="2"/>
    <x v="622"/>
    <n v="148"/>
    <n v="30"/>
    <n v="0"/>
    <n v="4440"/>
    <s v="A Shirts Life"/>
    <s v="Portland"/>
    <s v="Both"/>
    <x v="20"/>
    <n v="2014"/>
  </r>
  <r>
    <n v="1100"/>
    <n v="2"/>
    <n v="2"/>
    <x v="623"/>
    <n v="126"/>
    <n v="30"/>
    <n v="0"/>
    <n v="3780"/>
    <s v="A Shirts Life"/>
    <s v="Portland"/>
    <s v="Both"/>
    <x v="21"/>
    <n v="2014"/>
  </r>
  <r>
    <n v="1101"/>
    <n v="2"/>
    <n v="4"/>
    <x v="624"/>
    <n v="106"/>
    <n v="30"/>
    <n v="0"/>
    <n v="3180"/>
    <s v="A Shirts Life"/>
    <s v="Portland"/>
    <s v="Both"/>
    <x v="22"/>
    <n v="2014"/>
  </r>
  <r>
    <n v="1102"/>
    <n v="2"/>
    <n v="10"/>
    <x v="624"/>
    <n v="143"/>
    <n v="35"/>
    <n v="0"/>
    <n v="5005"/>
    <s v="A Shirts Life"/>
    <s v="Portland"/>
    <s v="Male"/>
    <x v="22"/>
    <n v="2014"/>
  </r>
  <r>
    <n v="1103"/>
    <n v="1"/>
    <n v="2"/>
    <x v="625"/>
    <n v="91"/>
    <n v="30"/>
    <n v="0"/>
    <n v="2730"/>
    <s v="Threads"/>
    <s v="Seattle"/>
    <s v="Both"/>
    <x v="29"/>
    <n v="2014"/>
  </r>
  <r>
    <n v="1104"/>
    <n v="3"/>
    <n v="4"/>
    <x v="625"/>
    <n v="44"/>
    <n v="30"/>
    <n v="0"/>
    <n v="1320"/>
    <s v="Shirts R Us"/>
    <s v="Los Angeles"/>
    <s v="Both"/>
    <x v="29"/>
    <n v="2014"/>
  </r>
  <r>
    <n v="1105"/>
    <n v="4"/>
    <n v="6"/>
    <x v="626"/>
    <n v="50"/>
    <n v="28"/>
    <n v="0"/>
    <n v="1400"/>
    <s v="Tshirt Unlimited"/>
    <s v="Phoenix"/>
    <s v="Female"/>
    <x v="28"/>
    <n v="2014"/>
  </r>
  <r>
    <n v="1106"/>
    <n v="5"/>
    <n v="7"/>
    <x v="626"/>
    <n v="71"/>
    <n v="38"/>
    <n v="0"/>
    <n v="2698"/>
    <s v="Rags to Riches"/>
    <s v="Las Vegas"/>
    <s v="Female"/>
    <x v="28"/>
    <n v="2014"/>
  </r>
  <r>
    <n v="1107"/>
    <n v="3"/>
    <n v="6"/>
    <x v="627"/>
    <n v="92"/>
    <n v="28"/>
    <n v="0"/>
    <n v="2576"/>
    <s v="Shirts R Us"/>
    <s v="Los Angeles"/>
    <s v="Female"/>
    <x v="0"/>
    <n v="2014"/>
  </r>
  <r>
    <n v="1108"/>
    <n v="7"/>
    <n v="6"/>
    <x v="628"/>
    <n v="29"/>
    <n v="28"/>
    <n v="0"/>
    <n v="812"/>
    <s v="The Shirt on Your Back"/>
    <s v="Bonners Ferry"/>
    <s v="Female"/>
    <x v="1"/>
    <n v="2014"/>
  </r>
  <r>
    <n v="1109"/>
    <n v="3"/>
    <n v="4"/>
    <x v="629"/>
    <n v="139"/>
    <n v="30"/>
    <n v="0"/>
    <n v="4170"/>
    <s v="Shirts R Us"/>
    <s v="Los Angeles"/>
    <s v="Both"/>
    <x v="23"/>
    <n v="2014"/>
  </r>
  <r>
    <n v="1110"/>
    <n v="3"/>
    <n v="8"/>
    <x v="629"/>
    <n v="71"/>
    <n v="27"/>
    <n v="0"/>
    <n v="1917"/>
    <s v="Shirts R Us"/>
    <s v="Los Angeles"/>
    <s v="Female"/>
    <x v="23"/>
    <n v="2014"/>
  </r>
  <r>
    <n v="1111"/>
    <n v="6"/>
    <n v="10"/>
    <x v="629"/>
    <n v="113"/>
    <n v="35"/>
    <n v="0"/>
    <n v="3955"/>
    <s v="Abracadaba Ink"/>
    <s v="Salt Lake City"/>
    <s v="Male"/>
    <x v="23"/>
    <n v="2014"/>
  </r>
  <r>
    <n v="1112"/>
    <n v="6"/>
    <n v="1"/>
    <x v="630"/>
    <n v="116"/>
    <n v="20"/>
    <n v="5.0000001000000002E-2"/>
    <n v="2203.99999768"/>
    <s v="Abracadaba Ink"/>
    <s v="Salt Lake City"/>
    <s v="Both"/>
    <x v="2"/>
    <n v="2014"/>
  </r>
  <r>
    <n v="1113"/>
    <n v="3"/>
    <n v="8"/>
    <x v="631"/>
    <n v="124"/>
    <n v="27"/>
    <n v="0"/>
    <n v="3348"/>
    <s v="Shirts R Us"/>
    <s v="Los Angeles"/>
    <s v="Female"/>
    <x v="24"/>
    <n v="2014"/>
  </r>
  <r>
    <n v="1114"/>
    <n v="2"/>
    <n v="4"/>
    <x v="632"/>
    <n v="96"/>
    <n v="30"/>
    <n v="0"/>
    <n v="2880"/>
    <s v="A Shirts Life"/>
    <s v="Portland"/>
    <s v="Both"/>
    <x v="4"/>
    <n v="2014"/>
  </r>
  <r>
    <n v="1115"/>
    <n v="4"/>
    <n v="10"/>
    <x v="633"/>
    <n v="147"/>
    <n v="35"/>
    <n v="5.0000001000000002E-2"/>
    <n v="4887.7499948550003"/>
    <s v="Tshirt Unlimited"/>
    <s v="Phoenix"/>
    <s v="Male"/>
    <x v="5"/>
    <n v="2014"/>
  </r>
  <r>
    <n v="1116"/>
    <n v="1"/>
    <n v="7"/>
    <x v="634"/>
    <n v="142"/>
    <n v="38"/>
    <n v="0"/>
    <n v="5396"/>
    <s v="Threads"/>
    <s v="Seattle"/>
    <s v="Female"/>
    <x v="6"/>
    <n v="2014"/>
  </r>
  <r>
    <n v="1117"/>
    <n v="6"/>
    <n v="1"/>
    <x v="634"/>
    <n v="77"/>
    <n v="20"/>
    <n v="0"/>
    <n v="1540"/>
    <s v="Abracadaba Ink"/>
    <s v="Salt Lake City"/>
    <s v="Both"/>
    <x v="6"/>
    <n v="2014"/>
  </r>
  <r>
    <n v="1118"/>
    <n v="3"/>
    <n v="2"/>
    <x v="635"/>
    <n v="58"/>
    <n v="30"/>
    <n v="0"/>
    <n v="1740"/>
    <s v="Shirts R Us"/>
    <s v="Los Angeles"/>
    <s v="Both"/>
    <x v="30"/>
    <n v="2014"/>
  </r>
  <r>
    <n v="1119"/>
    <n v="2"/>
    <n v="10"/>
    <x v="636"/>
    <n v="115"/>
    <n v="35"/>
    <n v="0"/>
    <n v="4025"/>
    <s v="A Shirts Life"/>
    <s v="Portland"/>
    <s v="Male"/>
    <x v="25"/>
    <n v="2014"/>
  </r>
  <r>
    <n v="1120"/>
    <n v="2"/>
    <n v="9"/>
    <x v="637"/>
    <n v="56"/>
    <n v="25"/>
    <n v="0"/>
    <n v="1400"/>
    <s v="A Shirts Life"/>
    <s v="Portland"/>
    <s v="Male"/>
    <x v="8"/>
    <n v="2014"/>
  </r>
  <r>
    <n v="1121"/>
    <n v="4"/>
    <n v="8"/>
    <x v="638"/>
    <n v="34"/>
    <n v="27"/>
    <n v="5.0000001000000002E-2"/>
    <n v="872.09999908199995"/>
    <s v="Tshirt Unlimited"/>
    <s v="Phoenix"/>
    <s v="Female"/>
    <x v="9"/>
    <n v="2014"/>
  </r>
  <r>
    <n v="1122"/>
    <n v="4"/>
    <n v="1"/>
    <x v="639"/>
    <n v="105"/>
    <n v="20"/>
    <n v="0"/>
    <n v="2100"/>
    <s v="Tshirt Unlimited"/>
    <s v="Phoenix"/>
    <s v="Both"/>
    <x v="10"/>
    <n v="2014"/>
  </r>
  <r>
    <n v="1123"/>
    <n v="7"/>
    <n v="4"/>
    <x v="639"/>
    <n v="30"/>
    <n v="30"/>
    <n v="0.15000000599999999"/>
    <n v="764.99999460000004"/>
    <s v="The Shirt on Your Back"/>
    <s v="Bonners Ferry"/>
    <s v="Both"/>
    <x v="10"/>
    <n v="2014"/>
  </r>
  <r>
    <n v="1124"/>
    <n v="1"/>
    <n v="1"/>
    <x v="640"/>
    <n v="88"/>
    <n v="20"/>
    <n v="0"/>
    <n v="1760"/>
    <s v="Threads"/>
    <s v="Seattle"/>
    <s v="Both"/>
    <x v="12"/>
    <n v="2014"/>
  </r>
  <r>
    <n v="1125"/>
    <n v="2"/>
    <n v="3"/>
    <x v="640"/>
    <n v="64"/>
    <n v="22"/>
    <n v="0"/>
    <n v="1408"/>
    <s v="A Shirts Life"/>
    <s v="Portland"/>
    <s v="Both"/>
    <x v="12"/>
    <n v="2014"/>
  </r>
  <r>
    <n v="1126"/>
    <n v="6"/>
    <n v="4"/>
    <x v="641"/>
    <n v="142"/>
    <n v="30"/>
    <n v="0.10000000100000001"/>
    <n v="3833.99999574"/>
    <s v="Abracadaba Ink"/>
    <s v="Salt Lake City"/>
    <s v="Both"/>
    <x v="13"/>
    <n v="2014"/>
  </r>
  <r>
    <n v="1127"/>
    <n v="7"/>
    <n v="2"/>
    <x v="641"/>
    <n v="116"/>
    <n v="30"/>
    <n v="0"/>
    <n v="3480"/>
    <s v="The Shirt on Your Back"/>
    <s v="Bonners Ferry"/>
    <s v="Both"/>
    <x v="13"/>
    <n v="2014"/>
  </r>
  <r>
    <n v="1128"/>
    <n v="2"/>
    <n v="3"/>
    <x v="642"/>
    <n v="53"/>
    <n v="22"/>
    <n v="0"/>
    <n v="1166"/>
    <s v="A Shirts Life"/>
    <s v="Portland"/>
    <s v="Both"/>
    <x v="27"/>
    <n v="2014"/>
  </r>
  <r>
    <n v="1129"/>
    <n v="5"/>
    <n v="8"/>
    <x v="642"/>
    <n v="137"/>
    <n v="27"/>
    <n v="0"/>
    <n v="3699"/>
    <s v="Rags to Riches"/>
    <s v="Las Vegas"/>
    <s v="Female"/>
    <x v="27"/>
    <n v="2014"/>
  </r>
  <r>
    <n v="1130"/>
    <n v="5"/>
    <n v="9"/>
    <x v="642"/>
    <n v="26"/>
    <n v="25"/>
    <n v="0"/>
    <n v="650"/>
    <s v="Rags to Riches"/>
    <s v="Las Vegas"/>
    <s v="Male"/>
    <x v="27"/>
    <n v="2014"/>
  </r>
  <r>
    <n v="1131"/>
    <n v="5"/>
    <n v="10"/>
    <x v="643"/>
    <n v="33"/>
    <n v="35"/>
    <n v="0"/>
    <n v="1155"/>
    <s v="Rags to Riches"/>
    <s v="Las Vegas"/>
    <s v="Male"/>
    <x v="14"/>
    <n v="2014"/>
  </r>
  <r>
    <n v="1132"/>
    <n v="7"/>
    <n v="6"/>
    <x v="644"/>
    <n v="139"/>
    <n v="28"/>
    <n v="0"/>
    <n v="3892"/>
    <s v="The Shirt on Your Back"/>
    <s v="Bonners Ferry"/>
    <s v="Female"/>
    <x v="15"/>
    <n v="2014"/>
  </r>
  <r>
    <n v="1133"/>
    <n v="4"/>
    <n v="7"/>
    <x v="645"/>
    <n v="83"/>
    <n v="38"/>
    <n v="0"/>
    <n v="3154"/>
    <s v="Tshirt Unlimited"/>
    <s v="Phoenix"/>
    <s v="Female"/>
    <x v="16"/>
    <n v="2014"/>
  </r>
  <r>
    <n v="1134"/>
    <n v="3"/>
    <n v="10"/>
    <x v="646"/>
    <n v="80"/>
    <n v="35"/>
    <n v="0"/>
    <n v="2800"/>
    <s v="Shirts R Us"/>
    <s v="Los Angeles"/>
    <s v="Male"/>
    <x v="17"/>
    <n v="2014"/>
  </r>
  <r>
    <n v="1135"/>
    <n v="7"/>
    <n v="8"/>
    <x v="646"/>
    <n v="83"/>
    <n v="27"/>
    <n v="0"/>
    <n v="2241"/>
    <s v="The Shirt on Your Back"/>
    <s v="Bonners Ferry"/>
    <s v="Female"/>
    <x v="17"/>
    <n v="2014"/>
  </r>
  <r>
    <n v="1136"/>
    <n v="3"/>
    <n v="5"/>
    <x v="647"/>
    <n v="99"/>
    <n v="16"/>
    <n v="0"/>
    <n v="1584"/>
    <s v="Shirts R Us"/>
    <s v="Los Angeles"/>
    <s v="Female"/>
    <x v="18"/>
    <n v="2014"/>
  </r>
  <r>
    <n v="1137"/>
    <n v="1"/>
    <n v="7"/>
    <x v="648"/>
    <n v="46"/>
    <n v="38"/>
    <n v="0"/>
    <n v="1748"/>
    <s v="Threads"/>
    <s v="Seattle"/>
    <s v="Female"/>
    <x v="19"/>
    <n v="2014"/>
  </r>
  <r>
    <n v="1138"/>
    <n v="3"/>
    <n v="4"/>
    <x v="648"/>
    <n v="107"/>
    <n v="30"/>
    <n v="0"/>
    <n v="3210"/>
    <s v="Shirts R Us"/>
    <s v="Los Angeles"/>
    <s v="Both"/>
    <x v="19"/>
    <n v="2014"/>
  </r>
  <r>
    <n v="1139"/>
    <n v="3"/>
    <n v="5"/>
    <x v="648"/>
    <n v="35"/>
    <n v="16"/>
    <n v="0"/>
    <n v="560"/>
    <s v="Shirts R Us"/>
    <s v="Los Angeles"/>
    <s v="Female"/>
    <x v="19"/>
    <n v="2014"/>
  </r>
  <r>
    <n v="1140"/>
    <n v="5"/>
    <n v="7"/>
    <x v="648"/>
    <n v="126"/>
    <n v="38"/>
    <n v="0.10000000100000001"/>
    <n v="4309.1999952120004"/>
    <s v="Rags to Riches"/>
    <s v="Las Vegas"/>
    <s v="Female"/>
    <x v="19"/>
    <n v="2014"/>
  </r>
  <r>
    <n v="1141"/>
    <n v="7"/>
    <n v="4"/>
    <x v="648"/>
    <n v="128"/>
    <n v="30"/>
    <n v="0"/>
    <n v="3840"/>
    <s v="The Shirt on Your Back"/>
    <s v="Bonners Ferry"/>
    <s v="Both"/>
    <x v="19"/>
    <n v="2014"/>
  </r>
  <r>
    <n v="1142"/>
    <n v="7"/>
    <n v="2"/>
    <x v="649"/>
    <n v="128"/>
    <n v="30"/>
    <n v="0"/>
    <n v="3840"/>
    <s v="The Shirt on Your Back"/>
    <s v="Bonners Ferry"/>
    <s v="Both"/>
    <x v="20"/>
    <n v="2014"/>
  </r>
  <r>
    <n v="1143"/>
    <n v="6"/>
    <n v="8"/>
    <x v="650"/>
    <n v="55"/>
    <n v="27"/>
    <n v="0"/>
    <n v="1485"/>
    <s v="Abracadaba Ink"/>
    <s v="Salt Lake City"/>
    <s v="Female"/>
    <x v="22"/>
    <n v="2014"/>
  </r>
  <r>
    <n v="1144"/>
    <n v="4"/>
    <n v="3"/>
    <x v="651"/>
    <n v="127"/>
    <n v="22"/>
    <n v="0"/>
    <n v="2794"/>
    <s v="Tshirt Unlimited"/>
    <s v="Phoenix"/>
    <s v="Both"/>
    <x v="28"/>
    <n v="2014"/>
  </r>
  <r>
    <n v="1145"/>
    <n v="3"/>
    <n v="5"/>
    <x v="652"/>
    <n v="133"/>
    <n v="16"/>
    <n v="0"/>
    <n v="2128"/>
    <s v="Shirts R Us"/>
    <s v="Los Angeles"/>
    <s v="Female"/>
    <x v="0"/>
    <n v="2014"/>
  </r>
  <r>
    <n v="1146"/>
    <n v="7"/>
    <n v="8"/>
    <x v="652"/>
    <n v="80"/>
    <n v="27"/>
    <n v="0"/>
    <n v="2160"/>
    <s v="The Shirt on Your Back"/>
    <s v="Bonners Ferry"/>
    <s v="Female"/>
    <x v="0"/>
    <n v="2014"/>
  </r>
  <r>
    <n v="1147"/>
    <n v="4"/>
    <n v="8"/>
    <x v="653"/>
    <n v="27"/>
    <n v="27"/>
    <n v="0.10000000100000001"/>
    <n v="656.099999271"/>
    <s v="Tshirt Unlimited"/>
    <s v="Phoenix"/>
    <s v="Female"/>
    <x v="1"/>
    <n v="2014"/>
  </r>
  <r>
    <n v="1148"/>
    <n v="3"/>
    <n v="1"/>
    <x v="654"/>
    <n v="40"/>
    <n v="20"/>
    <n v="0"/>
    <n v="800"/>
    <s v="Shirts R Us"/>
    <s v="Los Angeles"/>
    <s v="Both"/>
    <x v="23"/>
    <n v="2014"/>
  </r>
  <r>
    <n v="1149"/>
    <n v="1"/>
    <n v="6"/>
    <x v="655"/>
    <n v="100"/>
    <n v="28"/>
    <n v="0"/>
    <n v="2800"/>
    <s v="Threads"/>
    <s v="Seattle"/>
    <s v="Female"/>
    <x v="24"/>
    <n v="2014"/>
  </r>
  <r>
    <n v="1150"/>
    <n v="2"/>
    <n v="8"/>
    <x v="655"/>
    <n v="135"/>
    <n v="27"/>
    <n v="0"/>
    <n v="3645"/>
    <s v="A Shirts Life"/>
    <s v="Portland"/>
    <s v="Female"/>
    <x v="24"/>
    <n v="2014"/>
  </r>
  <r>
    <n v="1151"/>
    <n v="6"/>
    <n v="9"/>
    <x v="655"/>
    <n v="113"/>
    <n v="25"/>
    <n v="0"/>
    <n v="2825"/>
    <s v="Abracadaba Ink"/>
    <s v="Salt Lake City"/>
    <s v="Male"/>
    <x v="24"/>
    <n v="2014"/>
  </r>
  <r>
    <n v="1152"/>
    <n v="4"/>
    <n v="6"/>
    <x v="656"/>
    <n v="64"/>
    <n v="28"/>
    <n v="5.0000001000000002E-2"/>
    <n v="1702.3999982079999"/>
    <s v="Tshirt Unlimited"/>
    <s v="Phoenix"/>
    <s v="Female"/>
    <x v="3"/>
    <n v="2014"/>
  </r>
  <r>
    <n v="1153"/>
    <n v="7"/>
    <n v="10"/>
    <x v="656"/>
    <n v="67"/>
    <n v="35"/>
    <n v="0"/>
    <n v="2345"/>
    <s v="The Shirt on Your Back"/>
    <s v="Bonners Ferry"/>
    <s v="Male"/>
    <x v="3"/>
    <n v="2014"/>
  </r>
  <r>
    <n v="1154"/>
    <n v="2"/>
    <n v="6"/>
    <x v="657"/>
    <n v="127"/>
    <n v="28"/>
    <n v="0.15000000599999999"/>
    <n v="3022.599978664"/>
    <s v="A Shirts Life"/>
    <s v="Portland"/>
    <s v="Female"/>
    <x v="4"/>
    <n v="2014"/>
  </r>
  <r>
    <n v="1155"/>
    <n v="4"/>
    <n v="2"/>
    <x v="657"/>
    <n v="79"/>
    <n v="30"/>
    <n v="0"/>
    <n v="2370"/>
    <s v="Tshirt Unlimited"/>
    <s v="Phoenix"/>
    <s v="Both"/>
    <x v="4"/>
    <n v="2014"/>
  </r>
  <r>
    <n v="1156"/>
    <n v="4"/>
    <n v="9"/>
    <x v="657"/>
    <n v="108"/>
    <n v="25"/>
    <n v="0"/>
    <n v="2700"/>
    <s v="Tshirt Unlimited"/>
    <s v="Phoenix"/>
    <s v="Male"/>
    <x v="4"/>
    <n v="2014"/>
  </r>
  <r>
    <n v="1157"/>
    <n v="5"/>
    <n v="8"/>
    <x v="657"/>
    <n v="76"/>
    <n v="27"/>
    <n v="0"/>
    <n v="2052"/>
    <s v="Rags to Riches"/>
    <s v="Las Vegas"/>
    <s v="Female"/>
    <x v="4"/>
    <n v="2014"/>
  </r>
  <r>
    <n v="1158"/>
    <n v="2"/>
    <n v="1"/>
    <x v="658"/>
    <n v="132"/>
    <n v="20"/>
    <n v="0"/>
    <n v="2640"/>
    <s v="A Shirts Life"/>
    <s v="Portland"/>
    <s v="Both"/>
    <x v="5"/>
    <n v="2014"/>
  </r>
  <r>
    <n v="1159"/>
    <n v="7"/>
    <n v="6"/>
    <x v="658"/>
    <n v="126"/>
    <n v="28"/>
    <n v="0"/>
    <n v="3528"/>
    <s v="The Shirt on Your Back"/>
    <s v="Bonners Ferry"/>
    <s v="Female"/>
    <x v="5"/>
    <n v="2014"/>
  </r>
  <r>
    <n v="1160"/>
    <n v="2"/>
    <n v="7"/>
    <x v="659"/>
    <n v="86"/>
    <n v="38"/>
    <n v="0"/>
    <n v="3268"/>
    <s v="A Shirts Life"/>
    <s v="Portland"/>
    <s v="Female"/>
    <x v="30"/>
    <n v="2014"/>
  </r>
  <r>
    <n v="1161"/>
    <n v="3"/>
    <n v="4"/>
    <x v="659"/>
    <n v="146"/>
    <n v="30"/>
    <n v="0"/>
    <n v="4380"/>
    <s v="Shirts R Us"/>
    <s v="Los Angeles"/>
    <s v="Both"/>
    <x v="30"/>
    <n v="2014"/>
  </r>
  <r>
    <n v="1162"/>
    <n v="3"/>
    <n v="7"/>
    <x v="659"/>
    <n v="113"/>
    <n v="38"/>
    <n v="0"/>
    <n v="4294"/>
    <s v="Shirts R Us"/>
    <s v="Los Angeles"/>
    <s v="Female"/>
    <x v="30"/>
    <n v="2014"/>
  </r>
  <r>
    <n v="1163"/>
    <n v="4"/>
    <n v="3"/>
    <x v="659"/>
    <n v="57"/>
    <n v="22"/>
    <n v="0"/>
    <n v="1254"/>
    <s v="Tshirt Unlimited"/>
    <s v="Phoenix"/>
    <s v="Both"/>
    <x v="30"/>
    <n v="2014"/>
  </r>
  <r>
    <n v="1164"/>
    <n v="4"/>
    <n v="8"/>
    <x v="659"/>
    <n v="126"/>
    <n v="27"/>
    <n v="0"/>
    <n v="3402"/>
    <s v="Tshirt Unlimited"/>
    <s v="Phoenix"/>
    <s v="Female"/>
    <x v="30"/>
    <n v="2014"/>
  </r>
  <r>
    <n v="1165"/>
    <n v="5"/>
    <n v="1"/>
    <x v="659"/>
    <n v="66"/>
    <n v="20"/>
    <n v="0"/>
    <n v="1320"/>
    <s v="Rags to Riches"/>
    <s v="Las Vegas"/>
    <s v="Both"/>
    <x v="30"/>
    <n v="2014"/>
  </r>
  <r>
    <n v="1166"/>
    <n v="4"/>
    <n v="2"/>
    <x v="660"/>
    <n v="27"/>
    <n v="30"/>
    <n v="0"/>
    <n v="810"/>
    <s v="Tshirt Unlimited"/>
    <s v="Phoenix"/>
    <s v="Both"/>
    <x v="7"/>
    <n v="2014"/>
  </r>
  <r>
    <n v="1167"/>
    <n v="1"/>
    <n v="4"/>
    <x v="661"/>
    <n v="43"/>
    <n v="30"/>
    <n v="0"/>
    <n v="1290"/>
    <s v="Threads"/>
    <s v="Seattle"/>
    <s v="Both"/>
    <x v="25"/>
    <n v="2014"/>
  </r>
  <r>
    <n v="1168"/>
    <n v="3"/>
    <n v="1"/>
    <x v="661"/>
    <n v="95"/>
    <n v="20"/>
    <n v="0"/>
    <n v="1900"/>
    <s v="Shirts R Us"/>
    <s v="Los Angeles"/>
    <s v="Both"/>
    <x v="25"/>
    <n v="2014"/>
  </r>
  <r>
    <n v="1169"/>
    <n v="6"/>
    <n v="2"/>
    <x v="661"/>
    <n v="102"/>
    <n v="30"/>
    <n v="5.0000001000000002E-2"/>
    <n v="2906.9999969400001"/>
    <s v="Abracadaba Ink"/>
    <s v="Salt Lake City"/>
    <s v="Both"/>
    <x v="25"/>
    <n v="2014"/>
  </r>
  <r>
    <n v="1170"/>
    <n v="7"/>
    <n v="5"/>
    <x v="661"/>
    <n v="95"/>
    <n v="16"/>
    <n v="0.10000000100000001"/>
    <n v="1367.9999984799999"/>
    <s v="The Shirt on Your Back"/>
    <s v="Bonners Ferry"/>
    <s v="Female"/>
    <x v="25"/>
    <n v="2014"/>
  </r>
  <r>
    <n v="1171"/>
    <n v="6"/>
    <n v="5"/>
    <x v="662"/>
    <n v="70"/>
    <n v="16"/>
    <n v="0"/>
    <n v="1120"/>
    <s v="Abracadaba Ink"/>
    <s v="Salt Lake City"/>
    <s v="Female"/>
    <x v="8"/>
    <n v="2014"/>
  </r>
  <r>
    <n v="1172"/>
    <n v="3"/>
    <n v="5"/>
    <x v="663"/>
    <n v="83"/>
    <n v="16"/>
    <n v="0"/>
    <n v="1328"/>
    <s v="Shirts R Us"/>
    <s v="Los Angeles"/>
    <s v="Female"/>
    <x v="9"/>
    <n v="2014"/>
  </r>
  <r>
    <n v="1173"/>
    <n v="5"/>
    <n v="9"/>
    <x v="663"/>
    <n v="144"/>
    <n v="25"/>
    <n v="0"/>
    <n v="3600"/>
    <s v="Rags to Riches"/>
    <s v="Las Vegas"/>
    <s v="Male"/>
    <x v="9"/>
    <n v="2014"/>
  </r>
  <r>
    <n v="1174"/>
    <n v="7"/>
    <n v="5"/>
    <x v="663"/>
    <n v="43"/>
    <n v="16"/>
    <n v="0"/>
    <n v="688"/>
    <s v="The Shirt on Your Back"/>
    <s v="Bonners Ferry"/>
    <s v="Female"/>
    <x v="9"/>
    <n v="2014"/>
  </r>
  <r>
    <n v="1175"/>
    <n v="1"/>
    <n v="1"/>
    <x v="664"/>
    <n v="138"/>
    <n v="20"/>
    <n v="0"/>
    <n v="2760"/>
    <s v="Threads"/>
    <s v="Seattle"/>
    <s v="Both"/>
    <x v="10"/>
    <n v="2014"/>
  </r>
  <r>
    <n v="1176"/>
    <n v="1"/>
    <n v="6"/>
    <x v="664"/>
    <n v="55"/>
    <n v="28"/>
    <n v="0"/>
    <n v="1540"/>
    <s v="Threads"/>
    <s v="Seattle"/>
    <s v="Female"/>
    <x v="10"/>
    <n v="2014"/>
  </r>
  <r>
    <n v="1177"/>
    <n v="2"/>
    <n v="10"/>
    <x v="664"/>
    <n v="113"/>
    <n v="35"/>
    <n v="0"/>
    <n v="3955"/>
    <s v="A Shirts Life"/>
    <s v="Portland"/>
    <s v="Male"/>
    <x v="10"/>
    <n v="2014"/>
  </r>
  <r>
    <n v="1178"/>
    <n v="6"/>
    <n v="5"/>
    <x v="665"/>
    <n v="127"/>
    <n v="16"/>
    <n v="0"/>
    <n v="2032"/>
    <s v="Abracadaba Ink"/>
    <s v="Salt Lake City"/>
    <s v="Female"/>
    <x v="11"/>
    <n v="2014"/>
  </r>
  <r>
    <n v="1179"/>
    <n v="3"/>
    <n v="6"/>
    <x v="666"/>
    <n v="40"/>
    <n v="28"/>
    <n v="0"/>
    <n v="1120"/>
    <s v="Shirts R Us"/>
    <s v="Los Angeles"/>
    <s v="Female"/>
    <x v="12"/>
    <n v="2014"/>
  </r>
  <r>
    <n v="1180"/>
    <n v="6"/>
    <n v="9"/>
    <x v="666"/>
    <n v="27"/>
    <n v="25"/>
    <n v="0"/>
    <n v="675"/>
    <s v="Abracadaba Ink"/>
    <s v="Salt Lake City"/>
    <s v="Male"/>
    <x v="12"/>
    <n v="2014"/>
  </r>
  <r>
    <n v="1181"/>
    <n v="1"/>
    <n v="10"/>
    <x v="667"/>
    <n v="88"/>
    <n v="35"/>
    <n v="5.0000001000000002E-2"/>
    <n v="2925.9999969199998"/>
    <s v="Threads"/>
    <s v="Seattle"/>
    <s v="Male"/>
    <x v="13"/>
    <n v="2014"/>
  </r>
  <r>
    <n v="1182"/>
    <n v="1"/>
    <n v="4"/>
    <x v="668"/>
    <n v="37"/>
    <n v="30"/>
    <n v="0.10000000100000001"/>
    <n v="998.99999889000003"/>
    <s v="Threads"/>
    <s v="Seattle"/>
    <s v="Both"/>
    <x v="27"/>
    <n v="2014"/>
  </r>
  <r>
    <n v="1183"/>
    <n v="6"/>
    <n v="9"/>
    <x v="668"/>
    <n v="28"/>
    <n v="25"/>
    <n v="0"/>
    <n v="700"/>
    <s v="Abracadaba Ink"/>
    <s v="Salt Lake City"/>
    <s v="Male"/>
    <x v="27"/>
    <n v="2014"/>
  </r>
  <r>
    <n v="1184"/>
    <n v="7"/>
    <n v="7"/>
    <x v="668"/>
    <n v="45"/>
    <n v="38"/>
    <n v="0"/>
    <n v="1710"/>
    <s v="The Shirt on Your Back"/>
    <s v="Bonners Ferry"/>
    <s v="Female"/>
    <x v="27"/>
    <n v="2014"/>
  </r>
  <r>
    <n v="1185"/>
    <n v="6"/>
    <n v="7"/>
    <x v="669"/>
    <n v="46"/>
    <n v="38"/>
    <n v="0"/>
    <n v="1748"/>
    <s v="Abracadaba Ink"/>
    <s v="Salt Lake City"/>
    <s v="Female"/>
    <x v="14"/>
    <n v="2014"/>
  </r>
  <r>
    <n v="1186"/>
    <n v="3"/>
    <n v="3"/>
    <x v="670"/>
    <n v="147"/>
    <n v="22"/>
    <n v="5.0000001000000002E-2"/>
    <n v="3072.2999967659998"/>
    <s v="Shirts R Us"/>
    <s v="Los Angeles"/>
    <s v="Both"/>
    <x v="15"/>
    <n v="2014"/>
  </r>
  <r>
    <n v="1187"/>
    <n v="7"/>
    <n v="3"/>
    <x v="671"/>
    <n v="104"/>
    <n v="22"/>
    <n v="0"/>
    <n v="2288"/>
    <s v="The Shirt on Your Back"/>
    <s v="Bonners Ferry"/>
    <s v="Both"/>
    <x v="16"/>
    <n v="2014"/>
  </r>
  <r>
    <n v="1188"/>
    <n v="4"/>
    <n v="7"/>
    <x v="672"/>
    <n v="61"/>
    <n v="38"/>
    <n v="0"/>
    <n v="2318"/>
    <s v="Tshirt Unlimited"/>
    <s v="Phoenix"/>
    <s v="Female"/>
    <x v="17"/>
    <n v="2014"/>
  </r>
  <r>
    <n v="1189"/>
    <n v="4"/>
    <n v="9"/>
    <x v="672"/>
    <n v="68"/>
    <n v="25"/>
    <n v="0.10000000100000001"/>
    <n v="1529.9999983"/>
    <s v="Tshirt Unlimited"/>
    <s v="Phoenix"/>
    <s v="Male"/>
    <x v="17"/>
    <n v="2014"/>
  </r>
  <r>
    <n v="1190"/>
    <n v="1"/>
    <n v="3"/>
    <x v="673"/>
    <n v="49"/>
    <n v="22"/>
    <n v="5.0000001000000002E-2"/>
    <n v="1024.0999989219999"/>
    <s v="Threads"/>
    <s v="Seattle"/>
    <s v="Both"/>
    <x v="19"/>
    <n v="2014"/>
  </r>
  <r>
    <n v="1191"/>
    <n v="2"/>
    <n v="8"/>
    <x v="673"/>
    <n v="108"/>
    <n v="27"/>
    <n v="5.0000001000000002E-2"/>
    <n v="2770.1999970840002"/>
    <s v="A Shirts Life"/>
    <s v="Portland"/>
    <s v="Female"/>
    <x v="19"/>
    <n v="2014"/>
  </r>
  <r>
    <n v="1192"/>
    <n v="3"/>
    <n v="5"/>
    <x v="673"/>
    <n v="134"/>
    <n v="16"/>
    <n v="0"/>
    <n v="2144"/>
    <s v="Shirts R Us"/>
    <s v="Los Angeles"/>
    <s v="Female"/>
    <x v="19"/>
    <n v="2014"/>
  </r>
  <r>
    <n v="1193"/>
    <n v="3"/>
    <n v="7"/>
    <x v="673"/>
    <n v="83"/>
    <n v="38"/>
    <n v="0"/>
    <n v="3154"/>
    <s v="Shirts R Us"/>
    <s v="Los Angeles"/>
    <s v="Female"/>
    <x v="19"/>
    <n v="2014"/>
  </r>
  <r>
    <n v="1194"/>
    <n v="4"/>
    <n v="8"/>
    <x v="673"/>
    <n v="53"/>
    <n v="27"/>
    <n v="0.10000000100000001"/>
    <n v="1287.899998569"/>
    <s v="Tshirt Unlimited"/>
    <s v="Phoenix"/>
    <s v="Female"/>
    <x v="19"/>
    <n v="2014"/>
  </r>
  <r>
    <n v="1195"/>
    <n v="7"/>
    <n v="4"/>
    <x v="673"/>
    <n v="123"/>
    <n v="30"/>
    <n v="0"/>
    <n v="3690"/>
    <s v="The Shirt on Your Back"/>
    <s v="Bonners Ferry"/>
    <s v="Both"/>
    <x v="19"/>
    <n v="2014"/>
  </r>
  <r>
    <n v="1196"/>
    <n v="2"/>
    <n v="10"/>
    <x v="674"/>
    <n v="99"/>
    <n v="35"/>
    <n v="0"/>
    <n v="3465"/>
    <s v="A Shirts Life"/>
    <s v="Portland"/>
    <s v="Male"/>
    <x v="20"/>
    <n v="2014"/>
  </r>
  <r>
    <n v="1197"/>
    <n v="7"/>
    <n v="2"/>
    <x v="674"/>
    <n v="101"/>
    <n v="30"/>
    <n v="0"/>
    <n v="3030"/>
    <s v="The Shirt on Your Back"/>
    <s v="Bonners Ferry"/>
    <s v="Both"/>
    <x v="20"/>
    <n v="2014"/>
  </r>
  <r>
    <n v="1198"/>
    <n v="2"/>
    <n v="2"/>
    <x v="675"/>
    <n v="39"/>
    <n v="30"/>
    <n v="0"/>
    <n v="1170"/>
    <s v="A Shirts Life"/>
    <s v="Portland"/>
    <s v="Both"/>
    <x v="21"/>
    <n v="2014"/>
  </r>
  <r>
    <n v="1199"/>
    <n v="1"/>
    <n v="4"/>
    <x v="676"/>
    <n v="64"/>
    <n v="30"/>
    <n v="0"/>
    <n v="1920"/>
    <s v="Threads"/>
    <s v="Seattle"/>
    <s v="Both"/>
    <x v="22"/>
    <n v="2014"/>
  </r>
  <r>
    <n v="1200"/>
    <n v="3"/>
    <n v="9"/>
    <x v="677"/>
    <n v="137"/>
    <n v="25"/>
    <n v="0"/>
    <n v="3425"/>
    <s v="Shirts R Us"/>
    <s v="Los Angeles"/>
    <s v="Male"/>
    <x v="29"/>
    <n v="2014"/>
  </r>
  <r>
    <n v="1201"/>
    <n v="6"/>
    <n v="2"/>
    <x v="677"/>
    <n v="53"/>
    <n v="30"/>
    <n v="0"/>
    <n v="1590"/>
    <s v="Abracadaba Ink"/>
    <s v="Salt Lake City"/>
    <s v="Both"/>
    <x v="29"/>
    <n v="2014"/>
  </r>
  <r>
    <n v="1202"/>
    <n v="6"/>
    <n v="4"/>
    <x v="678"/>
    <n v="106"/>
    <n v="30"/>
    <n v="0"/>
    <n v="3180"/>
    <s v="Abracadaba Ink"/>
    <s v="Salt Lake City"/>
    <s v="Both"/>
    <x v="28"/>
    <n v="2014"/>
  </r>
  <r>
    <n v="1203"/>
    <n v="1"/>
    <n v="8"/>
    <x v="679"/>
    <n v="135"/>
    <n v="27"/>
    <n v="0"/>
    <n v="3645"/>
    <s v="Threads"/>
    <s v="Seattle"/>
    <s v="Female"/>
    <x v="0"/>
    <n v="2014"/>
  </r>
  <r>
    <n v="1204"/>
    <n v="3"/>
    <n v="4"/>
    <x v="679"/>
    <n v="148"/>
    <n v="30"/>
    <n v="0"/>
    <n v="4440"/>
    <s v="Shirts R Us"/>
    <s v="Los Angeles"/>
    <s v="Both"/>
    <x v="0"/>
    <n v="2014"/>
  </r>
  <r>
    <n v="1205"/>
    <n v="2"/>
    <n v="10"/>
    <x v="680"/>
    <n v="136"/>
    <n v="35"/>
    <n v="0"/>
    <n v="4760"/>
    <s v="A Shirts Life"/>
    <s v="Portland"/>
    <s v="Male"/>
    <x v="1"/>
    <n v="2014"/>
  </r>
  <r>
    <n v="1206"/>
    <n v="3"/>
    <n v="9"/>
    <x v="680"/>
    <n v="42"/>
    <n v="25"/>
    <n v="5.0000001000000002E-2"/>
    <n v="997.49999894999996"/>
    <s v="Shirts R Us"/>
    <s v="Los Angeles"/>
    <s v="Male"/>
    <x v="1"/>
    <n v="2014"/>
  </r>
  <r>
    <n v="1207"/>
    <n v="4"/>
    <n v="5"/>
    <x v="680"/>
    <n v="144"/>
    <n v="16"/>
    <n v="0"/>
    <n v="2304"/>
    <s v="Tshirt Unlimited"/>
    <s v="Phoenix"/>
    <s v="Female"/>
    <x v="1"/>
    <n v="2014"/>
  </r>
  <r>
    <n v="1208"/>
    <n v="5"/>
    <n v="6"/>
    <x v="680"/>
    <n v="146"/>
    <n v="28"/>
    <n v="5.0000001000000002E-2"/>
    <n v="3883.5999959119999"/>
    <s v="Rags to Riches"/>
    <s v="Las Vegas"/>
    <s v="Female"/>
    <x v="1"/>
    <n v="2014"/>
  </r>
  <r>
    <n v="1209"/>
    <n v="3"/>
    <n v="10"/>
    <x v="681"/>
    <n v="60"/>
    <n v="35"/>
    <n v="0"/>
    <n v="2100"/>
    <s v="Shirts R Us"/>
    <s v="Los Angeles"/>
    <s v="Male"/>
    <x v="23"/>
    <n v="2014"/>
  </r>
  <r>
    <n v="1210"/>
    <n v="4"/>
    <n v="2"/>
    <x v="681"/>
    <n v="104"/>
    <n v="30"/>
    <n v="0"/>
    <n v="3120"/>
    <s v="Tshirt Unlimited"/>
    <s v="Phoenix"/>
    <s v="Both"/>
    <x v="23"/>
    <n v="2014"/>
  </r>
  <r>
    <n v="1211"/>
    <n v="2"/>
    <n v="2"/>
    <x v="682"/>
    <n v="77"/>
    <n v="30"/>
    <n v="0"/>
    <n v="2310"/>
    <s v="A Shirts Life"/>
    <s v="Portland"/>
    <s v="Both"/>
    <x v="24"/>
    <n v="2014"/>
  </r>
  <r>
    <n v="1212"/>
    <n v="3"/>
    <n v="5"/>
    <x v="682"/>
    <n v="124"/>
    <n v="16"/>
    <n v="5.0000001000000002E-2"/>
    <n v="1884.799998016"/>
    <s v="Shirts R Us"/>
    <s v="Los Angeles"/>
    <s v="Female"/>
    <x v="24"/>
    <n v="2014"/>
  </r>
  <r>
    <n v="1213"/>
    <n v="4"/>
    <n v="3"/>
    <x v="682"/>
    <n v="31"/>
    <n v="22"/>
    <n v="0"/>
    <n v="682"/>
    <s v="Tshirt Unlimited"/>
    <s v="Phoenix"/>
    <s v="Both"/>
    <x v="24"/>
    <n v="2014"/>
  </r>
  <r>
    <n v="1214"/>
    <n v="6"/>
    <n v="1"/>
    <x v="682"/>
    <n v="30"/>
    <n v="20"/>
    <n v="0"/>
    <n v="600"/>
    <s v="Abracadaba Ink"/>
    <s v="Salt Lake City"/>
    <s v="Both"/>
    <x v="24"/>
    <n v="2014"/>
  </r>
  <r>
    <n v="1215"/>
    <n v="2"/>
    <n v="2"/>
    <x v="683"/>
    <n v="147"/>
    <n v="30"/>
    <n v="0"/>
    <n v="4410"/>
    <s v="A Shirts Life"/>
    <s v="Portland"/>
    <s v="Both"/>
    <x v="3"/>
    <n v="2014"/>
  </r>
  <r>
    <n v="1216"/>
    <n v="1"/>
    <n v="10"/>
    <x v="684"/>
    <n v="39"/>
    <n v="35"/>
    <n v="0"/>
    <n v="1365"/>
    <s v="Threads"/>
    <s v="Seattle"/>
    <s v="Male"/>
    <x v="4"/>
    <n v="2014"/>
  </r>
  <r>
    <n v="1217"/>
    <n v="5"/>
    <n v="4"/>
    <x v="684"/>
    <n v="76"/>
    <n v="30"/>
    <n v="0"/>
    <n v="2280"/>
    <s v="Rags to Riches"/>
    <s v="Las Vegas"/>
    <s v="Both"/>
    <x v="4"/>
    <n v="2014"/>
  </r>
  <r>
    <n v="1218"/>
    <n v="3"/>
    <n v="2"/>
    <x v="685"/>
    <n v="53"/>
    <n v="30"/>
    <n v="0"/>
    <n v="1590"/>
    <s v="Shirts R Us"/>
    <s v="Los Angeles"/>
    <s v="Both"/>
    <x v="6"/>
    <n v="2014"/>
  </r>
  <r>
    <n v="1219"/>
    <n v="2"/>
    <n v="5"/>
    <x v="686"/>
    <n v="93"/>
    <n v="16"/>
    <n v="0"/>
    <n v="1488"/>
    <s v="A Shirts Life"/>
    <s v="Portland"/>
    <s v="Female"/>
    <x v="30"/>
    <n v="2014"/>
  </r>
  <r>
    <n v="1220"/>
    <n v="2"/>
    <n v="6"/>
    <x v="687"/>
    <n v="92"/>
    <n v="28"/>
    <n v="0"/>
    <n v="2576"/>
    <s v="A Shirts Life"/>
    <s v="Portland"/>
    <s v="Female"/>
    <x v="7"/>
    <n v="2014"/>
  </r>
  <r>
    <n v="1221"/>
    <n v="7"/>
    <n v="10"/>
    <x v="688"/>
    <n v="121"/>
    <n v="35"/>
    <n v="0"/>
    <n v="4235"/>
    <s v="The Shirt on Your Back"/>
    <s v="Bonners Ferry"/>
    <s v="Male"/>
    <x v="8"/>
    <n v="2014"/>
  </r>
  <r>
    <n v="1222"/>
    <n v="2"/>
    <n v="4"/>
    <x v="689"/>
    <n v="58"/>
    <n v="30"/>
    <n v="0"/>
    <n v="1740"/>
    <s v="A Shirts Life"/>
    <s v="Portland"/>
    <s v="Both"/>
    <x v="11"/>
    <n v="2014"/>
  </r>
  <r>
    <n v="1223"/>
    <n v="5"/>
    <n v="10"/>
    <x v="689"/>
    <n v="112"/>
    <n v="35"/>
    <n v="0"/>
    <n v="3920"/>
    <s v="Rags to Riches"/>
    <s v="Las Vegas"/>
    <s v="Male"/>
    <x v="11"/>
    <n v="2014"/>
  </r>
  <r>
    <n v="1224"/>
    <n v="1"/>
    <n v="1"/>
    <x v="690"/>
    <n v="86"/>
    <n v="20"/>
    <n v="0"/>
    <n v="1720"/>
    <s v="Threads"/>
    <s v="Seattle"/>
    <s v="Both"/>
    <x v="13"/>
    <n v="2014"/>
  </r>
  <r>
    <n v="1225"/>
    <n v="7"/>
    <n v="1"/>
    <x v="690"/>
    <n v="121"/>
    <n v="20"/>
    <n v="0"/>
    <n v="2420"/>
    <s v="The Shirt on Your Back"/>
    <s v="Bonners Ferry"/>
    <s v="Both"/>
    <x v="13"/>
    <n v="2014"/>
  </r>
  <r>
    <n v="1226"/>
    <n v="1"/>
    <n v="3"/>
    <x v="691"/>
    <n v="46"/>
    <n v="22"/>
    <n v="0"/>
    <n v="1012"/>
    <s v="Threads"/>
    <s v="Seattle"/>
    <s v="Both"/>
    <x v="14"/>
    <n v="2014"/>
  </r>
  <r>
    <n v="1227"/>
    <n v="3"/>
    <n v="9"/>
    <x v="691"/>
    <n v="94"/>
    <n v="25"/>
    <n v="0"/>
    <n v="2350"/>
    <s v="Shirts R Us"/>
    <s v="Los Angeles"/>
    <s v="Male"/>
    <x v="14"/>
    <n v="2014"/>
  </r>
  <r>
    <n v="1228"/>
    <n v="2"/>
    <n v="4"/>
    <x v="692"/>
    <n v="70"/>
    <n v="30"/>
    <n v="0"/>
    <n v="2100"/>
    <s v="A Shirts Life"/>
    <s v="Portland"/>
    <s v="Both"/>
    <x v="15"/>
    <n v="2014"/>
  </r>
  <r>
    <n v="1229"/>
    <n v="2"/>
    <n v="10"/>
    <x v="692"/>
    <n v="65"/>
    <n v="35"/>
    <n v="0"/>
    <n v="2275"/>
    <s v="A Shirts Life"/>
    <s v="Portland"/>
    <s v="Male"/>
    <x v="15"/>
    <n v="2014"/>
  </r>
  <r>
    <n v="1230"/>
    <n v="2"/>
    <n v="1"/>
    <x v="693"/>
    <n v="79"/>
    <n v="20"/>
    <n v="5.0000001000000002E-2"/>
    <n v="1500.9999984199999"/>
    <s v="A Shirts Life"/>
    <s v="Portland"/>
    <s v="Both"/>
    <x v="16"/>
    <n v="2014"/>
  </r>
  <r>
    <n v="1231"/>
    <n v="3"/>
    <n v="10"/>
    <x v="693"/>
    <n v="66"/>
    <n v="35"/>
    <n v="0"/>
    <n v="2310"/>
    <s v="Shirts R Us"/>
    <s v="Los Angeles"/>
    <s v="Male"/>
    <x v="16"/>
    <n v="2014"/>
  </r>
  <r>
    <n v="1232"/>
    <n v="6"/>
    <n v="1"/>
    <x v="694"/>
    <n v="58"/>
    <n v="20"/>
    <n v="0"/>
    <n v="1160"/>
    <s v="Abracadaba Ink"/>
    <s v="Salt Lake City"/>
    <s v="Both"/>
    <x v="17"/>
    <n v="2014"/>
  </r>
  <r>
    <n v="1233"/>
    <n v="6"/>
    <n v="9"/>
    <x v="694"/>
    <n v="34"/>
    <n v="25"/>
    <n v="0.10000000100000001"/>
    <n v="764.99999915000001"/>
    <s v="Abracadaba Ink"/>
    <s v="Salt Lake City"/>
    <s v="Male"/>
    <x v="17"/>
    <n v="2014"/>
  </r>
  <r>
    <n v="1234"/>
    <n v="7"/>
    <n v="1"/>
    <x v="694"/>
    <n v="98"/>
    <n v="20"/>
    <n v="0"/>
    <n v="1960"/>
    <s v="The Shirt on Your Back"/>
    <s v="Bonners Ferry"/>
    <s v="Both"/>
    <x v="17"/>
    <n v="2014"/>
  </r>
  <r>
    <n v="1235"/>
    <n v="3"/>
    <n v="1"/>
    <x v="695"/>
    <n v="52"/>
    <n v="20"/>
    <n v="0"/>
    <n v="1040"/>
    <s v="Shirts R Us"/>
    <s v="Los Angeles"/>
    <s v="Both"/>
    <x v="18"/>
    <n v="2014"/>
  </r>
  <r>
    <n v="1236"/>
    <n v="3"/>
    <n v="4"/>
    <x v="695"/>
    <n v="39"/>
    <n v="30"/>
    <n v="0"/>
    <n v="1170"/>
    <s v="Shirts R Us"/>
    <s v="Los Angeles"/>
    <s v="Both"/>
    <x v="18"/>
    <n v="2014"/>
  </r>
  <r>
    <n v="1237"/>
    <n v="5"/>
    <n v="2"/>
    <x v="696"/>
    <n v="125"/>
    <n v="30"/>
    <n v="0"/>
    <n v="3750"/>
    <s v="Rags to Riches"/>
    <s v="Las Vegas"/>
    <s v="Both"/>
    <x v="19"/>
    <n v="2014"/>
  </r>
  <r>
    <n v="1238"/>
    <n v="3"/>
    <n v="6"/>
    <x v="697"/>
    <n v="81"/>
    <n v="28"/>
    <n v="0"/>
    <n v="2268"/>
    <s v="Shirts R Us"/>
    <s v="Los Angeles"/>
    <s v="Female"/>
    <x v="20"/>
    <n v="2014"/>
  </r>
  <r>
    <n v="1239"/>
    <n v="2"/>
    <n v="6"/>
    <x v="698"/>
    <n v="98"/>
    <n v="28"/>
    <n v="0"/>
    <n v="2744"/>
    <s v="A Shirts Life"/>
    <s v="Portland"/>
    <s v="Female"/>
    <x v="21"/>
    <n v="2014"/>
  </r>
  <r>
    <n v="1240"/>
    <n v="6"/>
    <n v="8"/>
    <x v="698"/>
    <n v="94"/>
    <n v="27"/>
    <n v="0"/>
    <n v="2538"/>
    <s v="Abracadaba Ink"/>
    <s v="Salt Lake City"/>
    <s v="Female"/>
    <x v="21"/>
    <n v="2014"/>
  </r>
  <r>
    <n v="1241"/>
    <n v="6"/>
    <n v="2"/>
    <x v="699"/>
    <n v="109"/>
    <n v="30"/>
    <n v="0"/>
    <n v="3270"/>
    <s v="Abracadaba Ink"/>
    <s v="Salt Lake City"/>
    <s v="Both"/>
    <x v="28"/>
    <n v="2014"/>
  </r>
  <r>
    <n v="1242"/>
    <n v="7"/>
    <n v="1"/>
    <x v="700"/>
    <n v="86"/>
    <n v="20"/>
    <n v="0"/>
    <n v="1720"/>
    <s v="The Shirt on Your Back"/>
    <s v="Bonners Ferry"/>
    <s v="Both"/>
    <x v="0"/>
    <n v="2014"/>
  </r>
  <r>
    <n v="1243"/>
    <n v="4"/>
    <n v="4"/>
    <x v="701"/>
    <n v="140"/>
    <n v="30"/>
    <n v="0"/>
    <n v="4200"/>
    <s v="Tshirt Unlimited"/>
    <s v="Phoenix"/>
    <s v="Both"/>
    <x v="1"/>
    <n v="2014"/>
  </r>
  <r>
    <n v="1244"/>
    <n v="7"/>
    <n v="5"/>
    <x v="701"/>
    <n v="119"/>
    <n v="16"/>
    <n v="0"/>
    <n v="1904"/>
    <s v="The Shirt on Your Back"/>
    <s v="Bonners Ferry"/>
    <s v="Female"/>
    <x v="1"/>
    <n v="2014"/>
  </r>
  <r>
    <n v="1245"/>
    <n v="2"/>
    <n v="10"/>
    <x v="702"/>
    <n v="71"/>
    <n v="35"/>
    <n v="0"/>
    <n v="2485"/>
    <s v="A Shirts Life"/>
    <s v="Portland"/>
    <s v="Male"/>
    <x v="23"/>
    <n v="2014"/>
  </r>
  <r>
    <n v="1246"/>
    <n v="4"/>
    <n v="9"/>
    <x v="702"/>
    <n v="31"/>
    <n v="25"/>
    <n v="0"/>
    <n v="775"/>
    <s v="Tshirt Unlimited"/>
    <s v="Phoenix"/>
    <s v="Male"/>
    <x v="23"/>
    <n v="2014"/>
  </r>
  <r>
    <n v="1247"/>
    <n v="5"/>
    <n v="2"/>
    <x v="703"/>
    <n v="77"/>
    <n v="30"/>
    <n v="0"/>
    <n v="2310"/>
    <s v="Rags to Riches"/>
    <s v="Las Vegas"/>
    <s v="Both"/>
    <x v="24"/>
    <n v="2014"/>
  </r>
  <r>
    <n v="1248"/>
    <n v="7"/>
    <n v="3"/>
    <x v="703"/>
    <n v="38"/>
    <n v="22"/>
    <n v="0"/>
    <n v="836"/>
    <s v="The Shirt on Your Back"/>
    <s v="Bonners Ferry"/>
    <s v="Both"/>
    <x v="24"/>
    <n v="2014"/>
  </r>
  <r>
    <n v="1249"/>
    <n v="7"/>
    <n v="4"/>
    <x v="703"/>
    <n v="101"/>
    <n v="30"/>
    <n v="0"/>
    <n v="3030"/>
    <s v="The Shirt on Your Back"/>
    <s v="Bonners Ferry"/>
    <s v="Both"/>
    <x v="24"/>
    <n v="2014"/>
  </r>
  <r>
    <n v="1250"/>
    <n v="7"/>
    <n v="5"/>
    <x v="703"/>
    <n v="54"/>
    <n v="16"/>
    <n v="5.0000001000000002E-2"/>
    <n v="820.799999136"/>
    <s v="The Shirt on Your Back"/>
    <s v="Bonners Ferry"/>
    <s v="Female"/>
    <x v="24"/>
    <n v="2014"/>
  </r>
  <r>
    <n v="1251"/>
    <n v="7"/>
    <n v="9"/>
    <x v="704"/>
    <n v="97"/>
    <n v="25"/>
    <n v="0"/>
    <n v="2425"/>
    <s v="The Shirt on Your Back"/>
    <s v="Bonners Ferry"/>
    <s v="Male"/>
    <x v="4"/>
    <n v="2014"/>
  </r>
  <r>
    <n v="1252"/>
    <n v="4"/>
    <n v="6"/>
    <x v="705"/>
    <n v="92"/>
    <n v="28"/>
    <n v="0"/>
    <n v="2576"/>
    <s v="Tshirt Unlimited"/>
    <s v="Phoenix"/>
    <s v="Female"/>
    <x v="5"/>
    <n v="2014"/>
  </r>
  <r>
    <n v="1253"/>
    <n v="5"/>
    <n v="3"/>
    <x v="705"/>
    <n v="95"/>
    <n v="22"/>
    <n v="0"/>
    <n v="2090"/>
    <s v="Rags to Riches"/>
    <s v="Las Vegas"/>
    <s v="Both"/>
    <x v="5"/>
    <n v="2014"/>
  </r>
  <r>
    <n v="1254"/>
    <n v="2"/>
    <n v="4"/>
    <x v="706"/>
    <n v="124"/>
    <n v="30"/>
    <n v="0"/>
    <n v="3720"/>
    <s v="A Shirts Life"/>
    <s v="Portland"/>
    <s v="Both"/>
    <x v="6"/>
    <n v="2014"/>
  </r>
  <r>
    <n v="1255"/>
    <n v="3"/>
    <n v="1"/>
    <x v="707"/>
    <n v="50"/>
    <n v="20"/>
    <n v="0"/>
    <n v="1000"/>
    <s v="Shirts R Us"/>
    <s v="Los Angeles"/>
    <s v="Both"/>
    <x v="30"/>
    <n v="2014"/>
  </r>
  <r>
    <n v="1256"/>
    <n v="3"/>
    <n v="3"/>
    <x v="707"/>
    <n v="95"/>
    <n v="22"/>
    <n v="5.0000001000000002E-2"/>
    <n v="1985.49999791"/>
    <s v="Shirts R Us"/>
    <s v="Los Angeles"/>
    <s v="Both"/>
    <x v="30"/>
    <n v="2014"/>
  </r>
  <r>
    <n v="1257"/>
    <n v="1"/>
    <n v="3"/>
    <x v="708"/>
    <n v="83"/>
    <n v="22"/>
    <n v="0"/>
    <n v="1826"/>
    <s v="Threads"/>
    <s v="Seattle"/>
    <s v="Both"/>
    <x v="7"/>
    <n v="2014"/>
  </r>
  <r>
    <n v="1258"/>
    <n v="3"/>
    <n v="10"/>
    <x v="708"/>
    <n v="59"/>
    <n v="35"/>
    <n v="0"/>
    <n v="2065"/>
    <s v="Shirts R Us"/>
    <s v="Los Angeles"/>
    <s v="Male"/>
    <x v="7"/>
    <n v="2014"/>
  </r>
  <r>
    <n v="1259"/>
    <n v="5"/>
    <n v="4"/>
    <x v="708"/>
    <n v="64"/>
    <n v="30"/>
    <n v="0"/>
    <n v="1920"/>
    <s v="Rags to Riches"/>
    <s v="Las Vegas"/>
    <s v="Both"/>
    <x v="7"/>
    <n v="2014"/>
  </r>
  <r>
    <n v="1260"/>
    <n v="1"/>
    <n v="1"/>
    <x v="709"/>
    <n v="49"/>
    <n v="20"/>
    <n v="0"/>
    <n v="980"/>
    <s v="Threads"/>
    <s v="Seattle"/>
    <s v="Both"/>
    <x v="25"/>
    <n v="2014"/>
  </r>
  <r>
    <n v="1261"/>
    <n v="5"/>
    <n v="9"/>
    <x v="709"/>
    <n v="130"/>
    <n v="25"/>
    <n v="5.0000001000000002E-2"/>
    <n v="3087.4999967499998"/>
    <s v="Rags to Riches"/>
    <s v="Las Vegas"/>
    <s v="Male"/>
    <x v="25"/>
    <n v="2014"/>
  </r>
  <r>
    <n v="1262"/>
    <n v="1"/>
    <n v="3"/>
    <x v="710"/>
    <n v="80"/>
    <n v="22"/>
    <n v="0"/>
    <n v="1760"/>
    <s v="Threads"/>
    <s v="Seattle"/>
    <s v="Both"/>
    <x v="10"/>
    <n v="2014"/>
  </r>
  <r>
    <n v="1263"/>
    <n v="5"/>
    <n v="8"/>
    <x v="710"/>
    <n v="72"/>
    <n v="27"/>
    <n v="0"/>
    <n v="1944"/>
    <s v="Rags to Riches"/>
    <s v="Las Vegas"/>
    <s v="Female"/>
    <x v="10"/>
    <n v="2014"/>
  </r>
  <r>
    <n v="1264"/>
    <n v="5"/>
    <n v="2"/>
    <x v="711"/>
    <n v="57"/>
    <n v="30"/>
    <n v="0"/>
    <n v="1710"/>
    <s v="Rags to Riches"/>
    <s v="Las Vegas"/>
    <s v="Both"/>
    <x v="26"/>
    <n v="2014"/>
  </r>
  <r>
    <n v="1265"/>
    <n v="6"/>
    <n v="6"/>
    <x v="711"/>
    <n v="91"/>
    <n v="28"/>
    <n v="0"/>
    <n v="2548"/>
    <s v="Abracadaba Ink"/>
    <s v="Salt Lake City"/>
    <s v="Female"/>
    <x v="26"/>
    <n v="2014"/>
  </r>
  <r>
    <n v="1266"/>
    <n v="2"/>
    <n v="8"/>
    <x v="712"/>
    <n v="133"/>
    <n v="27"/>
    <n v="0"/>
    <n v="3591"/>
    <s v="A Shirts Life"/>
    <s v="Portland"/>
    <s v="Female"/>
    <x v="11"/>
    <n v="2014"/>
  </r>
  <r>
    <n v="1267"/>
    <n v="2"/>
    <n v="2"/>
    <x v="713"/>
    <n v="126"/>
    <n v="30"/>
    <n v="5.0000001000000002E-2"/>
    <n v="3590.99999622"/>
    <s v="A Shirts Life"/>
    <s v="Portland"/>
    <s v="Both"/>
    <x v="12"/>
    <n v="2014"/>
  </r>
  <r>
    <n v="1268"/>
    <n v="3"/>
    <n v="3"/>
    <x v="714"/>
    <n v="103"/>
    <n v="22"/>
    <n v="0"/>
    <n v="2266"/>
    <s v="Shirts R Us"/>
    <s v="Los Angeles"/>
    <s v="Both"/>
    <x v="13"/>
    <n v="2014"/>
  </r>
  <r>
    <n v="1269"/>
    <n v="3"/>
    <n v="8"/>
    <x v="714"/>
    <n v="140"/>
    <n v="27"/>
    <n v="0"/>
    <n v="3780"/>
    <s v="Shirts R Us"/>
    <s v="Los Angeles"/>
    <s v="Female"/>
    <x v="13"/>
    <n v="2014"/>
  </r>
  <r>
    <n v="1270"/>
    <n v="6"/>
    <n v="10"/>
    <x v="715"/>
    <n v="86"/>
    <n v="35"/>
    <n v="0"/>
    <n v="3010"/>
    <s v="Abracadaba Ink"/>
    <s v="Salt Lake City"/>
    <s v="Male"/>
    <x v="27"/>
    <n v="2014"/>
  </r>
  <r>
    <n v="1271"/>
    <n v="2"/>
    <n v="3"/>
    <x v="716"/>
    <n v="79"/>
    <n v="22"/>
    <n v="0"/>
    <n v="1738"/>
    <s v="A Shirts Life"/>
    <s v="Portland"/>
    <s v="Both"/>
    <x v="14"/>
    <n v="2014"/>
  </r>
  <r>
    <n v="1272"/>
    <n v="4"/>
    <n v="9"/>
    <x v="716"/>
    <n v="46"/>
    <n v="25"/>
    <n v="0.10000000100000001"/>
    <n v="1034.9999988499999"/>
    <s v="Tshirt Unlimited"/>
    <s v="Phoenix"/>
    <s v="Male"/>
    <x v="14"/>
    <n v="2014"/>
  </r>
  <r>
    <n v="1273"/>
    <n v="4"/>
    <n v="3"/>
    <x v="717"/>
    <n v="61"/>
    <n v="22"/>
    <n v="0"/>
    <n v="1342"/>
    <s v="Tshirt Unlimited"/>
    <s v="Phoenix"/>
    <s v="Both"/>
    <x v="15"/>
    <n v="2014"/>
  </r>
  <r>
    <n v="1274"/>
    <n v="2"/>
    <n v="6"/>
    <x v="718"/>
    <n v="78"/>
    <n v="28"/>
    <n v="0"/>
    <n v="2184"/>
    <s v="A Shirts Life"/>
    <s v="Portland"/>
    <s v="Female"/>
    <x v="16"/>
    <n v="2014"/>
  </r>
  <r>
    <n v="1275"/>
    <n v="4"/>
    <n v="9"/>
    <x v="718"/>
    <n v="79"/>
    <n v="25"/>
    <n v="0"/>
    <n v="1975"/>
    <s v="Tshirt Unlimited"/>
    <s v="Phoenix"/>
    <s v="Male"/>
    <x v="16"/>
    <n v="2014"/>
  </r>
  <r>
    <n v="1276"/>
    <n v="5"/>
    <n v="8"/>
    <x v="718"/>
    <n v="33"/>
    <n v="27"/>
    <n v="0.10000000100000001"/>
    <n v="801.89999910899996"/>
    <s v="Rags to Riches"/>
    <s v="Las Vegas"/>
    <s v="Female"/>
    <x v="16"/>
    <n v="2014"/>
  </r>
  <r>
    <n v="1277"/>
    <n v="2"/>
    <n v="6"/>
    <x v="719"/>
    <n v="36"/>
    <n v="28"/>
    <n v="0.10000000100000001"/>
    <n v="907.19999899200002"/>
    <s v="A Shirts Life"/>
    <s v="Portland"/>
    <s v="Female"/>
    <x v="18"/>
    <n v="2014"/>
  </r>
  <r>
    <n v="1278"/>
    <n v="6"/>
    <n v="7"/>
    <x v="719"/>
    <n v="95"/>
    <n v="38"/>
    <n v="0"/>
    <n v="3610"/>
    <s v="Abracadaba Ink"/>
    <s v="Salt Lake City"/>
    <s v="Female"/>
    <x v="18"/>
    <n v="2014"/>
  </r>
  <r>
    <n v="1279"/>
    <n v="6"/>
    <n v="10"/>
    <x v="719"/>
    <n v="66"/>
    <n v="35"/>
    <n v="0"/>
    <n v="2310"/>
    <s v="Abracadaba Ink"/>
    <s v="Salt Lake City"/>
    <s v="Male"/>
    <x v="18"/>
    <n v="2014"/>
  </r>
  <r>
    <n v="1280"/>
    <n v="2"/>
    <n v="7"/>
    <x v="720"/>
    <n v="62"/>
    <n v="38"/>
    <n v="0"/>
    <n v="2356"/>
    <s v="A Shirts Life"/>
    <s v="Portland"/>
    <s v="Female"/>
    <x v="22"/>
    <n v="2014"/>
  </r>
  <r>
    <n v="1281"/>
    <n v="5"/>
    <n v="1"/>
    <x v="720"/>
    <n v="73"/>
    <n v="20"/>
    <n v="0.15000000599999999"/>
    <n v="1240.9999912400001"/>
    <s v="Rags to Riches"/>
    <s v="Las Vegas"/>
    <s v="Both"/>
    <x v="22"/>
    <n v="2014"/>
  </r>
  <r>
    <n v="1282"/>
    <n v="3"/>
    <n v="6"/>
    <x v="721"/>
    <n v="139"/>
    <n v="28"/>
    <n v="0.10000000100000001"/>
    <n v="3502.799996108"/>
    <s v="Shirts R Us"/>
    <s v="Los Angeles"/>
    <s v="Female"/>
    <x v="28"/>
    <n v="2014"/>
  </r>
  <r>
    <n v="1283"/>
    <n v="3"/>
    <n v="10"/>
    <x v="721"/>
    <n v="71"/>
    <n v="35"/>
    <n v="0"/>
    <n v="2485"/>
    <s v="Shirts R Us"/>
    <s v="Los Angeles"/>
    <s v="Male"/>
    <x v="28"/>
    <n v="2014"/>
  </r>
  <r>
    <n v="1284"/>
    <n v="4"/>
    <n v="3"/>
    <x v="722"/>
    <n v="83"/>
    <n v="22"/>
    <n v="0"/>
    <n v="1826"/>
    <s v="Tshirt Unlimited"/>
    <s v="Phoenix"/>
    <s v="Both"/>
    <x v="0"/>
    <n v="2014"/>
  </r>
  <r>
    <n v="1285"/>
    <n v="2"/>
    <n v="4"/>
    <x v="723"/>
    <n v="76"/>
    <n v="30"/>
    <n v="0"/>
    <n v="2280"/>
    <s v="A Shirts Life"/>
    <s v="Portland"/>
    <s v="Both"/>
    <x v="1"/>
    <n v="2014"/>
  </r>
  <r>
    <n v="1286"/>
    <n v="2"/>
    <n v="8"/>
    <x v="723"/>
    <n v="145"/>
    <n v="27"/>
    <n v="0"/>
    <n v="3915"/>
    <s v="A Shirts Life"/>
    <s v="Portland"/>
    <s v="Female"/>
    <x v="1"/>
    <n v="2014"/>
  </r>
  <r>
    <n v="1287"/>
    <n v="4"/>
    <n v="7"/>
    <x v="723"/>
    <n v="63"/>
    <n v="38"/>
    <n v="0"/>
    <n v="2394"/>
    <s v="Tshirt Unlimited"/>
    <s v="Phoenix"/>
    <s v="Female"/>
    <x v="1"/>
    <n v="2014"/>
  </r>
  <r>
    <n v="1288"/>
    <n v="7"/>
    <n v="1"/>
    <x v="723"/>
    <n v="112"/>
    <n v="20"/>
    <n v="5.0000001000000002E-2"/>
    <n v="2127.99999776"/>
    <s v="The Shirt on Your Back"/>
    <s v="Bonners Ferry"/>
    <s v="Both"/>
    <x v="1"/>
    <n v="2014"/>
  </r>
  <r>
    <n v="1289"/>
    <n v="1"/>
    <n v="8"/>
    <x v="724"/>
    <n v="90"/>
    <n v="27"/>
    <n v="0"/>
    <n v="2430"/>
    <s v="Threads"/>
    <s v="Seattle"/>
    <s v="Female"/>
    <x v="2"/>
    <n v="2014"/>
  </r>
  <r>
    <n v="1290"/>
    <n v="2"/>
    <n v="4"/>
    <x v="724"/>
    <n v="81"/>
    <n v="30"/>
    <n v="0"/>
    <n v="2430"/>
    <s v="A Shirts Life"/>
    <s v="Portland"/>
    <s v="Both"/>
    <x v="2"/>
    <n v="2014"/>
  </r>
  <r>
    <n v="1291"/>
    <n v="7"/>
    <n v="7"/>
    <x v="724"/>
    <n v="68"/>
    <n v="38"/>
    <n v="0"/>
    <n v="2584"/>
    <s v="The Shirt on Your Back"/>
    <s v="Bonners Ferry"/>
    <s v="Female"/>
    <x v="2"/>
    <n v="2014"/>
  </r>
  <r>
    <n v="1292"/>
    <n v="1"/>
    <n v="1"/>
    <x v="725"/>
    <n v="65"/>
    <n v="20"/>
    <n v="0"/>
    <n v="1300"/>
    <s v="Threads"/>
    <s v="Seattle"/>
    <s v="Both"/>
    <x v="24"/>
    <n v="2014"/>
  </r>
  <r>
    <n v="1293"/>
    <n v="1"/>
    <n v="4"/>
    <x v="725"/>
    <n v="30"/>
    <n v="30"/>
    <n v="0"/>
    <n v="900"/>
    <s v="Threads"/>
    <s v="Seattle"/>
    <s v="Both"/>
    <x v="24"/>
    <n v="2014"/>
  </r>
  <r>
    <n v="1294"/>
    <n v="1"/>
    <n v="6"/>
    <x v="725"/>
    <n v="107"/>
    <n v="28"/>
    <n v="0"/>
    <n v="2996"/>
    <s v="Threads"/>
    <s v="Seattle"/>
    <s v="Female"/>
    <x v="24"/>
    <n v="2014"/>
  </r>
  <r>
    <n v="1295"/>
    <n v="2"/>
    <n v="4"/>
    <x v="726"/>
    <n v="87"/>
    <n v="30"/>
    <n v="0"/>
    <n v="2610"/>
    <s v="A Shirts Life"/>
    <s v="Portland"/>
    <s v="Both"/>
    <x v="3"/>
    <n v="2014"/>
  </r>
  <r>
    <n v="1296"/>
    <n v="5"/>
    <n v="3"/>
    <x v="726"/>
    <n v="130"/>
    <n v="22"/>
    <n v="0"/>
    <n v="2860"/>
    <s v="Rags to Riches"/>
    <s v="Las Vegas"/>
    <s v="Both"/>
    <x v="3"/>
    <n v="2014"/>
  </r>
  <r>
    <n v="1297"/>
    <n v="6"/>
    <n v="8"/>
    <x v="726"/>
    <n v="89"/>
    <n v="27"/>
    <n v="5.0000001000000002E-2"/>
    <n v="2282.8499975969999"/>
    <s v="Abracadaba Ink"/>
    <s v="Salt Lake City"/>
    <s v="Female"/>
    <x v="3"/>
    <n v="2014"/>
  </r>
  <r>
    <n v="1298"/>
    <n v="2"/>
    <n v="8"/>
    <x v="727"/>
    <n v="116"/>
    <n v="27"/>
    <n v="5.0000001000000002E-2"/>
    <n v="2975.399996868"/>
    <s v="A Shirts Life"/>
    <s v="Portland"/>
    <s v="Female"/>
    <x v="4"/>
    <n v="2014"/>
  </r>
  <r>
    <n v="1299"/>
    <n v="5"/>
    <n v="8"/>
    <x v="727"/>
    <n v="105"/>
    <n v="27"/>
    <n v="0"/>
    <n v="2835"/>
    <s v="Rags to Riches"/>
    <s v="Las Vegas"/>
    <s v="Female"/>
    <x v="4"/>
    <n v="2014"/>
  </r>
  <r>
    <n v="1300"/>
    <n v="1"/>
    <n v="8"/>
    <x v="728"/>
    <n v="74"/>
    <n v="27"/>
    <n v="0"/>
    <n v="1998"/>
    <s v="Threads"/>
    <s v="Seattle"/>
    <s v="Female"/>
    <x v="5"/>
    <n v="2014"/>
  </r>
  <r>
    <n v="1301"/>
    <n v="4"/>
    <n v="6"/>
    <x v="728"/>
    <n v="149"/>
    <n v="28"/>
    <n v="0.15000000599999999"/>
    <n v="3546.1999749679999"/>
    <s v="Tshirt Unlimited"/>
    <s v="Phoenix"/>
    <s v="Female"/>
    <x v="5"/>
    <n v="2014"/>
  </r>
  <r>
    <n v="1302"/>
    <n v="4"/>
    <n v="10"/>
    <x v="728"/>
    <n v="27"/>
    <n v="35"/>
    <n v="0"/>
    <n v="945"/>
    <s v="Tshirt Unlimited"/>
    <s v="Phoenix"/>
    <s v="Male"/>
    <x v="5"/>
    <n v="2014"/>
  </r>
  <r>
    <n v="1303"/>
    <n v="7"/>
    <n v="2"/>
    <x v="729"/>
    <n v="36"/>
    <n v="30"/>
    <n v="0"/>
    <n v="1080"/>
    <s v="The Shirt on Your Back"/>
    <s v="Bonners Ferry"/>
    <s v="Both"/>
    <x v="6"/>
    <n v="2014"/>
  </r>
  <r>
    <n v="1304"/>
    <n v="1"/>
    <n v="10"/>
    <x v="730"/>
    <n v="91"/>
    <n v="35"/>
    <n v="0"/>
    <n v="3185"/>
    <s v="Threads"/>
    <s v="Seattle"/>
    <s v="Male"/>
    <x v="30"/>
    <n v="2014"/>
  </r>
  <r>
    <n v="1305"/>
    <n v="3"/>
    <n v="5"/>
    <x v="731"/>
    <n v="129"/>
    <n v="16"/>
    <n v="0"/>
    <n v="2064"/>
    <s v="Shirts R Us"/>
    <s v="Los Angeles"/>
    <s v="Female"/>
    <x v="7"/>
    <n v="2014"/>
  </r>
  <r>
    <n v="1306"/>
    <n v="4"/>
    <n v="9"/>
    <x v="731"/>
    <n v="50"/>
    <n v="25"/>
    <n v="0"/>
    <n v="1250"/>
    <s v="Tshirt Unlimited"/>
    <s v="Phoenix"/>
    <s v="Male"/>
    <x v="7"/>
    <n v="2014"/>
  </r>
  <r>
    <n v="1307"/>
    <n v="3"/>
    <n v="9"/>
    <x v="732"/>
    <n v="38"/>
    <n v="25"/>
    <n v="0"/>
    <n v="950"/>
    <s v="Shirts R Us"/>
    <s v="Los Angeles"/>
    <s v="Male"/>
    <x v="8"/>
    <n v="2014"/>
  </r>
  <r>
    <n v="1308"/>
    <n v="2"/>
    <n v="9"/>
    <x v="733"/>
    <n v="141"/>
    <n v="25"/>
    <n v="0"/>
    <n v="3525"/>
    <s v="A Shirts Life"/>
    <s v="Portland"/>
    <s v="Male"/>
    <x v="10"/>
    <n v="2014"/>
  </r>
  <r>
    <n v="1309"/>
    <n v="7"/>
    <n v="10"/>
    <x v="734"/>
    <n v="74"/>
    <n v="35"/>
    <n v="0"/>
    <n v="2590"/>
    <s v="The Shirt on Your Back"/>
    <s v="Bonners Ferry"/>
    <s v="Male"/>
    <x v="11"/>
    <n v="2014"/>
  </r>
  <r>
    <n v="1310"/>
    <n v="5"/>
    <n v="1"/>
    <x v="735"/>
    <n v="125"/>
    <n v="20"/>
    <n v="0.10000000100000001"/>
    <n v="2249.9999975000001"/>
    <s v="Rags to Riches"/>
    <s v="Las Vegas"/>
    <s v="Both"/>
    <x v="12"/>
    <n v="2014"/>
  </r>
  <r>
    <n v="1311"/>
    <n v="3"/>
    <n v="7"/>
    <x v="736"/>
    <n v="36"/>
    <n v="38"/>
    <n v="0"/>
    <n v="1368"/>
    <s v="Shirts R Us"/>
    <s v="Los Angeles"/>
    <s v="Female"/>
    <x v="13"/>
    <n v="2014"/>
  </r>
  <r>
    <n v="1312"/>
    <n v="4"/>
    <n v="5"/>
    <x v="737"/>
    <n v="101"/>
    <n v="16"/>
    <n v="0.10000000100000001"/>
    <n v="1454.3999983839999"/>
    <s v="Tshirt Unlimited"/>
    <s v="Phoenix"/>
    <s v="Female"/>
    <x v="27"/>
    <n v="2014"/>
  </r>
  <r>
    <n v="1313"/>
    <n v="3"/>
    <n v="7"/>
    <x v="738"/>
    <n v="148"/>
    <n v="38"/>
    <n v="0.10000000100000001"/>
    <n v="5061.5999943759998"/>
    <s v="Shirts R Us"/>
    <s v="Los Angeles"/>
    <s v="Female"/>
    <x v="14"/>
    <n v="2014"/>
  </r>
  <r>
    <n v="1314"/>
    <n v="1"/>
    <n v="3"/>
    <x v="739"/>
    <n v="39"/>
    <n v="22"/>
    <n v="0"/>
    <n v="858"/>
    <s v="Threads"/>
    <s v="Seattle"/>
    <s v="Both"/>
    <x v="15"/>
    <n v="2014"/>
  </r>
  <r>
    <n v="1315"/>
    <n v="3"/>
    <n v="10"/>
    <x v="740"/>
    <n v="43"/>
    <n v="35"/>
    <n v="0"/>
    <n v="1505"/>
    <s v="Shirts R Us"/>
    <s v="Los Angeles"/>
    <s v="Male"/>
    <x v="18"/>
    <n v="2014"/>
  </r>
  <r>
    <n v="1316"/>
    <n v="3"/>
    <n v="5"/>
    <x v="741"/>
    <n v="83"/>
    <n v="16"/>
    <n v="0"/>
    <n v="1328"/>
    <s v="Shirts R Us"/>
    <s v="Los Angeles"/>
    <s v="Female"/>
    <x v="19"/>
    <n v="2014"/>
  </r>
  <r>
    <n v="1317"/>
    <n v="7"/>
    <n v="5"/>
    <x v="741"/>
    <n v="48"/>
    <n v="16"/>
    <n v="0"/>
    <n v="768"/>
    <s v="The Shirt on Your Back"/>
    <s v="Bonners Ferry"/>
    <s v="Female"/>
    <x v="19"/>
    <n v="2014"/>
  </r>
  <r>
    <n v="1318"/>
    <n v="7"/>
    <n v="7"/>
    <x v="741"/>
    <n v="27"/>
    <n v="38"/>
    <n v="0"/>
    <n v="1026"/>
    <s v="The Shirt on Your Back"/>
    <s v="Bonners Ferry"/>
    <s v="Female"/>
    <x v="19"/>
    <n v="2014"/>
  </r>
  <r>
    <n v="1319"/>
    <n v="1"/>
    <n v="7"/>
    <x v="742"/>
    <n v="94"/>
    <n v="38"/>
    <n v="0"/>
    <n v="3572"/>
    <s v="Threads"/>
    <s v="Seattle"/>
    <s v="Female"/>
    <x v="20"/>
    <n v="2014"/>
  </r>
  <r>
    <n v="1320"/>
    <n v="3"/>
    <n v="8"/>
    <x v="742"/>
    <n v="113"/>
    <n v="27"/>
    <n v="0"/>
    <n v="3051"/>
    <s v="Shirts R Us"/>
    <s v="Los Angeles"/>
    <s v="Female"/>
    <x v="20"/>
    <n v="2014"/>
  </r>
  <r>
    <n v="1321"/>
    <n v="7"/>
    <n v="2"/>
    <x v="742"/>
    <n v="36"/>
    <n v="30"/>
    <n v="5.0000001000000002E-2"/>
    <n v="1025.9999989200001"/>
    <s v="The Shirt on Your Back"/>
    <s v="Bonners Ferry"/>
    <s v="Both"/>
    <x v="20"/>
    <n v="2014"/>
  </r>
  <r>
    <n v="1322"/>
    <n v="4"/>
    <n v="4"/>
    <x v="743"/>
    <n v="122"/>
    <n v="30"/>
    <n v="0"/>
    <n v="3660"/>
    <s v="Tshirt Unlimited"/>
    <s v="Phoenix"/>
    <s v="Both"/>
    <x v="21"/>
    <n v="2014"/>
  </r>
  <r>
    <n v="1323"/>
    <n v="6"/>
    <n v="4"/>
    <x v="743"/>
    <n v="42"/>
    <n v="30"/>
    <n v="0"/>
    <n v="1260"/>
    <s v="Abracadaba Ink"/>
    <s v="Salt Lake City"/>
    <s v="Both"/>
    <x v="21"/>
    <n v="2014"/>
  </r>
  <r>
    <n v="1324"/>
    <n v="1"/>
    <n v="1"/>
    <x v="744"/>
    <n v="78"/>
    <n v="20"/>
    <n v="0"/>
    <n v="1560"/>
    <s v="Threads"/>
    <s v="Seattle"/>
    <s v="Both"/>
    <x v="22"/>
    <n v="2014"/>
  </r>
  <r>
    <n v="1325"/>
    <n v="1"/>
    <n v="10"/>
    <x v="745"/>
    <n v="116"/>
    <n v="35"/>
    <n v="0"/>
    <n v="4060"/>
    <s v="Threads"/>
    <s v="Seattle"/>
    <s v="Male"/>
    <x v="28"/>
    <n v="2014"/>
  </r>
  <r>
    <n v="1326"/>
    <n v="2"/>
    <n v="10"/>
    <x v="745"/>
    <n v="97"/>
    <n v="35"/>
    <n v="0"/>
    <n v="3395"/>
    <s v="A Shirts Life"/>
    <s v="Portland"/>
    <s v="Male"/>
    <x v="28"/>
    <n v="2014"/>
  </r>
  <r>
    <n v="1327"/>
    <n v="3"/>
    <n v="2"/>
    <x v="745"/>
    <n v="108"/>
    <n v="30"/>
    <n v="0"/>
    <n v="3240"/>
    <s v="Shirts R Us"/>
    <s v="Los Angeles"/>
    <s v="Both"/>
    <x v="28"/>
    <n v="2014"/>
  </r>
  <r>
    <n v="1328"/>
    <n v="4"/>
    <n v="5"/>
    <x v="745"/>
    <n v="134"/>
    <n v="16"/>
    <n v="0"/>
    <n v="2144"/>
    <s v="Tshirt Unlimited"/>
    <s v="Phoenix"/>
    <s v="Female"/>
    <x v="28"/>
    <n v="2014"/>
  </r>
  <r>
    <n v="1329"/>
    <n v="1"/>
    <n v="9"/>
    <x v="746"/>
    <n v="101"/>
    <n v="25"/>
    <n v="0"/>
    <n v="2525"/>
    <s v="Threads"/>
    <s v="Seattle"/>
    <s v="Male"/>
    <x v="1"/>
    <n v="2014"/>
  </r>
  <r>
    <n v="1330"/>
    <n v="4"/>
    <n v="1"/>
    <x v="746"/>
    <n v="57"/>
    <n v="20"/>
    <n v="0"/>
    <n v="1140"/>
    <s v="Tshirt Unlimited"/>
    <s v="Phoenix"/>
    <s v="Both"/>
    <x v="1"/>
    <n v="2014"/>
  </r>
  <r>
    <n v="1331"/>
    <n v="4"/>
    <n v="8"/>
    <x v="746"/>
    <n v="58"/>
    <n v="27"/>
    <n v="0"/>
    <n v="1566"/>
    <s v="Tshirt Unlimited"/>
    <s v="Phoenix"/>
    <s v="Female"/>
    <x v="1"/>
    <n v="2014"/>
  </r>
  <r>
    <n v="1332"/>
    <n v="1"/>
    <n v="2"/>
    <x v="747"/>
    <n v="129"/>
    <n v="30"/>
    <n v="0"/>
    <n v="3870"/>
    <s v="Threads"/>
    <s v="Seattle"/>
    <s v="Both"/>
    <x v="23"/>
    <n v="2014"/>
  </r>
  <r>
    <n v="1333"/>
    <n v="6"/>
    <n v="6"/>
    <x v="748"/>
    <n v="147"/>
    <n v="28"/>
    <n v="0"/>
    <n v="4116"/>
    <s v="Abracadaba Ink"/>
    <s v="Salt Lake City"/>
    <s v="Female"/>
    <x v="2"/>
    <n v="2014"/>
  </r>
  <r>
    <n v="1334"/>
    <n v="1"/>
    <n v="7"/>
    <x v="749"/>
    <n v="108"/>
    <n v="38"/>
    <n v="0"/>
    <n v="4104"/>
    <s v="Threads"/>
    <s v="Seattle"/>
    <s v="Female"/>
    <x v="24"/>
    <n v="2014"/>
  </r>
  <r>
    <n v="1335"/>
    <n v="2"/>
    <n v="2"/>
    <x v="749"/>
    <n v="90"/>
    <n v="30"/>
    <n v="5.0000001000000002E-2"/>
    <n v="2564.9999972999999"/>
    <s v="A Shirts Life"/>
    <s v="Portland"/>
    <s v="Both"/>
    <x v="24"/>
    <n v="2014"/>
  </r>
  <r>
    <n v="1336"/>
    <n v="7"/>
    <n v="7"/>
    <x v="750"/>
    <n v="33"/>
    <n v="38"/>
    <n v="0"/>
    <n v="1254"/>
    <s v="The Shirt on Your Back"/>
    <s v="Bonners Ferry"/>
    <s v="Female"/>
    <x v="3"/>
    <n v="2014"/>
  </r>
  <r>
    <n v="1337"/>
    <n v="6"/>
    <n v="10"/>
    <x v="751"/>
    <n v="29"/>
    <n v="35"/>
    <n v="0"/>
    <n v="1015"/>
    <s v="Abracadaba Ink"/>
    <s v="Salt Lake City"/>
    <s v="Male"/>
    <x v="4"/>
    <n v="2014"/>
  </r>
  <r>
    <n v="1338"/>
    <n v="2"/>
    <n v="2"/>
    <x v="752"/>
    <n v="147"/>
    <n v="30"/>
    <n v="0"/>
    <n v="4410"/>
    <s v="A Shirts Life"/>
    <s v="Portland"/>
    <s v="Both"/>
    <x v="6"/>
    <n v="2014"/>
  </r>
  <r>
    <n v="1339"/>
    <n v="6"/>
    <n v="5"/>
    <x v="752"/>
    <n v="68"/>
    <n v="16"/>
    <n v="0"/>
    <n v="1088"/>
    <s v="Abracadaba Ink"/>
    <s v="Salt Lake City"/>
    <s v="Female"/>
    <x v="6"/>
    <n v="2014"/>
  </r>
  <r>
    <n v="1340"/>
    <n v="7"/>
    <n v="9"/>
    <x v="752"/>
    <n v="101"/>
    <n v="25"/>
    <n v="5.0000001000000002E-2"/>
    <n v="2398.7499974749999"/>
    <s v="The Shirt on Your Back"/>
    <s v="Bonners Ferry"/>
    <s v="Male"/>
    <x v="6"/>
    <n v="2014"/>
  </r>
  <r>
    <n v="1341"/>
    <n v="2"/>
    <n v="3"/>
    <x v="753"/>
    <n v="143"/>
    <n v="22"/>
    <n v="0.15000000599999999"/>
    <n v="2674.0999811239999"/>
    <s v="A Shirts Life"/>
    <s v="Portland"/>
    <s v="Both"/>
    <x v="30"/>
    <n v="2014"/>
  </r>
  <r>
    <n v="1342"/>
    <n v="4"/>
    <n v="1"/>
    <x v="753"/>
    <n v="111"/>
    <n v="20"/>
    <n v="0.10000000100000001"/>
    <n v="1997.9999977800001"/>
    <s v="Tshirt Unlimited"/>
    <s v="Phoenix"/>
    <s v="Both"/>
    <x v="30"/>
    <n v="2014"/>
  </r>
  <r>
    <n v="1343"/>
    <n v="5"/>
    <n v="10"/>
    <x v="753"/>
    <n v="118"/>
    <n v="35"/>
    <n v="0"/>
    <n v="4130"/>
    <s v="Rags to Riches"/>
    <s v="Las Vegas"/>
    <s v="Male"/>
    <x v="30"/>
    <n v="2014"/>
  </r>
  <r>
    <n v="1344"/>
    <n v="3"/>
    <n v="4"/>
    <x v="754"/>
    <n v="81"/>
    <n v="30"/>
    <n v="0"/>
    <n v="2430"/>
    <s v="Shirts R Us"/>
    <s v="Los Angeles"/>
    <s v="Both"/>
    <x v="7"/>
    <n v="2014"/>
  </r>
  <r>
    <n v="1345"/>
    <n v="7"/>
    <n v="10"/>
    <x v="754"/>
    <n v="31"/>
    <n v="35"/>
    <n v="0"/>
    <n v="1085"/>
    <s v="The Shirt on Your Back"/>
    <s v="Bonners Ferry"/>
    <s v="Male"/>
    <x v="7"/>
    <n v="2014"/>
  </r>
  <r>
    <n v="1346"/>
    <n v="1"/>
    <n v="10"/>
    <x v="755"/>
    <n v="82"/>
    <n v="35"/>
    <n v="0"/>
    <n v="2870"/>
    <s v="Threads"/>
    <s v="Seattle"/>
    <s v="Male"/>
    <x v="25"/>
    <n v="2014"/>
  </r>
  <r>
    <n v="1347"/>
    <n v="7"/>
    <n v="4"/>
    <x v="756"/>
    <n v="95"/>
    <n v="30"/>
    <n v="0"/>
    <n v="2850"/>
    <s v="The Shirt on Your Back"/>
    <s v="Bonners Ferry"/>
    <s v="Both"/>
    <x v="8"/>
    <n v="2014"/>
  </r>
  <r>
    <n v="1348"/>
    <n v="7"/>
    <n v="7"/>
    <x v="757"/>
    <n v="60"/>
    <n v="38"/>
    <n v="0"/>
    <n v="2280"/>
    <s v="The Shirt on Your Back"/>
    <s v="Bonners Ferry"/>
    <s v="Female"/>
    <x v="9"/>
    <n v="2014"/>
  </r>
  <r>
    <n v="1349"/>
    <n v="5"/>
    <n v="5"/>
    <x v="758"/>
    <n v="28"/>
    <n v="16"/>
    <n v="0"/>
    <n v="448"/>
    <s v="Rags to Riches"/>
    <s v="Las Vegas"/>
    <s v="Female"/>
    <x v="10"/>
    <n v="2014"/>
  </r>
  <r>
    <n v="1350"/>
    <n v="5"/>
    <n v="8"/>
    <x v="758"/>
    <n v="65"/>
    <n v="27"/>
    <n v="5.0000001000000002E-2"/>
    <n v="1667.2499982449999"/>
    <s v="Rags to Riches"/>
    <s v="Las Vegas"/>
    <s v="Female"/>
    <x v="10"/>
    <n v="2014"/>
  </r>
  <r>
    <n v="1351"/>
    <n v="3"/>
    <n v="10"/>
    <x v="759"/>
    <n v="126"/>
    <n v="35"/>
    <n v="0"/>
    <n v="4410"/>
    <s v="Shirts R Us"/>
    <s v="Los Angeles"/>
    <s v="Male"/>
    <x v="26"/>
    <n v="2014"/>
  </r>
  <r>
    <n v="1352"/>
    <n v="6"/>
    <n v="2"/>
    <x v="760"/>
    <n v="83"/>
    <n v="30"/>
    <n v="0"/>
    <n v="2490"/>
    <s v="Abracadaba Ink"/>
    <s v="Salt Lake City"/>
    <s v="Both"/>
    <x v="12"/>
    <n v="2014"/>
  </r>
  <r>
    <n v="1353"/>
    <n v="4"/>
    <n v="1"/>
    <x v="761"/>
    <n v="62"/>
    <n v="20"/>
    <n v="5.0000001000000002E-2"/>
    <n v="1177.9999987599999"/>
    <s v="Tshirt Unlimited"/>
    <s v="Phoenix"/>
    <s v="Both"/>
    <x v="13"/>
    <n v="2014"/>
  </r>
  <r>
    <n v="1354"/>
    <n v="5"/>
    <n v="1"/>
    <x v="761"/>
    <n v="111"/>
    <n v="20"/>
    <n v="0"/>
    <n v="2220"/>
    <s v="Rags to Riches"/>
    <s v="Las Vegas"/>
    <s v="Both"/>
    <x v="13"/>
    <n v="2014"/>
  </r>
  <r>
    <n v="1355"/>
    <n v="1"/>
    <n v="5"/>
    <x v="762"/>
    <n v="142"/>
    <n v="16"/>
    <n v="0.15000000599999999"/>
    <n v="1931.1999863680001"/>
    <s v="Threads"/>
    <s v="Seattle"/>
    <s v="Female"/>
    <x v="17"/>
    <n v="2014"/>
  </r>
  <r>
    <n v="1356"/>
    <n v="7"/>
    <n v="3"/>
    <x v="762"/>
    <n v="77"/>
    <n v="22"/>
    <n v="0"/>
    <n v="1694"/>
    <s v="The Shirt on Your Back"/>
    <s v="Bonners Ferry"/>
    <s v="Both"/>
    <x v="17"/>
    <n v="2014"/>
  </r>
  <r>
    <n v="1357"/>
    <n v="7"/>
    <n v="5"/>
    <x v="762"/>
    <n v="36"/>
    <n v="16"/>
    <n v="0"/>
    <n v="576"/>
    <s v="The Shirt on Your Back"/>
    <s v="Bonners Ferry"/>
    <s v="Female"/>
    <x v="17"/>
    <n v="2014"/>
  </r>
  <r>
    <n v="1358"/>
    <n v="7"/>
    <n v="7"/>
    <x v="762"/>
    <n v="141"/>
    <n v="38"/>
    <n v="0"/>
    <n v="5358"/>
    <s v="The Shirt on Your Back"/>
    <s v="Bonners Ferry"/>
    <s v="Female"/>
    <x v="17"/>
    <n v="2014"/>
  </r>
  <r>
    <n v="1359"/>
    <n v="2"/>
    <n v="7"/>
    <x v="763"/>
    <n v="101"/>
    <n v="38"/>
    <n v="0"/>
    <n v="3838"/>
    <s v="A Shirts Life"/>
    <s v="Portland"/>
    <s v="Female"/>
    <x v="19"/>
    <n v="2014"/>
  </r>
  <r>
    <n v="1360"/>
    <n v="6"/>
    <n v="5"/>
    <x v="763"/>
    <n v="69"/>
    <n v="16"/>
    <n v="0"/>
    <n v="1104"/>
    <s v="Abracadaba Ink"/>
    <s v="Salt Lake City"/>
    <s v="Female"/>
    <x v="19"/>
    <n v="2014"/>
  </r>
  <r>
    <n v="1361"/>
    <n v="3"/>
    <n v="10"/>
    <x v="764"/>
    <n v="89"/>
    <n v="35"/>
    <n v="0"/>
    <n v="3115"/>
    <s v="Shirts R Us"/>
    <s v="Los Angeles"/>
    <s v="Male"/>
    <x v="21"/>
    <n v="2014"/>
  </r>
  <r>
    <n v="1362"/>
    <n v="2"/>
    <n v="9"/>
    <x v="765"/>
    <n v="131"/>
    <n v="25"/>
    <n v="0"/>
    <n v="3275"/>
    <s v="A Shirts Life"/>
    <s v="Portland"/>
    <s v="Male"/>
    <x v="22"/>
    <n v="2014"/>
  </r>
  <r>
    <n v="1363"/>
    <n v="1"/>
    <n v="9"/>
    <x v="766"/>
    <n v="61"/>
    <n v="25"/>
    <n v="0"/>
    <n v="1525"/>
    <s v="Threads"/>
    <s v="Seattle"/>
    <s v="Male"/>
    <x v="28"/>
    <n v="2014"/>
  </r>
  <r>
    <n v="1364"/>
    <n v="1"/>
    <n v="7"/>
    <x v="767"/>
    <n v="67"/>
    <n v="38"/>
    <n v="0"/>
    <n v="2546"/>
    <s v="Threads"/>
    <s v="Seattle"/>
    <s v="Female"/>
    <x v="0"/>
    <n v="2014"/>
  </r>
  <r>
    <n v="1365"/>
    <n v="6"/>
    <n v="9"/>
    <x v="767"/>
    <n v="76"/>
    <n v="25"/>
    <n v="0"/>
    <n v="1900"/>
    <s v="Abracadaba Ink"/>
    <s v="Salt Lake City"/>
    <s v="Male"/>
    <x v="0"/>
    <n v="2014"/>
  </r>
  <r>
    <n v="1366"/>
    <n v="1"/>
    <n v="1"/>
    <x v="768"/>
    <n v="33"/>
    <n v="20"/>
    <n v="0"/>
    <n v="660"/>
    <s v="Threads"/>
    <s v="Seattle"/>
    <s v="Both"/>
    <x v="1"/>
    <n v="2014"/>
  </r>
  <r>
    <n v="1367"/>
    <n v="4"/>
    <n v="3"/>
    <x v="769"/>
    <n v="37"/>
    <n v="22"/>
    <n v="0"/>
    <n v="814"/>
    <s v="Tshirt Unlimited"/>
    <s v="Phoenix"/>
    <s v="Both"/>
    <x v="23"/>
    <n v="2014"/>
  </r>
  <r>
    <n v="1368"/>
    <n v="2"/>
    <n v="1"/>
    <x v="770"/>
    <n v="115"/>
    <n v="20"/>
    <n v="5.0000001000000002E-2"/>
    <n v="2184.9999976999998"/>
    <s v="A Shirts Life"/>
    <s v="Portland"/>
    <s v="Both"/>
    <x v="2"/>
    <n v="2014"/>
  </r>
  <r>
    <n v="1369"/>
    <n v="5"/>
    <n v="4"/>
    <x v="770"/>
    <n v="41"/>
    <n v="30"/>
    <n v="0"/>
    <n v="1230"/>
    <s v="Rags to Riches"/>
    <s v="Las Vegas"/>
    <s v="Both"/>
    <x v="2"/>
    <n v="2014"/>
  </r>
  <r>
    <n v="1370"/>
    <n v="7"/>
    <n v="7"/>
    <x v="770"/>
    <n v="39"/>
    <n v="38"/>
    <n v="0"/>
    <n v="1482"/>
    <s v="The Shirt on Your Back"/>
    <s v="Bonners Ferry"/>
    <s v="Female"/>
    <x v="2"/>
    <n v="2014"/>
  </r>
  <r>
    <n v="1371"/>
    <n v="2"/>
    <n v="3"/>
    <x v="771"/>
    <n v="122"/>
    <n v="22"/>
    <n v="0"/>
    <n v="2684"/>
    <s v="A Shirts Life"/>
    <s v="Portland"/>
    <s v="Both"/>
    <x v="24"/>
    <n v="2014"/>
  </r>
  <r>
    <n v="1372"/>
    <n v="4"/>
    <n v="4"/>
    <x v="772"/>
    <n v="108"/>
    <n v="30"/>
    <n v="0"/>
    <n v="3240"/>
    <s v="Tshirt Unlimited"/>
    <s v="Phoenix"/>
    <s v="Both"/>
    <x v="3"/>
    <n v="2014"/>
  </r>
  <r>
    <n v="1373"/>
    <n v="6"/>
    <n v="10"/>
    <x v="772"/>
    <n v="36"/>
    <n v="35"/>
    <n v="0"/>
    <n v="1260"/>
    <s v="Abracadaba Ink"/>
    <s v="Salt Lake City"/>
    <s v="Male"/>
    <x v="3"/>
    <n v="2014"/>
  </r>
  <r>
    <n v="1374"/>
    <n v="2"/>
    <n v="5"/>
    <x v="773"/>
    <n v="125"/>
    <n v="16"/>
    <n v="0"/>
    <n v="2000"/>
    <s v="A Shirts Life"/>
    <s v="Portland"/>
    <s v="Female"/>
    <x v="4"/>
    <n v="2014"/>
  </r>
  <r>
    <n v="1375"/>
    <n v="4"/>
    <n v="4"/>
    <x v="773"/>
    <n v="133"/>
    <n v="30"/>
    <n v="0"/>
    <n v="3990"/>
    <s v="Tshirt Unlimited"/>
    <s v="Phoenix"/>
    <s v="Both"/>
    <x v="4"/>
    <n v="2014"/>
  </r>
  <r>
    <n v="1376"/>
    <n v="4"/>
    <n v="2"/>
    <x v="774"/>
    <n v="143"/>
    <n v="30"/>
    <n v="0"/>
    <n v="4290"/>
    <s v="Tshirt Unlimited"/>
    <s v="Phoenix"/>
    <s v="Both"/>
    <x v="5"/>
    <n v="2014"/>
  </r>
  <r>
    <n v="1377"/>
    <n v="5"/>
    <n v="1"/>
    <x v="775"/>
    <n v="65"/>
    <n v="20"/>
    <n v="0"/>
    <n v="1300"/>
    <s v="Rags to Riches"/>
    <s v="Las Vegas"/>
    <s v="Both"/>
    <x v="25"/>
    <n v="2014"/>
  </r>
  <r>
    <n v="1378"/>
    <n v="2"/>
    <n v="7"/>
    <x v="776"/>
    <n v="107"/>
    <n v="38"/>
    <n v="0"/>
    <n v="4066"/>
    <s v="A Shirts Life"/>
    <s v="Portland"/>
    <s v="Female"/>
    <x v="8"/>
    <n v="2014"/>
  </r>
  <r>
    <n v="1379"/>
    <n v="6"/>
    <n v="4"/>
    <x v="776"/>
    <n v="106"/>
    <n v="30"/>
    <n v="0"/>
    <n v="3180"/>
    <s v="Abracadaba Ink"/>
    <s v="Salt Lake City"/>
    <s v="Both"/>
    <x v="8"/>
    <n v="2014"/>
  </r>
  <r>
    <n v="1380"/>
    <n v="3"/>
    <n v="4"/>
    <x v="777"/>
    <n v="73"/>
    <n v="30"/>
    <n v="5.0000001000000002E-2"/>
    <n v="2080.49999781"/>
    <s v="Shirts R Us"/>
    <s v="Los Angeles"/>
    <s v="Both"/>
    <x v="12"/>
    <n v="2014"/>
  </r>
  <r>
    <n v="1381"/>
    <n v="1"/>
    <n v="2"/>
    <x v="778"/>
    <n v="34"/>
    <n v="30"/>
    <n v="0"/>
    <n v="1020"/>
    <s v="Threads"/>
    <s v="Seattle"/>
    <s v="Both"/>
    <x v="27"/>
    <n v="2014"/>
  </r>
  <r>
    <n v="1382"/>
    <n v="3"/>
    <n v="2"/>
    <x v="778"/>
    <n v="50"/>
    <n v="30"/>
    <n v="0"/>
    <n v="1500"/>
    <s v="Shirts R Us"/>
    <s v="Los Angeles"/>
    <s v="Both"/>
    <x v="27"/>
    <n v="2014"/>
  </r>
  <r>
    <n v="1383"/>
    <n v="2"/>
    <n v="1"/>
    <x v="779"/>
    <n v="77"/>
    <n v="20"/>
    <n v="0"/>
    <n v="1540"/>
    <s v="A Shirts Life"/>
    <s v="Portland"/>
    <s v="Both"/>
    <x v="14"/>
    <n v="2014"/>
  </r>
  <r>
    <n v="1384"/>
    <n v="3"/>
    <n v="6"/>
    <x v="780"/>
    <n v="114"/>
    <n v="28"/>
    <n v="0"/>
    <n v="3192"/>
    <s v="Shirts R Us"/>
    <s v="Los Angeles"/>
    <s v="Female"/>
    <x v="16"/>
    <n v="2014"/>
  </r>
  <r>
    <n v="1385"/>
    <n v="4"/>
    <n v="2"/>
    <x v="780"/>
    <n v="48"/>
    <n v="30"/>
    <n v="5.0000001000000002E-2"/>
    <n v="1367.99999856"/>
    <s v="Tshirt Unlimited"/>
    <s v="Phoenix"/>
    <s v="Both"/>
    <x v="16"/>
    <n v="2014"/>
  </r>
  <r>
    <n v="1386"/>
    <n v="7"/>
    <n v="3"/>
    <x v="781"/>
    <n v="43"/>
    <n v="22"/>
    <n v="0.15000000599999999"/>
    <n v="804.09999432400002"/>
    <s v="The Shirt on Your Back"/>
    <s v="Bonners Ferry"/>
    <s v="Both"/>
    <x v="18"/>
    <n v="2014"/>
  </r>
  <r>
    <n v="1387"/>
    <n v="7"/>
    <n v="8"/>
    <x v="781"/>
    <n v="137"/>
    <n v="27"/>
    <n v="0"/>
    <n v="3699"/>
    <s v="The Shirt on Your Back"/>
    <s v="Bonners Ferry"/>
    <s v="Female"/>
    <x v="18"/>
    <n v="2014"/>
  </r>
  <r>
    <n v="1388"/>
    <n v="2"/>
    <n v="5"/>
    <x v="782"/>
    <n v="102"/>
    <n v="16"/>
    <n v="0"/>
    <n v="1632"/>
    <s v="A Shirts Life"/>
    <s v="Portland"/>
    <s v="Female"/>
    <x v="20"/>
    <n v="2014"/>
  </r>
  <r>
    <n v="1389"/>
    <n v="2"/>
    <n v="7"/>
    <x v="783"/>
    <n v="73"/>
    <n v="38"/>
    <n v="0"/>
    <n v="2774"/>
    <s v="A Shirts Life"/>
    <s v="Portland"/>
    <s v="Female"/>
    <x v="21"/>
    <n v="2014"/>
  </r>
  <r>
    <n v="1390"/>
    <n v="5"/>
    <n v="9"/>
    <x v="783"/>
    <n v="58"/>
    <n v="25"/>
    <n v="0"/>
    <n v="1450"/>
    <s v="Rags to Riches"/>
    <s v="Las Vegas"/>
    <s v="Male"/>
    <x v="21"/>
    <n v="2014"/>
  </r>
  <r>
    <n v="1391"/>
    <n v="6"/>
    <n v="6"/>
    <x v="783"/>
    <n v="91"/>
    <n v="28"/>
    <n v="0"/>
    <n v="2548"/>
    <s v="Abracadaba Ink"/>
    <s v="Salt Lake City"/>
    <s v="Female"/>
    <x v="21"/>
    <n v="2014"/>
  </r>
  <r>
    <n v="1392"/>
    <n v="2"/>
    <n v="3"/>
    <x v="784"/>
    <n v="104"/>
    <n v="22"/>
    <n v="0"/>
    <n v="2288"/>
    <s v="A Shirts Life"/>
    <s v="Portland"/>
    <s v="Both"/>
    <x v="29"/>
    <n v="2014"/>
  </r>
  <r>
    <n v="1393"/>
    <n v="2"/>
    <n v="4"/>
    <x v="784"/>
    <n v="130"/>
    <n v="30"/>
    <n v="0"/>
    <n v="3900"/>
    <s v="A Shirts Life"/>
    <s v="Portland"/>
    <s v="Both"/>
    <x v="29"/>
    <n v="2014"/>
  </r>
  <r>
    <n v="1394"/>
    <n v="5"/>
    <n v="6"/>
    <x v="784"/>
    <n v="69"/>
    <n v="28"/>
    <n v="0.10000000100000001"/>
    <n v="1738.7999980679999"/>
    <s v="Rags to Riches"/>
    <s v="Las Vegas"/>
    <s v="Female"/>
    <x v="29"/>
    <n v="2014"/>
  </r>
  <r>
    <n v="1395"/>
    <n v="7"/>
    <n v="2"/>
    <x v="784"/>
    <n v="91"/>
    <n v="30"/>
    <n v="0"/>
    <n v="2730"/>
    <s v="The Shirt on Your Back"/>
    <s v="Bonners Ferry"/>
    <s v="Both"/>
    <x v="29"/>
    <n v="2014"/>
  </r>
  <r>
    <n v="1396"/>
    <n v="2"/>
    <n v="1"/>
    <x v="785"/>
    <n v="86"/>
    <n v="20"/>
    <n v="0"/>
    <n v="1720"/>
    <s v="A Shirts Life"/>
    <s v="Portland"/>
    <s v="Both"/>
    <x v="28"/>
    <n v="2015"/>
  </r>
  <r>
    <n v="1397"/>
    <n v="7"/>
    <n v="8"/>
    <x v="785"/>
    <n v="101"/>
    <n v="27"/>
    <n v="0"/>
    <n v="2727"/>
    <s v="The Shirt on Your Back"/>
    <s v="Bonners Ferry"/>
    <s v="Female"/>
    <x v="28"/>
    <n v="2015"/>
  </r>
  <r>
    <n v="1398"/>
    <n v="4"/>
    <n v="6"/>
    <x v="786"/>
    <n v="75"/>
    <n v="28"/>
    <n v="0.10000000100000001"/>
    <n v="1889.9999978999999"/>
    <s v="Tshirt Unlimited"/>
    <s v="Phoenix"/>
    <s v="Female"/>
    <x v="0"/>
    <n v="2015"/>
  </r>
  <r>
    <n v="1399"/>
    <n v="1"/>
    <n v="6"/>
    <x v="787"/>
    <n v="110"/>
    <n v="28"/>
    <n v="0"/>
    <n v="3080"/>
    <s v="Threads"/>
    <s v="Seattle"/>
    <s v="Female"/>
    <x v="2"/>
    <n v="2015"/>
  </r>
  <r>
    <n v="1400"/>
    <n v="3"/>
    <n v="1"/>
    <x v="787"/>
    <n v="42"/>
    <n v="20"/>
    <n v="0"/>
    <n v="840"/>
    <s v="Shirts R Us"/>
    <s v="Los Angeles"/>
    <s v="Both"/>
    <x v="2"/>
    <n v="2015"/>
  </r>
  <r>
    <n v="1401"/>
    <n v="7"/>
    <n v="9"/>
    <x v="787"/>
    <n v="110"/>
    <n v="25"/>
    <n v="0"/>
    <n v="2750"/>
    <s v="The Shirt on Your Back"/>
    <s v="Bonners Ferry"/>
    <s v="Male"/>
    <x v="2"/>
    <n v="2015"/>
  </r>
  <r>
    <n v="1402"/>
    <n v="4"/>
    <n v="1"/>
    <x v="788"/>
    <n v="53"/>
    <n v="20"/>
    <n v="0"/>
    <n v="1060"/>
    <s v="Tshirt Unlimited"/>
    <s v="Phoenix"/>
    <s v="Both"/>
    <x v="3"/>
    <n v="2015"/>
  </r>
  <r>
    <n v="1403"/>
    <n v="1"/>
    <n v="1"/>
    <x v="789"/>
    <n v="94"/>
    <n v="20"/>
    <n v="0"/>
    <n v="1880"/>
    <s v="Threads"/>
    <s v="Seattle"/>
    <s v="Both"/>
    <x v="5"/>
    <n v="2015"/>
  </r>
  <r>
    <n v="1404"/>
    <n v="1"/>
    <n v="5"/>
    <x v="790"/>
    <n v="118"/>
    <n v="16"/>
    <n v="0"/>
    <n v="1888"/>
    <s v="Threads"/>
    <s v="Seattle"/>
    <s v="Female"/>
    <x v="7"/>
    <n v="2015"/>
  </r>
  <r>
    <n v="1405"/>
    <n v="3"/>
    <n v="3"/>
    <x v="790"/>
    <n v="34"/>
    <n v="22"/>
    <n v="5.0000001000000002E-2"/>
    <n v="710.59999925199998"/>
    <s v="Shirts R Us"/>
    <s v="Los Angeles"/>
    <s v="Both"/>
    <x v="7"/>
    <n v="2015"/>
  </r>
  <r>
    <n v="1406"/>
    <n v="5"/>
    <n v="10"/>
    <x v="791"/>
    <n v="107"/>
    <n v="35"/>
    <n v="0"/>
    <n v="3745"/>
    <s v="Rags to Riches"/>
    <s v="Las Vegas"/>
    <s v="Male"/>
    <x v="8"/>
    <n v="2015"/>
  </r>
  <r>
    <n v="1407"/>
    <n v="6"/>
    <n v="2"/>
    <x v="791"/>
    <n v="89"/>
    <n v="30"/>
    <n v="0"/>
    <n v="2670"/>
    <s v="Abracadaba Ink"/>
    <s v="Salt Lake City"/>
    <s v="Both"/>
    <x v="8"/>
    <n v="2015"/>
  </r>
  <r>
    <n v="1408"/>
    <n v="4"/>
    <n v="4"/>
    <x v="792"/>
    <n v="33"/>
    <n v="30"/>
    <n v="0"/>
    <n v="990"/>
    <s v="Tshirt Unlimited"/>
    <s v="Phoenix"/>
    <s v="Both"/>
    <x v="9"/>
    <n v="2015"/>
  </r>
  <r>
    <n v="1409"/>
    <n v="1"/>
    <n v="10"/>
    <x v="793"/>
    <n v="109"/>
    <n v="35"/>
    <n v="0"/>
    <n v="3815"/>
    <s v="Threads"/>
    <s v="Seattle"/>
    <s v="Male"/>
    <x v="10"/>
    <n v="2015"/>
  </r>
  <r>
    <n v="1410"/>
    <n v="2"/>
    <n v="2"/>
    <x v="794"/>
    <n v="72"/>
    <n v="30"/>
    <n v="0"/>
    <n v="2160"/>
    <s v="A Shirts Life"/>
    <s v="Portland"/>
    <s v="Both"/>
    <x v="26"/>
    <n v="2015"/>
  </r>
  <r>
    <n v="1411"/>
    <n v="1"/>
    <n v="3"/>
    <x v="795"/>
    <n v="97"/>
    <n v="22"/>
    <n v="0"/>
    <n v="2134"/>
    <s v="Threads"/>
    <s v="Seattle"/>
    <s v="Both"/>
    <x v="11"/>
    <n v="2015"/>
  </r>
  <r>
    <n v="1412"/>
    <n v="1"/>
    <n v="6"/>
    <x v="795"/>
    <n v="112"/>
    <n v="28"/>
    <n v="0"/>
    <n v="3136"/>
    <s v="Threads"/>
    <s v="Seattle"/>
    <s v="Female"/>
    <x v="11"/>
    <n v="2015"/>
  </r>
  <r>
    <n v="1413"/>
    <n v="4"/>
    <n v="9"/>
    <x v="796"/>
    <n v="105"/>
    <n v="25"/>
    <n v="0"/>
    <n v="2625"/>
    <s v="Tshirt Unlimited"/>
    <s v="Phoenix"/>
    <s v="Male"/>
    <x v="13"/>
    <n v="2015"/>
  </r>
  <r>
    <n v="1414"/>
    <n v="6"/>
    <n v="4"/>
    <x v="796"/>
    <n v="134"/>
    <n v="30"/>
    <n v="0"/>
    <n v="4020"/>
    <s v="Abracadaba Ink"/>
    <s v="Salt Lake City"/>
    <s v="Both"/>
    <x v="13"/>
    <n v="2015"/>
  </r>
  <r>
    <n v="1415"/>
    <n v="6"/>
    <n v="10"/>
    <x v="796"/>
    <n v="30"/>
    <n v="35"/>
    <n v="0"/>
    <n v="1050"/>
    <s v="Abracadaba Ink"/>
    <s v="Salt Lake City"/>
    <s v="Male"/>
    <x v="13"/>
    <n v="2015"/>
  </r>
  <r>
    <n v="1416"/>
    <n v="6"/>
    <n v="1"/>
    <x v="797"/>
    <n v="142"/>
    <n v="20"/>
    <n v="5.0000001000000002E-2"/>
    <n v="2697.99999716"/>
    <s v="Abracadaba Ink"/>
    <s v="Salt Lake City"/>
    <s v="Both"/>
    <x v="27"/>
    <n v="2015"/>
  </r>
  <r>
    <n v="1417"/>
    <n v="7"/>
    <n v="1"/>
    <x v="797"/>
    <n v="30"/>
    <n v="20"/>
    <n v="0"/>
    <n v="600"/>
    <s v="The Shirt on Your Back"/>
    <s v="Bonners Ferry"/>
    <s v="Both"/>
    <x v="27"/>
    <n v="2015"/>
  </r>
  <r>
    <n v="1418"/>
    <n v="7"/>
    <n v="10"/>
    <x v="798"/>
    <n v="136"/>
    <n v="35"/>
    <n v="0"/>
    <n v="4760"/>
    <s v="The Shirt on Your Back"/>
    <s v="Bonners Ferry"/>
    <s v="Male"/>
    <x v="14"/>
    <n v="2015"/>
  </r>
  <r>
    <n v="1419"/>
    <n v="7"/>
    <n v="7"/>
    <x v="799"/>
    <n v="113"/>
    <n v="38"/>
    <n v="5.0000001000000002E-2"/>
    <n v="4079.2999957060001"/>
    <s v="The Shirt on Your Back"/>
    <s v="Bonners Ferry"/>
    <s v="Female"/>
    <x v="15"/>
    <n v="2015"/>
  </r>
  <r>
    <n v="1420"/>
    <n v="7"/>
    <n v="10"/>
    <x v="799"/>
    <n v="60"/>
    <n v="35"/>
    <n v="0"/>
    <n v="2100"/>
    <s v="The Shirt on Your Back"/>
    <s v="Bonners Ferry"/>
    <s v="Male"/>
    <x v="15"/>
    <n v="2015"/>
  </r>
  <r>
    <n v="1421"/>
    <n v="7"/>
    <n v="4"/>
    <x v="800"/>
    <n v="144"/>
    <n v="30"/>
    <n v="0"/>
    <n v="4320"/>
    <s v="The Shirt on Your Back"/>
    <s v="Bonners Ferry"/>
    <s v="Both"/>
    <x v="16"/>
    <n v="2015"/>
  </r>
  <r>
    <n v="1422"/>
    <n v="6"/>
    <n v="7"/>
    <x v="801"/>
    <n v="78"/>
    <n v="38"/>
    <n v="0"/>
    <n v="2964"/>
    <s v="Abracadaba Ink"/>
    <s v="Salt Lake City"/>
    <s v="Female"/>
    <x v="18"/>
    <n v="2015"/>
  </r>
  <r>
    <n v="1423"/>
    <n v="7"/>
    <n v="9"/>
    <x v="801"/>
    <n v="85"/>
    <n v="25"/>
    <n v="0"/>
    <n v="2125"/>
    <s v="The Shirt on Your Back"/>
    <s v="Bonners Ferry"/>
    <s v="Male"/>
    <x v="18"/>
    <n v="2015"/>
  </r>
  <r>
    <n v="1424"/>
    <n v="1"/>
    <n v="9"/>
    <x v="802"/>
    <n v="106"/>
    <n v="25"/>
    <n v="0"/>
    <n v="2650"/>
    <s v="Threads"/>
    <s v="Seattle"/>
    <s v="Male"/>
    <x v="19"/>
    <n v="2015"/>
  </r>
  <r>
    <n v="1425"/>
    <n v="3"/>
    <n v="1"/>
    <x v="802"/>
    <n v="78"/>
    <n v="20"/>
    <n v="0"/>
    <n v="1560"/>
    <s v="Shirts R Us"/>
    <s v="Los Angeles"/>
    <s v="Both"/>
    <x v="19"/>
    <n v="2015"/>
  </r>
  <r>
    <n v="1426"/>
    <n v="4"/>
    <n v="10"/>
    <x v="802"/>
    <n v="118"/>
    <n v="35"/>
    <n v="0"/>
    <n v="4130"/>
    <s v="Tshirt Unlimited"/>
    <s v="Phoenix"/>
    <s v="Male"/>
    <x v="19"/>
    <n v="2015"/>
  </r>
  <r>
    <n v="1427"/>
    <n v="1"/>
    <n v="1"/>
    <x v="803"/>
    <n v="131"/>
    <n v="20"/>
    <n v="0"/>
    <n v="2620"/>
    <s v="Threads"/>
    <s v="Seattle"/>
    <s v="Both"/>
    <x v="21"/>
    <n v="2015"/>
  </r>
  <r>
    <n v="1428"/>
    <n v="5"/>
    <n v="1"/>
    <x v="803"/>
    <n v="138"/>
    <n v="20"/>
    <n v="0"/>
    <n v="2760"/>
    <s v="Rags to Riches"/>
    <s v="Las Vegas"/>
    <s v="Both"/>
    <x v="21"/>
    <n v="2015"/>
  </r>
  <r>
    <n v="1429"/>
    <n v="1"/>
    <n v="5"/>
    <x v="804"/>
    <n v="109"/>
    <n v="16"/>
    <n v="0"/>
    <n v="1744"/>
    <s v="Threads"/>
    <s v="Seattle"/>
    <s v="Female"/>
    <x v="29"/>
    <n v="2015"/>
  </r>
  <r>
    <n v="1430"/>
    <n v="3"/>
    <n v="2"/>
    <x v="804"/>
    <n v="114"/>
    <n v="30"/>
    <n v="0"/>
    <n v="3420"/>
    <s v="Shirts R Us"/>
    <s v="Los Angeles"/>
    <s v="Both"/>
    <x v="29"/>
    <n v="2015"/>
  </r>
  <r>
    <n v="1431"/>
    <n v="3"/>
    <n v="2"/>
    <x v="805"/>
    <n v="71"/>
    <n v="30"/>
    <n v="0"/>
    <n v="2130"/>
    <s v="Shirts R Us"/>
    <s v="Los Angeles"/>
    <s v="Both"/>
    <x v="28"/>
    <n v="2015"/>
  </r>
  <r>
    <n v="1432"/>
    <n v="4"/>
    <n v="6"/>
    <x v="805"/>
    <n v="52"/>
    <n v="28"/>
    <n v="0.15000000599999999"/>
    <n v="1237.599991264"/>
    <s v="Tshirt Unlimited"/>
    <s v="Phoenix"/>
    <s v="Female"/>
    <x v="28"/>
    <n v="2015"/>
  </r>
  <r>
    <n v="1433"/>
    <n v="4"/>
    <n v="7"/>
    <x v="805"/>
    <n v="28"/>
    <n v="38"/>
    <n v="0"/>
    <n v="1064"/>
    <s v="Tshirt Unlimited"/>
    <s v="Phoenix"/>
    <s v="Female"/>
    <x v="28"/>
    <n v="2015"/>
  </r>
  <r>
    <n v="1434"/>
    <n v="2"/>
    <n v="1"/>
    <x v="806"/>
    <n v="87"/>
    <n v="20"/>
    <n v="5.0000001000000002E-2"/>
    <n v="1652.99999826"/>
    <s v="A Shirts Life"/>
    <s v="Portland"/>
    <s v="Both"/>
    <x v="1"/>
    <n v="2015"/>
  </r>
  <r>
    <n v="1435"/>
    <n v="2"/>
    <n v="5"/>
    <x v="807"/>
    <n v="52"/>
    <n v="16"/>
    <n v="0.15000000599999999"/>
    <n v="707.19999500799997"/>
    <s v="A Shirts Life"/>
    <s v="Portland"/>
    <s v="Female"/>
    <x v="23"/>
    <n v="2015"/>
  </r>
  <r>
    <n v="1436"/>
    <n v="4"/>
    <n v="6"/>
    <x v="807"/>
    <n v="112"/>
    <n v="28"/>
    <n v="0"/>
    <n v="3136"/>
    <s v="Tshirt Unlimited"/>
    <s v="Phoenix"/>
    <s v="Female"/>
    <x v="23"/>
    <n v="2015"/>
  </r>
  <r>
    <n v="1437"/>
    <n v="6"/>
    <n v="2"/>
    <x v="807"/>
    <n v="63"/>
    <n v="30"/>
    <n v="0.10000000100000001"/>
    <n v="1700.99999811"/>
    <s v="Abracadaba Ink"/>
    <s v="Salt Lake City"/>
    <s v="Both"/>
    <x v="23"/>
    <n v="2015"/>
  </r>
  <r>
    <n v="1438"/>
    <n v="2"/>
    <n v="7"/>
    <x v="808"/>
    <n v="149"/>
    <n v="38"/>
    <n v="0"/>
    <n v="5662"/>
    <s v="A Shirts Life"/>
    <s v="Portland"/>
    <s v="Female"/>
    <x v="2"/>
    <n v="2015"/>
  </r>
  <r>
    <n v="1439"/>
    <n v="3"/>
    <n v="2"/>
    <x v="808"/>
    <n v="54"/>
    <n v="30"/>
    <n v="0"/>
    <n v="1620"/>
    <s v="Shirts R Us"/>
    <s v="Los Angeles"/>
    <s v="Both"/>
    <x v="2"/>
    <n v="2015"/>
  </r>
  <r>
    <n v="1440"/>
    <n v="1"/>
    <n v="5"/>
    <x v="809"/>
    <n v="46"/>
    <n v="16"/>
    <n v="0.10000000100000001"/>
    <n v="662.39999926400003"/>
    <s v="Threads"/>
    <s v="Seattle"/>
    <s v="Female"/>
    <x v="24"/>
    <n v="2015"/>
  </r>
  <r>
    <n v="1441"/>
    <n v="2"/>
    <n v="5"/>
    <x v="809"/>
    <n v="116"/>
    <n v="16"/>
    <n v="0.10000000100000001"/>
    <n v="1670.3999981439999"/>
    <s v="A Shirts Life"/>
    <s v="Portland"/>
    <s v="Female"/>
    <x v="24"/>
    <n v="2015"/>
  </r>
  <r>
    <n v="1442"/>
    <n v="5"/>
    <n v="1"/>
    <x v="809"/>
    <n v="44"/>
    <n v="20"/>
    <n v="0"/>
    <n v="880"/>
    <s v="Rags to Riches"/>
    <s v="Las Vegas"/>
    <s v="Both"/>
    <x v="24"/>
    <n v="2015"/>
  </r>
  <r>
    <n v="1443"/>
    <n v="2"/>
    <n v="1"/>
    <x v="810"/>
    <n v="42"/>
    <n v="20"/>
    <n v="0"/>
    <n v="840"/>
    <s v="A Shirts Life"/>
    <s v="Portland"/>
    <s v="Both"/>
    <x v="3"/>
    <n v="2015"/>
  </r>
  <r>
    <n v="1444"/>
    <n v="6"/>
    <n v="8"/>
    <x v="811"/>
    <n v="137"/>
    <n v="27"/>
    <n v="0"/>
    <n v="3699"/>
    <s v="Abracadaba Ink"/>
    <s v="Salt Lake City"/>
    <s v="Female"/>
    <x v="4"/>
    <n v="2015"/>
  </r>
  <r>
    <n v="1445"/>
    <n v="6"/>
    <n v="5"/>
    <x v="812"/>
    <n v="104"/>
    <n v="16"/>
    <n v="0"/>
    <n v="1664"/>
    <s v="Abracadaba Ink"/>
    <s v="Salt Lake City"/>
    <s v="Female"/>
    <x v="5"/>
    <n v="2015"/>
  </r>
  <r>
    <n v="1446"/>
    <n v="4"/>
    <n v="6"/>
    <x v="813"/>
    <n v="98"/>
    <n v="28"/>
    <n v="0"/>
    <n v="2744"/>
    <s v="Tshirt Unlimited"/>
    <s v="Phoenix"/>
    <s v="Female"/>
    <x v="6"/>
    <n v="2015"/>
  </r>
  <r>
    <n v="1447"/>
    <n v="5"/>
    <n v="5"/>
    <x v="814"/>
    <n v="134"/>
    <n v="16"/>
    <n v="0"/>
    <n v="2144"/>
    <s v="Rags to Riches"/>
    <s v="Las Vegas"/>
    <s v="Female"/>
    <x v="30"/>
    <n v="2015"/>
  </r>
  <r>
    <n v="1448"/>
    <n v="3"/>
    <n v="2"/>
    <x v="815"/>
    <n v="93"/>
    <n v="30"/>
    <n v="0"/>
    <n v="2790"/>
    <s v="Shirts R Us"/>
    <s v="Los Angeles"/>
    <s v="Both"/>
    <x v="7"/>
    <n v="2015"/>
  </r>
  <r>
    <n v="1449"/>
    <n v="5"/>
    <n v="3"/>
    <x v="815"/>
    <n v="135"/>
    <n v="22"/>
    <n v="0"/>
    <n v="2970"/>
    <s v="Rags to Riches"/>
    <s v="Las Vegas"/>
    <s v="Both"/>
    <x v="7"/>
    <n v="2015"/>
  </r>
  <r>
    <n v="1450"/>
    <n v="7"/>
    <n v="6"/>
    <x v="815"/>
    <n v="47"/>
    <n v="28"/>
    <n v="0"/>
    <n v="1316"/>
    <s v="The Shirt on Your Back"/>
    <s v="Bonners Ferry"/>
    <s v="Female"/>
    <x v="7"/>
    <n v="2015"/>
  </r>
  <r>
    <n v="1451"/>
    <n v="3"/>
    <n v="2"/>
    <x v="816"/>
    <n v="60"/>
    <n v="30"/>
    <n v="0"/>
    <n v="1800"/>
    <s v="Shirts R Us"/>
    <s v="Los Angeles"/>
    <s v="Both"/>
    <x v="25"/>
    <n v="2015"/>
  </r>
  <r>
    <n v="1452"/>
    <n v="2"/>
    <n v="10"/>
    <x v="817"/>
    <n v="148"/>
    <n v="35"/>
    <n v="0.10000000100000001"/>
    <n v="4661.9999948200002"/>
    <s v="A Shirts Life"/>
    <s v="Portland"/>
    <s v="Male"/>
    <x v="8"/>
    <n v="2015"/>
  </r>
  <r>
    <n v="1453"/>
    <n v="5"/>
    <n v="9"/>
    <x v="817"/>
    <n v="131"/>
    <n v="25"/>
    <n v="0"/>
    <n v="3275"/>
    <s v="Rags to Riches"/>
    <s v="Las Vegas"/>
    <s v="Male"/>
    <x v="8"/>
    <n v="2015"/>
  </r>
  <r>
    <n v="1454"/>
    <n v="3"/>
    <n v="3"/>
    <x v="818"/>
    <n v="148"/>
    <n v="22"/>
    <n v="5.0000001000000002E-2"/>
    <n v="3093.1999967440001"/>
    <s v="Shirts R Us"/>
    <s v="Los Angeles"/>
    <s v="Both"/>
    <x v="9"/>
    <n v="2015"/>
  </r>
  <r>
    <n v="1455"/>
    <n v="5"/>
    <n v="10"/>
    <x v="818"/>
    <n v="66"/>
    <n v="35"/>
    <n v="0.10000000100000001"/>
    <n v="2078.9999976899999"/>
    <s v="Rags to Riches"/>
    <s v="Las Vegas"/>
    <s v="Male"/>
    <x v="9"/>
    <n v="2015"/>
  </r>
  <r>
    <n v="1456"/>
    <n v="1"/>
    <n v="10"/>
    <x v="819"/>
    <n v="81"/>
    <n v="35"/>
    <n v="0.15000000599999999"/>
    <n v="2409.7499829899998"/>
    <s v="Threads"/>
    <s v="Seattle"/>
    <s v="Male"/>
    <x v="10"/>
    <n v="2015"/>
  </r>
  <r>
    <n v="1457"/>
    <n v="1"/>
    <n v="2"/>
    <x v="820"/>
    <n v="92"/>
    <n v="30"/>
    <n v="0"/>
    <n v="2760"/>
    <s v="Threads"/>
    <s v="Seattle"/>
    <s v="Both"/>
    <x v="26"/>
    <n v="2015"/>
  </r>
  <r>
    <n v="1458"/>
    <n v="5"/>
    <n v="7"/>
    <x v="820"/>
    <n v="41"/>
    <n v="38"/>
    <n v="0"/>
    <n v="1558"/>
    <s v="Rags to Riches"/>
    <s v="Las Vegas"/>
    <s v="Female"/>
    <x v="26"/>
    <n v="2015"/>
  </r>
  <r>
    <n v="1459"/>
    <n v="3"/>
    <n v="6"/>
    <x v="821"/>
    <n v="142"/>
    <n v="28"/>
    <n v="0"/>
    <n v="3976"/>
    <s v="Shirts R Us"/>
    <s v="Los Angeles"/>
    <s v="Female"/>
    <x v="11"/>
    <n v="2015"/>
  </r>
  <r>
    <n v="1460"/>
    <n v="5"/>
    <n v="2"/>
    <x v="822"/>
    <n v="82"/>
    <n v="30"/>
    <n v="0"/>
    <n v="2460"/>
    <s v="Rags to Riches"/>
    <s v="Las Vegas"/>
    <s v="Both"/>
    <x v="12"/>
    <n v="2015"/>
  </r>
  <r>
    <n v="1461"/>
    <n v="5"/>
    <n v="7"/>
    <x v="823"/>
    <n v="40"/>
    <n v="38"/>
    <n v="0"/>
    <n v="1520"/>
    <s v="Rags to Riches"/>
    <s v="Las Vegas"/>
    <s v="Female"/>
    <x v="13"/>
    <n v="2015"/>
  </r>
  <r>
    <n v="1462"/>
    <n v="7"/>
    <n v="5"/>
    <x v="823"/>
    <n v="94"/>
    <n v="16"/>
    <n v="0"/>
    <n v="1504"/>
    <s v="The Shirt on Your Back"/>
    <s v="Bonners Ferry"/>
    <s v="Female"/>
    <x v="13"/>
    <n v="2015"/>
  </r>
  <r>
    <n v="1463"/>
    <n v="4"/>
    <n v="8"/>
    <x v="824"/>
    <n v="144"/>
    <n v="27"/>
    <n v="5.0000001000000002E-2"/>
    <n v="3693.5999961120001"/>
    <s v="Tshirt Unlimited"/>
    <s v="Phoenix"/>
    <s v="Female"/>
    <x v="15"/>
    <n v="2015"/>
  </r>
  <r>
    <n v="1464"/>
    <n v="5"/>
    <n v="8"/>
    <x v="824"/>
    <n v="66"/>
    <n v="27"/>
    <n v="0.10000000100000001"/>
    <n v="1603.7999982179999"/>
    <s v="Rags to Riches"/>
    <s v="Las Vegas"/>
    <s v="Female"/>
    <x v="15"/>
    <n v="2015"/>
  </r>
  <r>
    <n v="1465"/>
    <n v="6"/>
    <n v="3"/>
    <x v="824"/>
    <n v="76"/>
    <n v="22"/>
    <n v="5.0000001000000002E-2"/>
    <n v="1588.399998328"/>
    <s v="Abracadaba Ink"/>
    <s v="Salt Lake City"/>
    <s v="Both"/>
    <x v="15"/>
    <n v="2015"/>
  </r>
  <r>
    <n v="1466"/>
    <n v="6"/>
    <n v="10"/>
    <x v="825"/>
    <n v="137"/>
    <n v="35"/>
    <n v="0"/>
    <n v="4795"/>
    <s v="Abracadaba Ink"/>
    <s v="Salt Lake City"/>
    <s v="Male"/>
    <x v="16"/>
    <n v="2015"/>
  </r>
  <r>
    <n v="1467"/>
    <n v="3"/>
    <n v="10"/>
    <x v="826"/>
    <n v="65"/>
    <n v="35"/>
    <n v="0"/>
    <n v="2275"/>
    <s v="Shirts R Us"/>
    <s v="Los Angeles"/>
    <s v="Male"/>
    <x v="17"/>
    <n v="2015"/>
  </r>
  <r>
    <n v="1468"/>
    <n v="5"/>
    <n v="4"/>
    <x v="827"/>
    <n v="129"/>
    <n v="30"/>
    <n v="0"/>
    <n v="3870"/>
    <s v="Rags to Riches"/>
    <s v="Las Vegas"/>
    <s v="Both"/>
    <x v="19"/>
    <n v="2015"/>
  </r>
  <r>
    <n v="1469"/>
    <n v="6"/>
    <n v="2"/>
    <x v="828"/>
    <n v="149"/>
    <n v="30"/>
    <n v="0"/>
    <n v="4470"/>
    <s v="Abracadaba Ink"/>
    <s v="Salt Lake City"/>
    <s v="Both"/>
    <x v="20"/>
    <n v="2015"/>
  </r>
  <r>
    <n v="1470"/>
    <n v="1"/>
    <n v="9"/>
    <x v="829"/>
    <n v="76"/>
    <n v="25"/>
    <n v="0"/>
    <n v="1900"/>
    <s v="Threads"/>
    <s v="Seattle"/>
    <s v="Male"/>
    <x v="0"/>
    <n v="2015"/>
  </r>
  <r>
    <n v="1471"/>
    <n v="4"/>
    <n v="1"/>
    <x v="829"/>
    <n v="71"/>
    <n v="20"/>
    <n v="0"/>
    <n v="1420"/>
    <s v="Tshirt Unlimited"/>
    <s v="Phoenix"/>
    <s v="Both"/>
    <x v="0"/>
    <n v="2015"/>
  </r>
  <r>
    <n v="1472"/>
    <n v="7"/>
    <n v="2"/>
    <x v="830"/>
    <n v="57"/>
    <n v="30"/>
    <n v="5.0000001000000002E-2"/>
    <n v="1624.4999982899999"/>
    <s v="The Shirt on Your Back"/>
    <s v="Bonners Ferry"/>
    <s v="Both"/>
    <x v="1"/>
    <n v="2015"/>
  </r>
  <r>
    <n v="1473"/>
    <n v="3"/>
    <n v="9"/>
    <x v="831"/>
    <n v="103"/>
    <n v="25"/>
    <n v="0"/>
    <n v="2575"/>
    <s v="Shirts R Us"/>
    <s v="Los Angeles"/>
    <s v="Male"/>
    <x v="23"/>
    <n v="2015"/>
  </r>
  <r>
    <n v="1474"/>
    <n v="4"/>
    <n v="1"/>
    <x v="831"/>
    <n v="90"/>
    <n v="20"/>
    <n v="0"/>
    <n v="1800"/>
    <s v="Tshirt Unlimited"/>
    <s v="Phoenix"/>
    <s v="Both"/>
    <x v="23"/>
    <n v="2015"/>
  </r>
  <r>
    <n v="1475"/>
    <n v="4"/>
    <n v="4"/>
    <x v="832"/>
    <n v="70"/>
    <n v="30"/>
    <n v="5.0000001000000002E-2"/>
    <n v="1994.9999978999999"/>
    <s v="Tshirt Unlimited"/>
    <s v="Phoenix"/>
    <s v="Both"/>
    <x v="2"/>
    <n v="2015"/>
  </r>
  <r>
    <n v="1476"/>
    <n v="4"/>
    <n v="5"/>
    <x v="833"/>
    <n v="72"/>
    <n v="16"/>
    <n v="0"/>
    <n v="1152"/>
    <s v="Tshirt Unlimited"/>
    <s v="Phoenix"/>
    <s v="Female"/>
    <x v="24"/>
    <n v="2015"/>
  </r>
  <r>
    <n v="1477"/>
    <n v="1"/>
    <n v="9"/>
    <x v="834"/>
    <n v="67"/>
    <n v="25"/>
    <n v="0"/>
    <n v="1675"/>
    <s v="Threads"/>
    <s v="Seattle"/>
    <s v="Male"/>
    <x v="30"/>
    <n v="2015"/>
  </r>
  <r>
    <n v="1478"/>
    <n v="3"/>
    <n v="8"/>
    <x v="834"/>
    <n v="43"/>
    <n v="27"/>
    <n v="0"/>
    <n v="1161"/>
    <s v="Shirts R Us"/>
    <s v="Los Angeles"/>
    <s v="Female"/>
    <x v="30"/>
    <n v="2015"/>
  </r>
  <r>
    <n v="1479"/>
    <n v="7"/>
    <n v="3"/>
    <x v="834"/>
    <n v="124"/>
    <n v="22"/>
    <n v="0"/>
    <n v="2728"/>
    <s v="The Shirt on Your Back"/>
    <s v="Bonners Ferry"/>
    <s v="Both"/>
    <x v="30"/>
    <n v="2015"/>
  </r>
  <r>
    <n v="1480"/>
    <n v="2"/>
    <n v="4"/>
    <x v="835"/>
    <n v="106"/>
    <n v="30"/>
    <n v="0"/>
    <n v="3180"/>
    <s v="A Shirts Life"/>
    <s v="Portland"/>
    <s v="Both"/>
    <x v="7"/>
    <n v="2015"/>
  </r>
  <r>
    <n v="1481"/>
    <n v="3"/>
    <n v="5"/>
    <x v="835"/>
    <n v="120"/>
    <n v="16"/>
    <n v="0"/>
    <n v="1920"/>
    <s v="Shirts R Us"/>
    <s v="Los Angeles"/>
    <s v="Female"/>
    <x v="7"/>
    <n v="2015"/>
  </r>
  <r>
    <n v="1482"/>
    <n v="3"/>
    <n v="6"/>
    <x v="835"/>
    <n v="38"/>
    <n v="28"/>
    <n v="0"/>
    <n v="1064"/>
    <s v="Shirts R Us"/>
    <s v="Los Angeles"/>
    <s v="Female"/>
    <x v="7"/>
    <n v="2015"/>
  </r>
  <r>
    <n v="1483"/>
    <n v="5"/>
    <n v="3"/>
    <x v="836"/>
    <n v="144"/>
    <n v="22"/>
    <n v="0"/>
    <n v="3168"/>
    <s v="Rags to Riches"/>
    <s v="Las Vegas"/>
    <s v="Both"/>
    <x v="9"/>
    <n v="2015"/>
  </r>
  <r>
    <n v="1484"/>
    <n v="4"/>
    <n v="3"/>
    <x v="837"/>
    <n v="130"/>
    <n v="22"/>
    <n v="0"/>
    <n v="2860"/>
    <s v="Tshirt Unlimited"/>
    <s v="Phoenix"/>
    <s v="Both"/>
    <x v="10"/>
    <n v="2015"/>
  </r>
  <r>
    <n v="1485"/>
    <n v="1"/>
    <n v="2"/>
    <x v="838"/>
    <n v="26"/>
    <n v="30"/>
    <n v="0"/>
    <n v="780"/>
    <s v="Threads"/>
    <s v="Seattle"/>
    <s v="Both"/>
    <x v="26"/>
    <n v="2015"/>
  </r>
  <r>
    <n v="1486"/>
    <n v="4"/>
    <n v="5"/>
    <x v="838"/>
    <n v="55"/>
    <n v="16"/>
    <n v="0"/>
    <n v="880"/>
    <s v="Tshirt Unlimited"/>
    <s v="Phoenix"/>
    <s v="Female"/>
    <x v="26"/>
    <n v="2015"/>
  </r>
  <r>
    <n v="1487"/>
    <n v="4"/>
    <n v="8"/>
    <x v="838"/>
    <n v="58"/>
    <n v="27"/>
    <n v="0.15000000599999999"/>
    <n v="1331.0999906040001"/>
    <s v="Tshirt Unlimited"/>
    <s v="Phoenix"/>
    <s v="Female"/>
    <x v="26"/>
    <n v="2015"/>
  </r>
  <r>
    <n v="1488"/>
    <n v="5"/>
    <n v="3"/>
    <x v="838"/>
    <n v="30"/>
    <n v="22"/>
    <n v="0.15000000599999999"/>
    <n v="560.99999604000004"/>
    <s v="Rags to Riches"/>
    <s v="Las Vegas"/>
    <s v="Both"/>
    <x v="26"/>
    <n v="2015"/>
  </r>
  <r>
    <n v="1489"/>
    <n v="2"/>
    <n v="5"/>
    <x v="839"/>
    <n v="99"/>
    <n v="16"/>
    <n v="0"/>
    <n v="1584"/>
    <s v="A Shirts Life"/>
    <s v="Portland"/>
    <s v="Female"/>
    <x v="11"/>
    <n v="2015"/>
  </r>
  <r>
    <n v="1490"/>
    <n v="1"/>
    <n v="4"/>
    <x v="840"/>
    <n v="148"/>
    <n v="30"/>
    <n v="0"/>
    <n v="4440"/>
    <s v="Threads"/>
    <s v="Seattle"/>
    <s v="Both"/>
    <x v="13"/>
    <n v="2015"/>
  </r>
  <r>
    <n v="1491"/>
    <n v="5"/>
    <n v="4"/>
    <x v="840"/>
    <n v="72"/>
    <n v="30"/>
    <n v="0"/>
    <n v="2160"/>
    <s v="Rags to Riches"/>
    <s v="Las Vegas"/>
    <s v="Both"/>
    <x v="13"/>
    <n v="2015"/>
  </r>
  <r>
    <n v="1492"/>
    <n v="4"/>
    <n v="4"/>
    <x v="841"/>
    <n v="137"/>
    <n v="30"/>
    <n v="0"/>
    <n v="4110"/>
    <s v="Tshirt Unlimited"/>
    <s v="Phoenix"/>
    <s v="Both"/>
    <x v="27"/>
    <n v="2015"/>
  </r>
  <r>
    <n v="1493"/>
    <n v="1"/>
    <n v="1"/>
    <x v="842"/>
    <n v="89"/>
    <n v="20"/>
    <n v="0"/>
    <n v="1780"/>
    <s v="Threads"/>
    <s v="Seattle"/>
    <s v="Both"/>
    <x v="15"/>
    <n v="2015"/>
  </r>
  <r>
    <n v="1494"/>
    <n v="5"/>
    <n v="9"/>
    <x v="842"/>
    <n v="133"/>
    <n v="25"/>
    <n v="0"/>
    <n v="3325"/>
    <s v="Rags to Riches"/>
    <s v="Las Vegas"/>
    <s v="Male"/>
    <x v="15"/>
    <n v="2015"/>
  </r>
  <r>
    <n v="1495"/>
    <n v="7"/>
    <n v="5"/>
    <x v="842"/>
    <n v="68"/>
    <n v="16"/>
    <n v="5.0000001000000002E-2"/>
    <n v="1033.599998912"/>
    <s v="The Shirt on Your Back"/>
    <s v="Bonners Ferry"/>
    <s v="Female"/>
    <x v="15"/>
    <n v="2015"/>
  </r>
  <r>
    <n v="1496"/>
    <n v="4"/>
    <n v="9"/>
    <x v="843"/>
    <n v="55"/>
    <n v="25"/>
    <n v="0"/>
    <n v="1375"/>
    <s v="Tshirt Unlimited"/>
    <s v="Phoenix"/>
    <s v="Male"/>
    <x v="17"/>
    <n v="2015"/>
  </r>
  <r>
    <n v="1497"/>
    <n v="6"/>
    <n v="5"/>
    <x v="844"/>
    <n v="67"/>
    <n v="16"/>
    <n v="0"/>
    <n v="1072"/>
    <s v="Abracadaba Ink"/>
    <s v="Salt Lake City"/>
    <s v="Female"/>
    <x v="20"/>
    <n v="2015"/>
  </r>
  <r>
    <n v="1498"/>
    <n v="7"/>
    <n v="6"/>
    <x v="844"/>
    <n v="148"/>
    <n v="28"/>
    <n v="0"/>
    <n v="4144"/>
    <s v="The Shirt on Your Back"/>
    <s v="Bonners Ferry"/>
    <s v="Female"/>
    <x v="20"/>
    <n v="2015"/>
  </r>
  <r>
    <n v="1499"/>
    <n v="6"/>
    <n v="8"/>
    <x v="845"/>
    <n v="119"/>
    <n v="27"/>
    <n v="0"/>
    <n v="3213"/>
    <s v="Abracadaba Ink"/>
    <s v="Salt Lake City"/>
    <s v="Female"/>
    <x v="21"/>
    <n v="2015"/>
  </r>
  <r>
    <n v="1500"/>
    <n v="3"/>
    <n v="8"/>
    <x v="846"/>
    <n v="97"/>
    <n v="27"/>
    <n v="0"/>
    <n v="2619"/>
    <s v="Shirts R Us"/>
    <s v="Los Angeles"/>
    <s v="Female"/>
    <x v="22"/>
    <n v="2015"/>
  </r>
  <r>
    <n v="1501"/>
    <n v="1"/>
    <n v="3"/>
    <x v="847"/>
    <n v="46"/>
    <n v="22"/>
    <n v="5.0000001000000002E-2"/>
    <n v="961.39999898799999"/>
    <s v="Threads"/>
    <s v="Seattle"/>
    <s v="Both"/>
    <x v="29"/>
    <n v="2015"/>
  </r>
  <r>
    <n v="1502"/>
    <n v="3"/>
    <n v="2"/>
    <x v="847"/>
    <n v="135"/>
    <n v="30"/>
    <n v="0"/>
    <n v="4050"/>
    <s v="Shirts R Us"/>
    <s v="Los Angeles"/>
    <s v="Both"/>
    <x v="29"/>
    <n v="2015"/>
  </r>
  <r>
    <n v="1503"/>
    <n v="4"/>
    <n v="7"/>
    <x v="847"/>
    <n v="91"/>
    <n v="38"/>
    <n v="0"/>
    <n v="3458"/>
    <s v="Tshirt Unlimited"/>
    <s v="Phoenix"/>
    <s v="Female"/>
    <x v="29"/>
    <n v="2015"/>
  </r>
  <r>
    <n v="1504"/>
    <n v="4"/>
    <n v="9"/>
    <x v="847"/>
    <n v="38"/>
    <n v="25"/>
    <n v="0"/>
    <n v="950"/>
    <s v="Tshirt Unlimited"/>
    <s v="Phoenix"/>
    <s v="Male"/>
    <x v="29"/>
    <n v="2015"/>
  </r>
  <r>
    <n v="1505"/>
    <n v="5"/>
    <n v="7"/>
    <x v="847"/>
    <n v="72"/>
    <n v="38"/>
    <n v="0"/>
    <n v="2736"/>
    <s v="Rags to Riches"/>
    <s v="Las Vegas"/>
    <s v="Female"/>
    <x v="29"/>
    <n v="2015"/>
  </r>
  <r>
    <n v="1506"/>
    <n v="3"/>
    <n v="5"/>
    <x v="848"/>
    <n v="42"/>
    <n v="16"/>
    <n v="0"/>
    <n v="672"/>
    <s v="Shirts R Us"/>
    <s v="Los Angeles"/>
    <s v="Female"/>
    <x v="28"/>
    <n v="2015"/>
  </r>
  <r>
    <n v="1507"/>
    <n v="5"/>
    <n v="2"/>
    <x v="848"/>
    <n v="65"/>
    <n v="30"/>
    <n v="0.10000000100000001"/>
    <n v="1754.9999980499999"/>
    <s v="Rags to Riches"/>
    <s v="Las Vegas"/>
    <s v="Both"/>
    <x v="28"/>
    <n v="2015"/>
  </r>
  <r>
    <n v="1508"/>
    <n v="2"/>
    <n v="9"/>
    <x v="849"/>
    <n v="142"/>
    <n v="25"/>
    <n v="5.0000001000000002E-2"/>
    <n v="3372.4999964499998"/>
    <s v="A Shirts Life"/>
    <s v="Portland"/>
    <s v="Male"/>
    <x v="0"/>
    <n v="2015"/>
  </r>
  <r>
    <n v="1509"/>
    <n v="2"/>
    <n v="7"/>
    <x v="850"/>
    <n v="40"/>
    <n v="38"/>
    <n v="0"/>
    <n v="1520"/>
    <s v="A Shirts Life"/>
    <s v="Portland"/>
    <s v="Female"/>
    <x v="2"/>
    <n v="2015"/>
  </r>
  <r>
    <n v="1510"/>
    <n v="7"/>
    <n v="8"/>
    <x v="851"/>
    <n v="118"/>
    <n v="27"/>
    <n v="0"/>
    <n v="3186"/>
    <s v="The Shirt on Your Back"/>
    <s v="Bonners Ferry"/>
    <s v="Female"/>
    <x v="3"/>
    <n v="2015"/>
  </r>
  <r>
    <n v="1511"/>
    <n v="7"/>
    <n v="6"/>
    <x v="852"/>
    <n v="41"/>
    <n v="28"/>
    <n v="0"/>
    <n v="1148"/>
    <s v="The Shirt on Your Back"/>
    <s v="Bonners Ferry"/>
    <s v="Female"/>
    <x v="4"/>
    <n v="2015"/>
  </r>
  <r>
    <n v="1512"/>
    <n v="1"/>
    <n v="4"/>
    <x v="853"/>
    <n v="105"/>
    <n v="30"/>
    <n v="0"/>
    <n v="3150"/>
    <s v="Threads"/>
    <s v="Seattle"/>
    <s v="Both"/>
    <x v="5"/>
    <n v="2015"/>
  </r>
  <r>
    <n v="1513"/>
    <n v="2"/>
    <n v="7"/>
    <x v="854"/>
    <n v="75"/>
    <n v="38"/>
    <n v="5.0000001000000002E-2"/>
    <n v="2707.4999971500001"/>
    <s v="A Shirts Life"/>
    <s v="Portland"/>
    <s v="Female"/>
    <x v="6"/>
    <n v="2015"/>
  </r>
  <r>
    <n v="1514"/>
    <n v="1"/>
    <n v="3"/>
    <x v="855"/>
    <n v="145"/>
    <n v="22"/>
    <n v="0.10000000100000001"/>
    <n v="2870.9999968100001"/>
    <s v="Threads"/>
    <s v="Seattle"/>
    <s v="Both"/>
    <x v="7"/>
    <n v="2015"/>
  </r>
  <r>
    <n v="1515"/>
    <n v="5"/>
    <n v="6"/>
    <x v="856"/>
    <n v="83"/>
    <n v="28"/>
    <n v="0"/>
    <n v="2324"/>
    <s v="Rags to Riches"/>
    <s v="Las Vegas"/>
    <s v="Female"/>
    <x v="25"/>
    <n v="2015"/>
  </r>
  <r>
    <n v="1516"/>
    <n v="2"/>
    <n v="1"/>
    <x v="857"/>
    <n v="70"/>
    <n v="20"/>
    <n v="0"/>
    <n v="1400"/>
    <s v="A Shirts Life"/>
    <s v="Portland"/>
    <s v="Both"/>
    <x v="8"/>
    <n v="2015"/>
  </r>
  <r>
    <n v="1517"/>
    <n v="2"/>
    <n v="3"/>
    <x v="857"/>
    <n v="119"/>
    <n v="22"/>
    <n v="0"/>
    <n v="2618"/>
    <s v="A Shirts Life"/>
    <s v="Portland"/>
    <s v="Both"/>
    <x v="8"/>
    <n v="2015"/>
  </r>
  <r>
    <n v="1518"/>
    <n v="5"/>
    <n v="4"/>
    <x v="857"/>
    <n v="51"/>
    <n v="30"/>
    <n v="0"/>
    <n v="1530"/>
    <s v="Rags to Riches"/>
    <s v="Las Vegas"/>
    <s v="Both"/>
    <x v="8"/>
    <n v="2015"/>
  </r>
  <r>
    <n v="1519"/>
    <n v="5"/>
    <n v="6"/>
    <x v="857"/>
    <n v="114"/>
    <n v="28"/>
    <n v="0"/>
    <n v="3192"/>
    <s v="Rags to Riches"/>
    <s v="Las Vegas"/>
    <s v="Female"/>
    <x v="8"/>
    <n v="2015"/>
  </r>
  <r>
    <n v="1520"/>
    <n v="4"/>
    <n v="1"/>
    <x v="858"/>
    <n v="81"/>
    <n v="20"/>
    <n v="0"/>
    <n v="1620"/>
    <s v="Tshirt Unlimited"/>
    <s v="Phoenix"/>
    <s v="Both"/>
    <x v="9"/>
    <n v="2015"/>
  </r>
  <r>
    <n v="1521"/>
    <n v="3"/>
    <n v="8"/>
    <x v="859"/>
    <n v="75"/>
    <n v="27"/>
    <n v="0"/>
    <n v="2025"/>
    <s v="Shirts R Us"/>
    <s v="Los Angeles"/>
    <s v="Female"/>
    <x v="11"/>
    <n v="2015"/>
  </r>
  <r>
    <n v="1522"/>
    <n v="6"/>
    <n v="3"/>
    <x v="860"/>
    <n v="46"/>
    <n v="22"/>
    <n v="0"/>
    <n v="1012"/>
    <s v="Abracadaba Ink"/>
    <s v="Salt Lake City"/>
    <s v="Both"/>
    <x v="12"/>
    <n v="2015"/>
  </r>
  <r>
    <n v="1523"/>
    <n v="6"/>
    <n v="7"/>
    <x v="860"/>
    <n v="51"/>
    <n v="38"/>
    <n v="0"/>
    <n v="1938"/>
    <s v="Abracadaba Ink"/>
    <s v="Salt Lake City"/>
    <s v="Female"/>
    <x v="12"/>
    <n v="2015"/>
  </r>
  <r>
    <n v="1524"/>
    <n v="1"/>
    <n v="3"/>
    <x v="861"/>
    <n v="121"/>
    <n v="22"/>
    <n v="0.10000000100000001"/>
    <n v="2395.7999973380001"/>
    <s v="Threads"/>
    <s v="Seattle"/>
    <s v="Both"/>
    <x v="27"/>
    <n v="2015"/>
  </r>
  <r>
    <n v="1525"/>
    <n v="1"/>
    <n v="8"/>
    <x v="861"/>
    <n v="90"/>
    <n v="27"/>
    <n v="0"/>
    <n v="2430"/>
    <s v="Threads"/>
    <s v="Seattle"/>
    <s v="Female"/>
    <x v="27"/>
    <n v="2015"/>
  </r>
  <r>
    <n v="1526"/>
    <n v="2"/>
    <n v="4"/>
    <x v="862"/>
    <n v="109"/>
    <n v="30"/>
    <n v="0"/>
    <n v="3270"/>
    <s v="A Shirts Life"/>
    <s v="Portland"/>
    <s v="Both"/>
    <x v="15"/>
    <n v="2015"/>
  </r>
  <r>
    <n v="1527"/>
    <n v="3"/>
    <n v="6"/>
    <x v="862"/>
    <n v="100"/>
    <n v="28"/>
    <n v="0"/>
    <n v="2800"/>
    <s v="Shirts R Us"/>
    <s v="Los Angeles"/>
    <s v="Female"/>
    <x v="15"/>
    <n v="2015"/>
  </r>
  <r>
    <n v="1528"/>
    <n v="1"/>
    <n v="9"/>
    <x v="863"/>
    <n v="140"/>
    <n v="25"/>
    <n v="0"/>
    <n v="3500"/>
    <s v="Threads"/>
    <s v="Seattle"/>
    <s v="Male"/>
    <x v="16"/>
    <n v="2015"/>
  </r>
  <r>
    <n v="1529"/>
    <n v="7"/>
    <n v="9"/>
    <x v="863"/>
    <n v="139"/>
    <n v="25"/>
    <n v="0"/>
    <n v="3475"/>
    <s v="The Shirt on Your Back"/>
    <s v="Bonners Ferry"/>
    <s v="Male"/>
    <x v="16"/>
    <n v="2015"/>
  </r>
  <r>
    <n v="1530"/>
    <n v="2"/>
    <n v="4"/>
    <x v="864"/>
    <n v="95"/>
    <n v="30"/>
    <n v="0"/>
    <n v="2850"/>
    <s v="A Shirts Life"/>
    <s v="Portland"/>
    <s v="Both"/>
    <x v="17"/>
    <n v="2015"/>
  </r>
  <r>
    <n v="1531"/>
    <n v="1"/>
    <n v="5"/>
    <x v="865"/>
    <n v="48"/>
    <n v="16"/>
    <n v="0"/>
    <n v="768"/>
    <s v="Threads"/>
    <s v="Seattle"/>
    <s v="Female"/>
    <x v="18"/>
    <n v="2015"/>
  </r>
  <r>
    <n v="1532"/>
    <n v="3"/>
    <n v="5"/>
    <x v="865"/>
    <n v="45"/>
    <n v="16"/>
    <n v="0"/>
    <n v="720"/>
    <s v="Shirts R Us"/>
    <s v="Los Angeles"/>
    <s v="Female"/>
    <x v="18"/>
    <n v="2015"/>
  </r>
  <r>
    <n v="1533"/>
    <n v="7"/>
    <n v="1"/>
    <x v="865"/>
    <n v="116"/>
    <n v="20"/>
    <n v="0.10000000100000001"/>
    <n v="2087.99999768"/>
    <s v="The Shirt on Your Back"/>
    <s v="Bonners Ferry"/>
    <s v="Both"/>
    <x v="18"/>
    <n v="2015"/>
  </r>
  <r>
    <n v="1534"/>
    <n v="4"/>
    <n v="3"/>
    <x v="866"/>
    <n v="25"/>
    <n v="22"/>
    <n v="0"/>
    <n v="550"/>
    <s v="Tshirt Unlimited"/>
    <s v="Phoenix"/>
    <s v="Both"/>
    <x v="19"/>
    <n v="2015"/>
  </r>
  <r>
    <n v="1535"/>
    <n v="7"/>
    <n v="2"/>
    <x v="867"/>
    <n v="65"/>
    <n v="30"/>
    <n v="0"/>
    <n v="1950"/>
    <s v="The Shirt on Your Back"/>
    <s v="Bonners Ferry"/>
    <s v="Both"/>
    <x v="20"/>
    <n v="2015"/>
  </r>
  <r>
    <n v="1536"/>
    <n v="3"/>
    <n v="6"/>
    <x v="868"/>
    <n v="93"/>
    <n v="28"/>
    <n v="0"/>
    <n v="2604"/>
    <s v="Shirts R Us"/>
    <s v="Los Angeles"/>
    <s v="Female"/>
    <x v="21"/>
    <n v="2015"/>
  </r>
  <r>
    <n v="1537"/>
    <n v="6"/>
    <n v="2"/>
    <x v="868"/>
    <n v="46"/>
    <n v="30"/>
    <n v="5.0000001000000002E-2"/>
    <n v="1310.99999862"/>
    <s v="Abracadaba Ink"/>
    <s v="Salt Lake City"/>
    <s v="Both"/>
    <x v="21"/>
    <n v="2015"/>
  </r>
  <r>
    <n v="1538"/>
    <n v="7"/>
    <n v="2"/>
    <x v="868"/>
    <n v="58"/>
    <n v="30"/>
    <n v="0"/>
    <n v="1740"/>
    <s v="The Shirt on Your Back"/>
    <s v="Bonners Ferry"/>
    <s v="Both"/>
    <x v="21"/>
    <n v="2015"/>
  </r>
  <r>
    <n v="1539"/>
    <n v="1"/>
    <n v="8"/>
    <x v="869"/>
    <n v="101"/>
    <n v="27"/>
    <n v="0"/>
    <n v="2727"/>
    <s v="Threads"/>
    <s v="Seattle"/>
    <s v="Female"/>
    <x v="22"/>
    <n v="2015"/>
  </r>
  <r>
    <n v="1540"/>
    <n v="7"/>
    <n v="5"/>
    <x v="869"/>
    <n v="89"/>
    <n v="16"/>
    <n v="0"/>
    <n v="1424"/>
    <s v="The Shirt on Your Back"/>
    <s v="Bonners Ferry"/>
    <s v="Female"/>
    <x v="22"/>
    <n v="2015"/>
  </r>
  <r>
    <n v="1541"/>
    <n v="6"/>
    <n v="10"/>
    <x v="870"/>
    <n v="67"/>
    <n v="35"/>
    <n v="0"/>
    <n v="2345"/>
    <s v="Abracadaba Ink"/>
    <s v="Salt Lake City"/>
    <s v="Male"/>
    <x v="1"/>
    <n v="2015"/>
  </r>
  <r>
    <n v="1542"/>
    <n v="6"/>
    <n v="7"/>
    <x v="871"/>
    <n v="98"/>
    <n v="38"/>
    <n v="0"/>
    <n v="3724"/>
    <s v="Abracadaba Ink"/>
    <s v="Salt Lake City"/>
    <s v="Female"/>
    <x v="2"/>
    <n v="2015"/>
  </r>
  <r>
    <n v="1543"/>
    <n v="1"/>
    <n v="4"/>
    <x v="872"/>
    <n v="29"/>
    <n v="30"/>
    <n v="0"/>
    <n v="870"/>
    <s v="Threads"/>
    <s v="Seattle"/>
    <s v="Both"/>
    <x v="3"/>
    <n v="2015"/>
  </r>
  <r>
    <n v="1544"/>
    <n v="3"/>
    <n v="2"/>
    <x v="872"/>
    <n v="127"/>
    <n v="30"/>
    <n v="0"/>
    <n v="3810"/>
    <s v="Shirts R Us"/>
    <s v="Los Angeles"/>
    <s v="Both"/>
    <x v="3"/>
    <n v="2015"/>
  </r>
  <r>
    <n v="1545"/>
    <n v="6"/>
    <n v="2"/>
    <x v="873"/>
    <n v="113"/>
    <n v="30"/>
    <n v="0"/>
    <n v="3390"/>
    <s v="Abracadaba Ink"/>
    <s v="Salt Lake City"/>
    <s v="Both"/>
    <x v="5"/>
    <n v="2015"/>
  </r>
  <r>
    <n v="1546"/>
    <n v="7"/>
    <n v="3"/>
    <x v="873"/>
    <n v="76"/>
    <n v="22"/>
    <n v="0"/>
    <n v="1672"/>
    <s v="The Shirt on Your Back"/>
    <s v="Bonners Ferry"/>
    <s v="Both"/>
    <x v="5"/>
    <n v="2015"/>
  </r>
  <r>
    <n v="1547"/>
    <n v="1"/>
    <n v="9"/>
    <x v="874"/>
    <n v="137"/>
    <n v="25"/>
    <n v="5.0000001000000002E-2"/>
    <n v="3253.7499965749998"/>
    <s v="Threads"/>
    <s v="Seattle"/>
    <s v="Male"/>
    <x v="6"/>
    <n v="2015"/>
  </r>
  <r>
    <n v="1548"/>
    <n v="7"/>
    <n v="9"/>
    <x v="875"/>
    <n v="93"/>
    <n v="25"/>
    <n v="0"/>
    <n v="2325"/>
    <s v="The Shirt on Your Back"/>
    <s v="Bonners Ferry"/>
    <s v="Male"/>
    <x v="30"/>
    <n v="2015"/>
  </r>
  <r>
    <n v="1549"/>
    <n v="7"/>
    <n v="1"/>
    <x v="876"/>
    <n v="92"/>
    <n v="20"/>
    <n v="0.15000000599999999"/>
    <n v="1563.9999889599999"/>
    <s v="The Shirt on Your Back"/>
    <s v="Bonners Ferry"/>
    <s v="Both"/>
    <x v="9"/>
    <n v="2015"/>
  </r>
  <r>
    <n v="1550"/>
    <n v="7"/>
    <n v="7"/>
    <x v="876"/>
    <n v="62"/>
    <n v="38"/>
    <n v="0"/>
    <n v="2356"/>
    <s v="The Shirt on Your Back"/>
    <s v="Bonners Ferry"/>
    <s v="Female"/>
    <x v="9"/>
    <n v="2015"/>
  </r>
  <r>
    <n v="1551"/>
    <n v="1"/>
    <n v="10"/>
    <x v="877"/>
    <n v="96"/>
    <n v="35"/>
    <n v="0"/>
    <n v="3360"/>
    <s v="Threads"/>
    <s v="Seattle"/>
    <s v="Male"/>
    <x v="10"/>
    <n v="2015"/>
  </r>
  <r>
    <n v="1552"/>
    <n v="7"/>
    <n v="8"/>
    <x v="877"/>
    <n v="133"/>
    <n v="27"/>
    <n v="0"/>
    <n v="3591"/>
    <s v="The Shirt on Your Back"/>
    <s v="Bonners Ferry"/>
    <s v="Female"/>
    <x v="10"/>
    <n v="2015"/>
  </r>
  <r>
    <n v="1553"/>
    <n v="1"/>
    <n v="4"/>
    <x v="878"/>
    <n v="106"/>
    <n v="30"/>
    <n v="0"/>
    <n v="3180"/>
    <s v="Threads"/>
    <s v="Seattle"/>
    <s v="Both"/>
    <x v="26"/>
    <n v="2015"/>
  </r>
  <r>
    <n v="1554"/>
    <n v="3"/>
    <n v="3"/>
    <x v="879"/>
    <n v="106"/>
    <n v="22"/>
    <n v="0"/>
    <n v="2332"/>
    <s v="Shirts R Us"/>
    <s v="Los Angeles"/>
    <s v="Both"/>
    <x v="12"/>
    <n v="2015"/>
  </r>
  <r>
    <n v="1555"/>
    <n v="4"/>
    <n v="3"/>
    <x v="879"/>
    <n v="129"/>
    <n v="22"/>
    <n v="0"/>
    <n v="2838"/>
    <s v="Tshirt Unlimited"/>
    <s v="Phoenix"/>
    <s v="Both"/>
    <x v="12"/>
    <n v="2015"/>
  </r>
  <r>
    <n v="1556"/>
    <n v="7"/>
    <n v="3"/>
    <x v="879"/>
    <n v="130"/>
    <n v="22"/>
    <n v="5.0000001000000002E-2"/>
    <n v="2716.9999971400002"/>
    <s v="The Shirt on Your Back"/>
    <s v="Bonners Ferry"/>
    <s v="Both"/>
    <x v="12"/>
    <n v="2015"/>
  </r>
  <r>
    <n v="1557"/>
    <n v="2"/>
    <n v="7"/>
    <x v="880"/>
    <n v="26"/>
    <n v="38"/>
    <n v="0"/>
    <n v="988"/>
    <s v="A Shirts Life"/>
    <s v="Portland"/>
    <s v="Female"/>
    <x v="13"/>
    <n v="2015"/>
  </r>
  <r>
    <n v="1558"/>
    <n v="3"/>
    <n v="6"/>
    <x v="880"/>
    <n v="28"/>
    <n v="28"/>
    <n v="0.10000000100000001"/>
    <n v="705.59999921600001"/>
    <s v="Shirts R Us"/>
    <s v="Los Angeles"/>
    <s v="Female"/>
    <x v="13"/>
    <n v="2015"/>
  </r>
  <r>
    <n v="1559"/>
    <n v="6"/>
    <n v="1"/>
    <x v="880"/>
    <n v="139"/>
    <n v="20"/>
    <n v="0"/>
    <n v="2780"/>
    <s v="Abracadaba Ink"/>
    <s v="Salt Lake City"/>
    <s v="Both"/>
    <x v="13"/>
    <n v="2015"/>
  </r>
  <r>
    <n v="1560"/>
    <n v="6"/>
    <n v="5"/>
    <x v="880"/>
    <n v="66"/>
    <n v="16"/>
    <n v="5.0000001000000002E-2"/>
    <n v="1003.199998944"/>
    <s v="Abracadaba Ink"/>
    <s v="Salt Lake City"/>
    <s v="Female"/>
    <x v="13"/>
    <n v="2015"/>
  </r>
  <r>
    <n v="1561"/>
    <n v="6"/>
    <n v="5"/>
    <x v="881"/>
    <n v="68"/>
    <n v="16"/>
    <n v="0"/>
    <n v="1088"/>
    <s v="Abracadaba Ink"/>
    <s v="Salt Lake City"/>
    <s v="Female"/>
    <x v="27"/>
    <n v="2015"/>
  </r>
  <r>
    <n v="1562"/>
    <n v="5"/>
    <n v="1"/>
    <x v="882"/>
    <n v="83"/>
    <n v="20"/>
    <n v="5.0000001000000002E-2"/>
    <n v="1576.99999834"/>
    <s v="Rags to Riches"/>
    <s v="Las Vegas"/>
    <s v="Both"/>
    <x v="15"/>
    <n v="2015"/>
  </r>
  <r>
    <n v="1563"/>
    <n v="5"/>
    <n v="5"/>
    <x v="882"/>
    <n v="57"/>
    <n v="16"/>
    <n v="0.10000000100000001"/>
    <n v="820.79999908800005"/>
    <s v="Rags to Riches"/>
    <s v="Las Vegas"/>
    <s v="Female"/>
    <x v="15"/>
    <n v="2015"/>
  </r>
  <r>
    <n v="1564"/>
    <n v="4"/>
    <n v="4"/>
    <x v="883"/>
    <n v="144"/>
    <n v="30"/>
    <n v="5.0000001000000002E-2"/>
    <n v="4103.9999956800002"/>
    <s v="Tshirt Unlimited"/>
    <s v="Phoenix"/>
    <s v="Both"/>
    <x v="16"/>
    <n v="2015"/>
  </r>
  <r>
    <n v="1565"/>
    <n v="2"/>
    <n v="3"/>
    <x v="884"/>
    <n v="43"/>
    <n v="22"/>
    <n v="0"/>
    <n v="946"/>
    <s v="A Shirts Life"/>
    <s v="Portland"/>
    <s v="Both"/>
    <x v="17"/>
    <n v="2015"/>
  </r>
  <r>
    <n v="1566"/>
    <n v="7"/>
    <n v="4"/>
    <x v="884"/>
    <n v="93"/>
    <n v="30"/>
    <n v="0"/>
    <n v="2790"/>
    <s v="The Shirt on Your Back"/>
    <s v="Bonners Ferry"/>
    <s v="Both"/>
    <x v="17"/>
    <n v="2015"/>
  </r>
  <r>
    <n v="1567"/>
    <n v="5"/>
    <n v="10"/>
    <x v="885"/>
    <n v="56"/>
    <n v="35"/>
    <n v="0"/>
    <n v="1960"/>
    <s v="Rags to Riches"/>
    <s v="Las Vegas"/>
    <s v="Male"/>
    <x v="19"/>
    <n v="2015"/>
  </r>
  <r>
    <n v="1568"/>
    <n v="5"/>
    <n v="10"/>
    <x v="886"/>
    <n v="122"/>
    <n v="35"/>
    <n v="0.10000000100000001"/>
    <n v="3842.9999957300001"/>
    <s v="Rags to Riches"/>
    <s v="Las Vegas"/>
    <s v="Male"/>
    <x v="20"/>
    <n v="2015"/>
  </r>
  <r>
    <n v="1569"/>
    <n v="6"/>
    <n v="8"/>
    <x v="886"/>
    <n v="94"/>
    <n v="27"/>
    <n v="5.0000001000000002E-2"/>
    <n v="2411.0999974619999"/>
    <s v="Abracadaba Ink"/>
    <s v="Salt Lake City"/>
    <s v="Female"/>
    <x v="20"/>
    <n v="2015"/>
  </r>
  <r>
    <n v="1570"/>
    <n v="3"/>
    <n v="6"/>
    <x v="887"/>
    <n v="83"/>
    <n v="28"/>
    <n v="0"/>
    <n v="2324"/>
    <s v="Shirts R Us"/>
    <s v="Los Angeles"/>
    <s v="Female"/>
    <x v="21"/>
    <n v="2015"/>
  </r>
  <r>
    <n v="1571"/>
    <n v="5"/>
    <n v="3"/>
    <x v="888"/>
    <n v="75"/>
    <n v="22"/>
    <n v="0"/>
    <n v="1650"/>
    <s v="Rags to Riches"/>
    <s v="Las Vegas"/>
    <s v="Both"/>
    <x v="22"/>
    <n v="2015"/>
  </r>
  <r>
    <n v="1572"/>
    <n v="2"/>
    <n v="10"/>
    <x v="889"/>
    <n v="145"/>
    <n v="35"/>
    <n v="0"/>
    <n v="5075"/>
    <s v="A Shirts Life"/>
    <s v="Portland"/>
    <s v="Male"/>
    <x v="28"/>
    <n v="2015"/>
  </r>
  <r>
    <n v="1573"/>
    <n v="5"/>
    <n v="8"/>
    <x v="890"/>
    <n v="104"/>
    <n v="27"/>
    <n v="0"/>
    <n v="2808"/>
    <s v="Rags to Riches"/>
    <s v="Las Vegas"/>
    <s v="Female"/>
    <x v="0"/>
    <n v="2015"/>
  </r>
  <r>
    <n v="1574"/>
    <n v="2"/>
    <n v="9"/>
    <x v="891"/>
    <n v="122"/>
    <n v="25"/>
    <n v="0"/>
    <n v="3050"/>
    <s v="A Shirts Life"/>
    <s v="Portland"/>
    <s v="Male"/>
    <x v="23"/>
    <n v="2015"/>
  </r>
  <r>
    <n v="1575"/>
    <n v="3"/>
    <n v="10"/>
    <x v="891"/>
    <n v="38"/>
    <n v="35"/>
    <n v="0.15000000599999999"/>
    <n v="1130.49999202"/>
    <s v="Shirts R Us"/>
    <s v="Los Angeles"/>
    <s v="Male"/>
    <x v="23"/>
    <n v="2015"/>
  </r>
  <r>
    <n v="1576"/>
    <n v="2"/>
    <n v="6"/>
    <x v="892"/>
    <n v="94"/>
    <n v="28"/>
    <n v="0"/>
    <n v="2632"/>
    <s v="A Shirts Life"/>
    <s v="Portland"/>
    <s v="Female"/>
    <x v="24"/>
    <n v="2015"/>
  </r>
  <r>
    <n v="1577"/>
    <n v="5"/>
    <n v="1"/>
    <x v="893"/>
    <n v="125"/>
    <n v="20"/>
    <n v="0"/>
    <n v="2500"/>
    <s v="Rags to Riches"/>
    <s v="Las Vegas"/>
    <s v="Both"/>
    <x v="3"/>
    <n v="2015"/>
  </r>
  <r>
    <n v="1578"/>
    <n v="1"/>
    <n v="7"/>
    <x v="894"/>
    <n v="68"/>
    <n v="38"/>
    <n v="0"/>
    <n v="2584"/>
    <s v="Threads"/>
    <s v="Seattle"/>
    <s v="Female"/>
    <x v="4"/>
    <n v="2015"/>
  </r>
  <r>
    <n v="1579"/>
    <n v="3"/>
    <n v="4"/>
    <x v="894"/>
    <n v="67"/>
    <n v="30"/>
    <n v="0"/>
    <n v="2010"/>
    <s v="Shirts R Us"/>
    <s v="Los Angeles"/>
    <s v="Both"/>
    <x v="4"/>
    <n v="2015"/>
  </r>
  <r>
    <n v="1580"/>
    <n v="6"/>
    <n v="5"/>
    <x v="894"/>
    <n v="66"/>
    <n v="16"/>
    <n v="0.10000000100000001"/>
    <n v="950.399998944"/>
    <s v="Abracadaba Ink"/>
    <s v="Salt Lake City"/>
    <s v="Female"/>
    <x v="4"/>
    <n v="2015"/>
  </r>
  <r>
    <n v="1581"/>
    <n v="6"/>
    <n v="8"/>
    <x v="894"/>
    <n v="109"/>
    <n v="27"/>
    <n v="0"/>
    <n v="2943"/>
    <s v="Abracadaba Ink"/>
    <s v="Salt Lake City"/>
    <s v="Female"/>
    <x v="4"/>
    <n v="2015"/>
  </r>
  <r>
    <n v="1582"/>
    <n v="3"/>
    <n v="3"/>
    <x v="895"/>
    <n v="42"/>
    <n v="22"/>
    <n v="0.10000000100000001"/>
    <n v="831.59999907600002"/>
    <s v="Shirts R Us"/>
    <s v="Los Angeles"/>
    <s v="Both"/>
    <x v="5"/>
    <n v="2015"/>
  </r>
  <r>
    <n v="1583"/>
    <n v="6"/>
    <n v="8"/>
    <x v="896"/>
    <n v="118"/>
    <n v="27"/>
    <n v="0.10000000100000001"/>
    <n v="2867.3999968140001"/>
    <s v="Abracadaba Ink"/>
    <s v="Salt Lake City"/>
    <s v="Female"/>
    <x v="30"/>
    <n v="2015"/>
  </r>
  <r>
    <n v="1584"/>
    <n v="3"/>
    <n v="2"/>
    <x v="897"/>
    <n v="78"/>
    <n v="30"/>
    <n v="0"/>
    <n v="2340"/>
    <s v="Shirts R Us"/>
    <s v="Los Angeles"/>
    <s v="Both"/>
    <x v="25"/>
    <n v="2015"/>
  </r>
  <r>
    <n v="1585"/>
    <n v="4"/>
    <n v="3"/>
    <x v="897"/>
    <n v="133"/>
    <n v="22"/>
    <n v="0"/>
    <n v="2926"/>
    <s v="Tshirt Unlimited"/>
    <s v="Phoenix"/>
    <s v="Both"/>
    <x v="25"/>
    <n v="2015"/>
  </r>
  <r>
    <n v="1586"/>
    <n v="7"/>
    <n v="5"/>
    <x v="897"/>
    <n v="85"/>
    <n v="16"/>
    <n v="5.0000001000000002E-2"/>
    <n v="1291.9999986400001"/>
    <s v="The Shirt on Your Back"/>
    <s v="Bonners Ferry"/>
    <s v="Female"/>
    <x v="25"/>
    <n v="2015"/>
  </r>
  <r>
    <n v="1587"/>
    <n v="7"/>
    <n v="2"/>
    <x v="898"/>
    <n v="128"/>
    <n v="30"/>
    <n v="0"/>
    <n v="3840"/>
    <s v="The Shirt on Your Back"/>
    <s v="Bonners Ferry"/>
    <s v="Both"/>
    <x v="10"/>
    <n v="2015"/>
  </r>
  <r>
    <n v="1588"/>
    <n v="3"/>
    <n v="5"/>
    <x v="899"/>
    <n v="46"/>
    <n v="16"/>
    <n v="0"/>
    <n v="736"/>
    <s v="Shirts R Us"/>
    <s v="Los Angeles"/>
    <s v="Female"/>
    <x v="11"/>
    <n v="2015"/>
  </r>
  <r>
    <n v="1589"/>
    <n v="1"/>
    <n v="10"/>
    <x v="900"/>
    <n v="48"/>
    <n v="35"/>
    <n v="5.0000001000000002E-2"/>
    <n v="1595.99999832"/>
    <s v="Threads"/>
    <s v="Seattle"/>
    <s v="Male"/>
    <x v="12"/>
    <n v="2015"/>
  </r>
  <r>
    <n v="1590"/>
    <n v="2"/>
    <n v="10"/>
    <x v="900"/>
    <n v="60"/>
    <n v="35"/>
    <n v="0.10000000100000001"/>
    <n v="1889.9999978999999"/>
    <s v="A Shirts Life"/>
    <s v="Portland"/>
    <s v="Male"/>
    <x v="12"/>
    <n v="2015"/>
  </r>
  <r>
    <n v="1591"/>
    <n v="4"/>
    <n v="6"/>
    <x v="900"/>
    <n v="55"/>
    <n v="28"/>
    <n v="0"/>
    <n v="1540"/>
    <s v="Tshirt Unlimited"/>
    <s v="Phoenix"/>
    <s v="Female"/>
    <x v="12"/>
    <n v="2015"/>
  </r>
  <r>
    <n v="1592"/>
    <n v="4"/>
    <n v="10"/>
    <x v="900"/>
    <n v="116"/>
    <n v="35"/>
    <n v="5.0000001000000002E-2"/>
    <n v="3856.9999959400002"/>
    <s v="Tshirt Unlimited"/>
    <s v="Phoenix"/>
    <s v="Male"/>
    <x v="12"/>
    <n v="2015"/>
  </r>
  <r>
    <n v="1593"/>
    <n v="2"/>
    <n v="3"/>
    <x v="901"/>
    <n v="127"/>
    <n v="22"/>
    <n v="0.15000000599999999"/>
    <n v="2374.899983236"/>
    <s v="A Shirts Life"/>
    <s v="Portland"/>
    <s v="Both"/>
    <x v="13"/>
    <n v="2015"/>
  </r>
  <r>
    <n v="1594"/>
    <n v="5"/>
    <n v="5"/>
    <x v="902"/>
    <n v="28"/>
    <n v="16"/>
    <n v="5.0000001000000002E-2"/>
    <n v="425.59999955199999"/>
    <s v="Rags to Riches"/>
    <s v="Las Vegas"/>
    <s v="Female"/>
    <x v="27"/>
    <n v="2015"/>
  </r>
  <r>
    <n v="1595"/>
    <n v="2"/>
    <n v="3"/>
    <x v="903"/>
    <n v="101"/>
    <n v="22"/>
    <n v="0"/>
    <n v="2222"/>
    <s v="A Shirts Life"/>
    <s v="Portland"/>
    <s v="Both"/>
    <x v="14"/>
    <n v="2015"/>
  </r>
  <r>
    <n v="1596"/>
    <n v="2"/>
    <n v="9"/>
    <x v="903"/>
    <n v="63"/>
    <n v="25"/>
    <n v="5.0000001000000002E-2"/>
    <n v="1496.2499984250001"/>
    <s v="A Shirts Life"/>
    <s v="Portland"/>
    <s v="Male"/>
    <x v="14"/>
    <n v="2015"/>
  </r>
  <r>
    <n v="1597"/>
    <n v="4"/>
    <n v="7"/>
    <x v="904"/>
    <n v="108"/>
    <n v="38"/>
    <n v="0"/>
    <n v="4104"/>
    <s v="Tshirt Unlimited"/>
    <s v="Phoenix"/>
    <s v="Female"/>
    <x v="15"/>
    <n v="2015"/>
  </r>
  <r>
    <n v="1598"/>
    <n v="6"/>
    <n v="4"/>
    <x v="905"/>
    <n v="122"/>
    <n v="30"/>
    <n v="0"/>
    <n v="3660"/>
    <s v="Abracadaba Ink"/>
    <s v="Salt Lake City"/>
    <s v="Both"/>
    <x v="16"/>
    <n v="2015"/>
  </r>
  <r>
    <n v="1599"/>
    <n v="5"/>
    <n v="8"/>
    <x v="906"/>
    <n v="95"/>
    <n v="27"/>
    <n v="5.0000001000000002E-2"/>
    <n v="2436.7499974349998"/>
    <s v="Rags to Riches"/>
    <s v="Las Vegas"/>
    <s v="Female"/>
    <x v="17"/>
    <n v="2015"/>
  </r>
  <r>
    <n v="1600"/>
    <n v="7"/>
    <n v="3"/>
    <x v="906"/>
    <n v="145"/>
    <n v="22"/>
    <n v="0"/>
    <n v="3190"/>
    <s v="The Shirt on Your Back"/>
    <s v="Bonners Ferry"/>
    <s v="Both"/>
    <x v="17"/>
    <n v="2015"/>
  </r>
  <r>
    <n v="1601"/>
    <n v="2"/>
    <n v="4"/>
    <x v="907"/>
    <n v="113"/>
    <n v="30"/>
    <n v="0"/>
    <n v="3390"/>
    <s v="A Shirts Life"/>
    <s v="Portland"/>
    <s v="Both"/>
    <x v="19"/>
    <n v="2015"/>
  </r>
  <r>
    <n v="1602"/>
    <n v="3"/>
    <n v="3"/>
    <x v="908"/>
    <n v="44"/>
    <n v="22"/>
    <n v="0"/>
    <n v="968"/>
    <s v="Shirts R Us"/>
    <s v="Los Angeles"/>
    <s v="Both"/>
    <x v="20"/>
    <n v="2015"/>
  </r>
  <r>
    <n v="1603"/>
    <n v="3"/>
    <n v="7"/>
    <x v="909"/>
    <n v="98"/>
    <n v="38"/>
    <n v="5.0000001000000002E-2"/>
    <n v="3537.799996276"/>
    <s v="Shirts R Us"/>
    <s v="Los Angeles"/>
    <s v="Female"/>
    <x v="21"/>
    <n v="2015"/>
  </r>
  <r>
    <n v="1604"/>
    <n v="2"/>
    <n v="7"/>
    <x v="910"/>
    <n v="52"/>
    <n v="38"/>
    <n v="0"/>
    <n v="1976"/>
    <s v="A Shirts Life"/>
    <s v="Portland"/>
    <s v="Female"/>
    <x v="22"/>
    <n v="2015"/>
  </r>
  <r>
    <n v="1605"/>
    <n v="7"/>
    <n v="5"/>
    <x v="910"/>
    <n v="90"/>
    <n v="16"/>
    <n v="0"/>
    <n v="1440"/>
    <s v="The Shirt on Your Back"/>
    <s v="Bonners Ferry"/>
    <s v="Female"/>
    <x v="22"/>
    <n v="2015"/>
  </r>
  <r>
    <n v="1606"/>
    <n v="7"/>
    <n v="8"/>
    <x v="910"/>
    <n v="70"/>
    <n v="27"/>
    <n v="0"/>
    <n v="1890"/>
    <s v="The Shirt on Your Back"/>
    <s v="Bonners Ferry"/>
    <s v="Female"/>
    <x v="22"/>
    <n v="2015"/>
  </r>
  <r>
    <n v="1607"/>
    <n v="1"/>
    <n v="2"/>
    <x v="911"/>
    <n v="33"/>
    <n v="30"/>
    <n v="0"/>
    <n v="990"/>
    <s v="Threads"/>
    <s v="Seattle"/>
    <s v="Both"/>
    <x v="28"/>
    <n v="2015"/>
  </r>
  <r>
    <n v="1608"/>
    <n v="6"/>
    <n v="10"/>
    <x v="911"/>
    <n v="46"/>
    <n v="35"/>
    <n v="0"/>
    <n v="1610"/>
    <s v="Abracadaba Ink"/>
    <s v="Salt Lake City"/>
    <s v="Male"/>
    <x v="28"/>
    <n v="2015"/>
  </r>
  <r>
    <n v="1609"/>
    <n v="7"/>
    <n v="1"/>
    <x v="912"/>
    <n v="134"/>
    <n v="20"/>
    <n v="0"/>
    <n v="2680"/>
    <s v="The Shirt on Your Back"/>
    <s v="Bonners Ferry"/>
    <s v="Both"/>
    <x v="0"/>
    <n v="2015"/>
  </r>
  <r>
    <n v="1610"/>
    <n v="3"/>
    <n v="8"/>
    <x v="913"/>
    <n v="145"/>
    <n v="27"/>
    <n v="0"/>
    <n v="3915"/>
    <s v="Shirts R Us"/>
    <s v="Los Angeles"/>
    <s v="Female"/>
    <x v="23"/>
    <n v="2015"/>
  </r>
  <r>
    <n v="1611"/>
    <n v="7"/>
    <n v="1"/>
    <x v="913"/>
    <n v="121"/>
    <n v="20"/>
    <n v="0"/>
    <n v="2420"/>
    <s v="The Shirt on Your Back"/>
    <s v="Bonners Ferry"/>
    <s v="Both"/>
    <x v="23"/>
    <n v="2015"/>
  </r>
  <r>
    <n v="1612"/>
    <n v="3"/>
    <n v="8"/>
    <x v="914"/>
    <n v="121"/>
    <n v="27"/>
    <n v="0.10000000100000001"/>
    <n v="2940.2999967330002"/>
    <s v="Shirts R Us"/>
    <s v="Los Angeles"/>
    <s v="Female"/>
    <x v="2"/>
    <n v="2015"/>
  </r>
  <r>
    <n v="1613"/>
    <n v="3"/>
    <n v="5"/>
    <x v="915"/>
    <n v="62"/>
    <n v="16"/>
    <n v="0"/>
    <n v="992"/>
    <s v="Shirts R Us"/>
    <s v="Los Angeles"/>
    <s v="Female"/>
    <x v="24"/>
    <n v="2015"/>
  </r>
  <r>
    <n v="1614"/>
    <n v="3"/>
    <n v="9"/>
    <x v="915"/>
    <n v="58"/>
    <n v="25"/>
    <n v="5.0000001000000002E-2"/>
    <n v="1377.4999985500001"/>
    <s v="Shirts R Us"/>
    <s v="Los Angeles"/>
    <s v="Male"/>
    <x v="24"/>
    <n v="2015"/>
  </r>
  <r>
    <n v="1615"/>
    <n v="2"/>
    <n v="8"/>
    <x v="916"/>
    <n v="96"/>
    <n v="27"/>
    <n v="0"/>
    <n v="2592"/>
    <s v="A Shirts Life"/>
    <s v="Portland"/>
    <s v="Female"/>
    <x v="3"/>
    <n v="2015"/>
  </r>
  <r>
    <n v="1616"/>
    <n v="4"/>
    <n v="9"/>
    <x v="916"/>
    <n v="28"/>
    <n v="25"/>
    <n v="0.10000000100000001"/>
    <n v="629.99999930000001"/>
    <s v="Tshirt Unlimited"/>
    <s v="Phoenix"/>
    <s v="Male"/>
    <x v="3"/>
    <n v="2015"/>
  </r>
  <r>
    <n v="1617"/>
    <n v="5"/>
    <n v="1"/>
    <x v="917"/>
    <n v="123"/>
    <n v="20"/>
    <n v="0"/>
    <n v="2460"/>
    <s v="Rags to Riches"/>
    <s v="Las Vegas"/>
    <s v="Both"/>
    <x v="4"/>
    <n v="2015"/>
  </r>
  <r>
    <n v="1618"/>
    <n v="6"/>
    <n v="2"/>
    <x v="917"/>
    <n v="90"/>
    <n v="30"/>
    <n v="0"/>
    <n v="2700"/>
    <s v="Abracadaba Ink"/>
    <s v="Salt Lake City"/>
    <s v="Both"/>
    <x v="4"/>
    <n v="2015"/>
  </r>
  <r>
    <n v="1619"/>
    <n v="1"/>
    <n v="2"/>
    <x v="918"/>
    <n v="62"/>
    <n v="30"/>
    <n v="0"/>
    <n v="1860"/>
    <s v="Threads"/>
    <s v="Seattle"/>
    <s v="Both"/>
    <x v="5"/>
    <n v="2015"/>
  </r>
  <r>
    <n v="1620"/>
    <n v="4"/>
    <n v="2"/>
    <x v="918"/>
    <n v="41"/>
    <n v="30"/>
    <n v="0"/>
    <n v="1230"/>
    <s v="Tshirt Unlimited"/>
    <s v="Phoenix"/>
    <s v="Both"/>
    <x v="5"/>
    <n v="2015"/>
  </r>
  <r>
    <n v="1621"/>
    <n v="4"/>
    <n v="10"/>
    <x v="919"/>
    <n v="37"/>
    <n v="35"/>
    <n v="0"/>
    <n v="1295"/>
    <s v="Tshirt Unlimited"/>
    <s v="Phoenix"/>
    <s v="Male"/>
    <x v="6"/>
    <n v="2015"/>
  </r>
  <r>
    <n v="1622"/>
    <n v="4"/>
    <n v="4"/>
    <x v="920"/>
    <n v="37"/>
    <n v="30"/>
    <n v="0"/>
    <n v="1110"/>
    <s v="Tshirt Unlimited"/>
    <s v="Phoenix"/>
    <s v="Both"/>
    <x v="30"/>
    <n v="2015"/>
  </r>
  <r>
    <n v="1623"/>
    <n v="7"/>
    <n v="6"/>
    <x v="921"/>
    <n v="114"/>
    <n v="28"/>
    <n v="0"/>
    <n v="3192"/>
    <s v="The Shirt on Your Back"/>
    <s v="Bonners Ferry"/>
    <s v="Female"/>
    <x v="25"/>
    <n v="2015"/>
  </r>
  <r>
    <n v="1624"/>
    <n v="7"/>
    <n v="7"/>
    <x v="921"/>
    <n v="48"/>
    <n v="38"/>
    <n v="5.0000001000000002E-2"/>
    <n v="1732.7999981759999"/>
    <s v="The Shirt on Your Back"/>
    <s v="Bonners Ferry"/>
    <s v="Female"/>
    <x v="25"/>
    <n v="2015"/>
  </r>
  <r>
    <n v="1625"/>
    <n v="3"/>
    <n v="9"/>
    <x v="922"/>
    <n v="135"/>
    <n v="25"/>
    <n v="0"/>
    <n v="3375"/>
    <s v="Shirts R Us"/>
    <s v="Los Angeles"/>
    <s v="Male"/>
    <x v="9"/>
    <n v="2015"/>
  </r>
  <r>
    <n v="1626"/>
    <n v="4"/>
    <n v="3"/>
    <x v="922"/>
    <n v="137"/>
    <n v="22"/>
    <n v="0"/>
    <n v="3014"/>
    <s v="Tshirt Unlimited"/>
    <s v="Phoenix"/>
    <s v="Both"/>
    <x v="9"/>
    <n v="2015"/>
  </r>
  <r>
    <n v="1627"/>
    <n v="5"/>
    <n v="6"/>
    <x v="923"/>
    <n v="69"/>
    <n v="28"/>
    <n v="5.0000001000000002E-2"/>
    <n v="1835.3999980680001"/>
    <s v="Rags to Riches"/>
    <s v="Las Vegas"/>
    <s v="Female"/>
    <x v="11"/>
    <n v="2015"/>
  </r>
  <r>
    <n v="1628"/>
    <n v="2"/>
    <n v="3"/>
    <x v="924"/>
    <n v="124"/>
    <n v="22"/>
    <n v="0"/>
    <n v="2728"/>
    <s v="A Shirts Life"/>
    <s v="Portland"/>
    <s v="Both"/>
    <x v="12"/>
    <n v="2015"/>
  </r>
  <r>
    <n v="1629"/>
    <n v="4"/>
    <n v="8"/>
    <x v="925"/>
    <n v="67"/>
    <n v="27"/>
    <n v="0"/>
    <n v="1809"/>
    <s v="Tshirt Unlimited"/>
    <s v="Phoenix"/>
    <s v="Female"/>
    <x v="14"/>
    <n v="2015"/>
  </r>
  <r>
    <n v="1630"/>
    <n v="7"/>
    <n v="7"/>
    <x v="925"/>
    <n v="120"/>
    <n v="38"/>
    <n v="0.15000000599999999"/>
    <n v="3875.9999726400001"/>
    <s v="The Shirt on Your Back"/>
    <s v="Bonners Ferry"/>
    <s v="Female"/>
    <x v="14"/>
    <n v="2015"/>
  </r>
  <r>
    <n v="1631"/>
    <n v="3"/>
    <n v="6"/>
    <x v="926"/>
    <n v="146"/>
    <n v="28"/>
    <n v="0"/>
    <n v="4088"/>
    <s v="Shirts R Us"/>
    <s v="Los Angeles"/>
    <s v="Female"/>
    <x v="15"/>
    <n v="2015"/>
  </r>
  <r>
    <n v="1632"/>
    <n v="1"/>
    <n v="10"/>
    <x v="927"/>
    <n v="43"/>
    <n v="35"/>
    <n v="0.10000000100000001"/>
    <n v="1354.499998495"/>
    <s v="Threads"/>
    <s v="Seattle"/>
    <s v="Male"/>
    <x v="16"/>
    <n v="2015"/>
  </r>
  <r>
    <n v="1633"/>
    <n v="3"/>
    <n v="4"/>
    <x v="927"/>
    <n v="73"/>
    <n v="30"/>
    <n v="0"/>
    <n v="2190"/>
    <s v="Shirts R Us"/>
    <s v="Los Angeles"/>
    <s v="Both"/>
    <x v="16"/>
    <n v="2015"/>
  </r>
  <r>
    <n v="1634"/>
    <n v="4"/>
    <n v="4"/>
    <x v="927"/>
    <n v="74"/>
    <n v="30"/>
    <n v="0"/>
    <n v="2220"/>
    <s v="Tshirt Unlimited"/>
    <s v="Phoenix"/>
    <s v="Both"/>
    <x v="16"/>
    <n v="2015"/>
  </r>
  <r>
    <n v="1635"/>
    <n v="5"/>
    <n v="7"/>
    <x v="927"/>
    <n v="30"/>
    <n v="38"/>
    <n v="0"/>
    <n v="1140"/>
    <s v="Rags to Riches"/>
    <s v="Las Vegas"/>
    <s v="Female"/>
    <x v="16"/>
    <n v="2015"/>
  </r>
  <r>
    <n v="1636"/>
    <n v="2"/>
    <n v="6"/>
    <x v="928"/>
    <n v="124"/>
    <n v="28"/>
    <n v="0"/>
    <n v="3472"/>
    <s v="A Shirts Life"/>
    <s v="Portland"/>
    <s v="Female"/>
    <x v="17"/>
    <n v="2015"/>
  </r>
  <r>
    <n v="1637"/>
    <n v="3"/>
    <n v="4"/>
    <x v="928"/>
    <n v="134"/>
    <n v="30"/>
    <n v="0"/>
    <n v="4020"/>
    <s v="Shirts R Us"/>
    <s v="Los Angeles"/>
    <s v="Both"/>
    <x v="17"/>
    <n v="2015"/>
  </r>
  <r>
    <n v="1638"/>
    <n v="7"/>
    <n v="5"/>
    <x v="929"/>
    <n v="122"/>
    <n v="16"/>
    <n v="0.10000000100000001"/>
    <n v="1756.7999980479999"/>
    <s v="The Shirt on Your Back"/>
    <s v="Bonners Ferry"/>
    <s v="Female"/>
    <x v="19"/>
    <n v="2015"/>
  </r>
  <r>
    <n v="1639"/>
    <n v="1"/>
    <n v="4"/>
    <x v="930"/>
    <n v="94"/>
    <n v="30"/>
    <n v="0"/>
    <n v="2820"/>
    <s v="Threads"/>
    <s v="Seattle"/>
    <s v="Both"/>
    <x v="22"/>
    <n v="2015"/>
  </r>
  <r>
    <n v="1640"/>
    <n v="6"/>
    <n v="9"/>
    <x v="931"/>
    <n v="114"/>
    <n v="25"/>
    <n v="0"/>
    <n v="2850"/>
    <s v="Abracadaba Ink"/>
    <s v="Salt Lake City"/>
    <s v="Male"/>
    <x v="29"/>
    <n v="2015"/>
  </r>
  <r>
    <n v="1641"/>
    <n v="1"/>
    <n v="5"/>
    <x v="932"/>
    <n v="67"/>
    <n v="16"/>
    <n v="0"/>
    <n v="1072"/>
    <s v="Threads"/>
    <s v="Seattle"/>
    <s v="Female"/>
    <x v="0"/>
    <n v="2015"/>
  </r>
  <r>
    <n v="1642"/>
    <n v="4"/>
    <n v="1"/>
    <x v="933"/>
    <n v="147"/>
    <n v="20"/>
    <n v="0.15000000599999999"/>
    <n v="2498.9999823600001"/>
    <s v="Tshirt Unlimited"/>
    <s v="Phoenix"/>
    <s v="Both"/>
    <x v="1"/>
    <n v="2015"/>
  </r>
  <r>
    <n v="1643"/>
    <n v="4"/>
    <n v="10"/>
    <x v="933"/>
    <n v="103"/>
    <n v="35"/>
    <n v="0"/>
    <n v="3605"/>
    <s v="Tshirt Unlimited"/>
    <s v="Phoenix"/>
    <s v="Male"/>
    <x v="1"/>
    <n v="2015"/>
  </r>
  <r>
    <n v="1644"/>
    <n v="3"/>
    <n v="9"/>
    <x v="934"/>
    <n v="130"/>
    <n v="25"/>
    <n v="0"/>
    <n v="3250"/>
    <s v="Shirts R Us"/>
    <s v="Los Angeles"/>
    <s v="Male"/>
    <x v="3"/>
    <n v="2015"/>
  </r>
  <r>
    <n v="1645"/>
    <n v="5"/>
    <n v="8"/>
    <x v="934"/>
    <n v="128"/>
    <n v="27"/>
    <n v="0"/>
    <n v="3456"/>
    <s v="Rags to Riches"/>
    <s v="Las Vegas"/>
    <s v="Female"/>
    <x v="3"/>
    <n v="2015"/>
  </r>
  <r>
    <n v="1646"/>
    <n v="2"/>
    <n v="1"/>
    <x v="935"/>
    <n v="35"/>
    <n v="20"/>
    <n v="0"/>
    <n v="700"/>
    <s v="A Shirts Life"/>
    <s v="Portland"/>
    <s v="Both"/>
    <x v="4"/>
    <n v="2015"/>
  </r>
  <r>
    <n v="1647"/>
    <n v="6"/>
    <n v="9"/>
    <x v="935"/>
    <n v="139"/>
    <n v="25"/>
    <n v="0"/>
    <n v="3475"/>
    <s v="Abracadaba Ink"/>
    <s v="Salt Lake City"/>
    <s v="Male"/>
    <x v="4"/>
    <n v="2015"/>
  </r>
  <r>
    <n v="1648"/>
    <n v="2"/>
    <n v="7"/>
    <x v="936"/>
    <n v="100"/>
    <n v="38"/>
    <n v="0"/>
    <n v="3800"/>
    <s v="A Shirts Life"/>
    <s v="Portland"/>
    <s v="Female"/>
    <x v="5"/>
    <n v="2015"/>
  </r>
  <r>
    <n v="1649"/>
    <n v="6"/>
    <n v="6"/>
    <x v="937"/>
    <n v="118"/>
    <n v="28"/>
    <n v="0"/>
    <n v="3304"/>
    <s v="Abracadaba Ink"/>
    <s v="Salt Lake City"/>
    <s v="Female"/>
    <x v="30"/>
    <n v="2015"/>
  </r>
  <r>
    <n v="1650"/>
    <n v="2"/>
    <n v="8"/>
    <x v="938"/>
    <n v="79"/>
    <n v="27"/>
    <n v="0"/>
    <n v="2133"/>
    <s v="A Shirts Life"/>
    <s v="Portland"/>
    <s v="Female"/>
    <x v="7"/>
    <n v="2015"/>
  </r>
  <r>
    <n v="1651"/>
    <n v="4"/>
    <n v="5"/>
    <x v="939"/>
    <n v="100"/>
    <n v="16"/>
    <n v="0"/>
    <n v="1600"/>
    <s v="Tshirt Unlimited"/>
    <s v="Phoenix"/>
    <s v="Female"/>
    <x v="25"/>
    <n v="2015"/>
  </r>
  <r>
    <n v="1652"/>
    <n v="6"/>
    <n v="9"/>
    <x v="939"/>
    <n v="77"/>
    <n v="25"/>
    <n v="0.10000000100000001"/>
    <n v="1732.4999980749999"/>
    <s v="Abracadaba Ink"/>
    <s v="Salt Lake City"/>
    <s v="Male"/>
    <x v="25"/>
    <n v="2015"/>
  </r>
  <r>
    <n v="1653"/>
    <n v="1"/>
    <n v="4"/>
    <x v="940"/>
    <n v="105"/>
    <n v="30"/>
    <n v="0"/>
    <n v="3150"/>
    <s v="Threads"/>
    <s v="Seattle"/>
    <s v="Both"/>
    <x v="8"/>
    <n v="2015"/>
  </r>
  <r>
    <n v="1654"/>
    <n v="4"/>
    <n v="6"/>
    <x v="940"/>
    <n v="69"/>
    <n v="28"/>
    <n v="0"/>
    <n v="1932"/>
    <s v="Tshirt Unlimited"/>
    <s v="Phoenix"/>
    <s v="Female"/>
    <x v="8"/>
    <n v="2015"/>
  </r>
  <r>
    <n v="1655"/>
    <n v="7"/>
    <n v="9"/>
    <x v="940"/>
    <n v="64"/>
    <n v="25"/>
    <n v="0"/>
    <n v="1600"/>
    <s v="The Shirt on Your Back"/>
    <s v="Bonners Ferry"/>
    <s v="Male"/>
    <x v="8"/>
    <n v="2015"/>
  </r>
  <r>
    <n v="1656"/>
    <n v="4"/>
    <n v="7"/>
    <x v="941"/>
    <n v="125"/>
    <n v="38"/>
    <n v="0"/>
    <n v="4750"/>
    <s v="Tshirt Unlimited"/>
    <s v="Phoenix"/>
    <s v="Female"/>
    <x v="9"/>
    <n v="2015"/>
  </r>
  <r>
    <n v="1657"/>
    <n v="5"/>
    <n v="4"/>
    <x v="941"/>
    <n v="88"/>
    <n v="30"/>
    <n v="0"/>
    <n v="2640"/>
    <s v="Rags to Riches"/>
    <s v="Las Vegas"/>
    <s v="Both"/>
    <x v="9"/>
    <n v="2015"/>
  </r>
  <r>
    <n v="1658"/>
    <n v="7"/>
    <n v="9"/>
    <x v="941"/>
    <n v="83"/>
    <n v="25"/>
    <n v="0"/>
    <n v="2075"/>
    <s v="The Shirt on Your Back"/>
    <s v="Bonners Ferry"/>
    <s v="Male"/>
    <x v="9"/>
    <n v="2015"/>
  </r>
  <r>
    <n v="1659"/>
    <n v="2"/>
    <n v="8"/>
    <x v="942"/>
    <n v="95"/>
    <n v="27"/>
    <n v="0"/>
    <n v="2565"/>
    <s v="A Shirts Life"/>
    <s v="Portland"/>
    <s v="Female"/>
    <x v="10"/>
    <n v="2015"/>
  </r>
  <r>
    <n v="1660"/>
    <n v="4"/>
    <n v="3"/>
    <x v="942"/>
    <n v="113"/>
    <n v="22"/>
    <n v="0"/>
    <n v="2486"/>
    <s v="Tshirt Unlimited"/>
    <s v="Phoenix"/>
    <s v="Both"/>
    <x v="10"/>
    <n v="2015"/>
  </r>
  <r>
    <n v="1661"/>
    <n v="5"/>
    <n v="9"/>
    <x v="942"/>
    <n v="68"/>
    <n v="25"/>
    <n v="0.10000000100000001"/>
    <n v="1529.9999983"/>
    <s v="Rags to Riches"/>
    <s v="Las Vegas"/>
    <s v="Male"/>
    <x v="10"/>
    <n v="2015"/>
  </r>
  <r>
    <n v="1662"/>
    <n v="7"/>
    <n v="1"/>
    <x v="942"/>
    <n v="47"/>
    <n v="20"/>
    <n v="0"/>
    <n v="940"/>
    <s v="The Shirt on Your Back"/>
    <s v="Bonners Ferry"/>
    <s v="Both"/>
    <x v="10"/>
    <n v="2015"/>
  </r>
  <r>
    <n v="1663"/>
    <n v="1"/>
    <n v="2"/>
    <x v="943"/>
    <n v="72"/>
    <n v="30"/>
    <n v="0"/>
    <n v="2160"/>
    <s v="Threads"/>
    <s v="Seattle"/>
    <s v="Both"/>
    <x v="26"/>
    <n v="2015"/>
  </r>
  <r>
    <n v="1664"/>
    <n v="3"/>
    <n v="10"/>
    <x v="943"/>
    <n v="45"/>
    <n v="35"/>
    <n v="0"/>
    <n v="1575"/>
    <s v="Shirts R Us"/>
    <s v="Los Angeles"/>
    <s v="Male"/>
    <x v="26"/>
    <n v="2015"/>
  </r>
  <r>
    <n v="1665"/>
    <n v="5"/>
    <n v="8"/>
    <x v="944"/>
    <n v="45"/>
    <n v="27"/>
    <n v="5.0000001000000002E-2"/>
    <n v="1154.2499987849999"/>
    <s v="Rags to Riches"/>
    <s v="Las Vegas"/>
    <s v="Female"/>
    <x v="12"/>
    <n v="2015"/>
  </r>
  <r>
    <n v="1666"/>
    <n v="6"/>
    <n v="10"/>
    <x v="945"/>
    <n v="133"/>
    <n v="35"/>
    <n v="0"/>
    <n v="4655"/>
    <s v="Abracadaba Ink"/>
    <s v="Salt Lake City"/>
    <s v="Male"/>
    <x v="13"/>
    <n v="2015"/>
  </r>
  <r>
    <n v="1667"/>
    <n v="5"/>
    <n v="1"/>
    <x v="946"/>
    <n v="56"/>
    <n v="20"/>
    <n v="0"/>
    <n v="1120"/>
    <s v="Rags to Riches"/>
    <s v="Las Vegas"/>
    <s v="Both"/>
    <x v="14"/>
    <n v="2015"/>
  </r>
  <r>
    <n v="1668"/>
    <n v="5"/>
    <n v="4"/>
    <x v="946"/>
    <n v="67"/>
    <n v="30"/>
    <n v="0"/>
    <n v="2010"/>
    <s v="Rags to Riches"/>
    <s v="Las Vegas"/>
    <s v="Both"/>
    <x v="14"/>
    <n v="2015"/>
  </r>
  <r>
    <n v="1669"/>
    <n v="3"/>
    <n v="8"/>
    <x v="947"/>
    <n v="63"/>
    <n v="27"/>
    <n v="0.15000000599999999"/>
    <n v="1445.8499897940001"/>
    <s v="Shirts R Us"/>
    <s v="Los Angeles"/>
    <s v="Female"/>
    <x v="15"/>
    <n v="2015"/>
  </r>
  <r>
    <n v="1670"/>
    <n v="1"/>
    <n v="7"/>
    <x v="948"/>
    <n v="122"/>
    <n v="38"/>
    <n v="0"/>
    <n v="4636"/>
    <s v="Threads"/>
    <s v="Seattle"/>
    <s v="Female"/>
    <x v="16"/>
    <n v="2015"/>
  </r>
  <r>
    <n v="1671"/>
    <n v="3"/>
    <n v="2"/>
    <x v="948"/>
    <n v="112"/>
    <n v="30"/>
    <n v="0"/>
    <n v="3360"/>
    <s v="Shirts R Us"/>
    <s v="Los Angeles"/>
    <s v="Both"/>
    <x v="16"/>
    <n v="2015"/>
  </r>
  <r>
    <n v="1672"/>
    <n v="4"/>
    <n v="9"/>
    <x v="948"/>
    <n v="138"/>
    <n v="25"/>
    <n v="0"/>
    <n v="3450"/>
    <s v="Tshirt Unlimited"/>
    <s v="Phoenix"/>
    <s v="Male"/>
    <x v="16"/>
    <n v="2015"/>
  </r>
  <r>
    <n v="1673"/>
    <n v="3"/>
    <n v="8"/>
    <x v="949"/>
    <n v="101"/>
    <n v="27"/>
    <n v="0"/>
    <n v="2727"/>
    <s v="Shirts R Us"/>
    <s v="Los Angeles"/>
    <s v="Female"/>
    <x v="17"/>
    <n v="2015"/>
  </r>
  <r>
    <n v="1674"/>
    <n v="4"/>
    <n v="8"/>
    <x v="950"/>
    <n v="42"/>
    <n v="27"/>
    <n v="0"/>
    <n v="1134"/>
    <s v="Tshirt Unlimited"/>
    <s v="Phoenix"/>
    <s v="Female"/>
    <x v="20"/>
    <n v="2015"/>
  </r>
  <r>
    <n v="1675"/>
    <n v="5"/>
    <n v="7"/>
    <x v="951"/>
    <n v="119"/>
    <n v="38"/>
    <n v="0"/>
    <n v="4522"/>
    <s v="Rags to Riches"/>
    <s v="Las Vegas"/>
    <s v="Female"/>
    <x v="21"/>
    <n v="2015"/>
  </r>
  <r>
    <n v="1676"/>
    <n v="6"/>
    <n v="5"/>
    <x v="951"/>
    <n v="65"/>
    <n v="16"/>
    <n v="0"/>
    <n v="1040"/>
    <s v="Abracadaba Ink"/>
    <s v="Salt Lake City"/>
    <s v="Female"/>
    <x v="21"/>
    <n v="2015"/>
  </r>
  <r>
    <n v="1677"/>
    <n v="5"/>
    <n v="2"/>
    <x v="952"/>
    <n v="125"/>
    <n v="30"/>
    <n v="0"/>
    <n v="3750"/>
    <s v="Rags to Riches"/>
    <s v="Las Vegas"/>
    <s v="Both"/>
    <x v="28"/>
    <n v="2015"/>
  </r>
  <r>
    <n v="1678"/>
    <n v="4"/>
    <n v="5"/>
    <x v="953"/>
    <n v="121"/>
    <n v="16"/>
    <n v="0"/>
    <n v="1936"/>
    <s v="Tshirt Unlimited"/>
    <s v="Phoenix"/>
    <s v="Female"/>
    <x v="0"/>
    <n v="2015"/>
  </r>
  <r>
    <n v="1679"/>
    <n v="5"/>
    <n v="6"/>
    <x v="953"/>
    <n v="32"/>
    <n v="28"/>
    <n v="0"/>
    <n v="896"/>
    <s v="Rags to Riches"/>
    <s v="Las Vegas"/>
    <s v="Female"/>
    <x v="0"/>
    <n v="2015"/>
  </r>
  <r>
    <n v="1680"/>
    <n v="7"/>
    <n v="6"/>
    <x v="954"/>
    <n v="112"/>
    <n v="28"/>
    <n v="0"/>
    <n v="3136"/>
    <s v="The Shirt on Your Back"/>
    <s v="Bonners Ferry"/>
    <s v="Female"/>
    <x v="1"/>
    <n v="2015"/>
  </r>
  <r>
    <n v="1681"/>
    <n v="1"/>
    <n v="9"/>
    <x v="955"/>
    <n v="90"/>
    <n v="25"/>
    <n v="0"/>
    <n v="2250"/>
    <s v="Threads"/>
    <s v="Seattle"/>
    <s v="Male"/>
    <x v="2"/>
    <n v="2015"/>
  </r>
  <r>
    <n v="1682"/>
    <n v="2"/>
    <n v="8"/>
    <x v="956"/>
    <n v="65"/>
    <n v="27"/>
    <n v="5.0000001000000002E-2"/>
    <n v="1667.2499982449999"/>
    <s v="A Shirts Life"/>
    <s v="Portland"/>
    <s v="Female"/>
    <x v="24"/>
    <n v="2015"/>
  </r>
  <r>
    <n v="1683"/>
    <n v="4"/>
    <n v="9"/>
    <x v="957"/>
    <n v="147"/>
    <n v="25"/>
    <n v="5.0000001000000002E-2"/>
    <n v="3491.2499963250002"/>
    <s v="Tshirt Unlimited"/>
    <s v="Phoenix"/>
    <s v="Male"/>
    <x v="3"/>
    <n v="2015"/>
  </r>
  <r>
    <n v="1684"/>
    <n v="7"/>
    <n v="9"/>
    <x v="957"/>
    <n v="111"/>
    <n v="25"/>
    <n v="0.10000000100000001"/>
    <n v="2497.4999972249998"/>
    <s v="The Shirt on Your Back"/>
    <s v="Bonners Ferry"/>
    <s v="Male"/>
    <x v="3"/>
    <n v="2015"/>
  </r>
  <r>
    <n v="1685"/>
    <n v="1"/>
    <n v="9"/>
    <x v="958"/>
    <n v="53"/>
    <n v="25"/>
    <n v="0"/>
    <n v="1325"/>
    <s v="Threads"/>
    <s v="Seattle"/>
    <s v="Male"/>
    <x v="4"/>
    <n v="2015"/>
  </r>
  <r>
    <n v="1686"/>
    <n v="2"/>
    <n v="5"/>
    <x v="959"/>
    <n v="134"/>
    <n v="16"/>
    <n v="0"/>
    <n v="2144"/>
    <s v="A Shirts Life"/>
    <s v="Portland"/>
    <s v="Female"/>
    <x v="5"/>
    <n v="2015"/>
  </r>
  <r>
    <n v="1687"/>
    <n v="6"/>
    <n v="3"/>
    <x v="959"/>
    <n v="55"/>
    <n v="22"/>
    <n v="0"/>
    <n v="1210"/>
    <s v="Abracadaba Ink"/>
    <s v="Salt Lake City"/>
    <s v="Both"/>
    <x v="5"/>
    <n v="2015"/>
  </r>
  <r>
    <n v="1688"/>
    <n v="3"/>
    <n v="4"/>
    <x v="960"/>
    <n v="142"/>
    <n v="30"/>
    <n v="0"/>
    <n v="4260"/>
    <s v="Shirts R Us"/>
    <s v="Los Angeles"/>
    <s v="Both"/>
    <x v="6"/>
    <n v="2015"/>
  </r>
  <r>
    <n v="1689"/>
    <n v="2"/>
    <n v="10"/>
    <x v="961"/>
    <n v="108"/>
    <n v="35"/>
    <n v="5.0000001000000002E-2"/>
    <n v="3590.99999622"/>
    <s v="A Shirts Life"/>
    <s v="Portland"/>
    <s v="Male"/>
    <x v="7"/>
    <n v="2015"/>
  </r>
  <r>
    <n v="1690"/>
    <n v="4"/>
    <n v="10"/>
    <x v="961"/>
    <n v="107"/>
    <n v="35"/>
    <n v="0"/>
    <n v="3745"/>
    <s v="Tshirt Unlimited"/>
    <s v="Phoenix"/>
    <s v="Male"/>
    <x v="7"/>
    <n v="2015"/>
  </r>
  <r>
    <n v="1691"/>
    <n v="7"/>
    <n v="3"/>
    <x v="961"/>
    <n v="54"/>
    <n v="22"/>
    <n v="0"/>
    <n v="1188"/>
    <s v="The Shirt on Your Back"/>
    <s v="Bonners Ferry"/>
    <s v="Both"/>
    <x v="7"/>
    <n v="2015"/>
  </r>
  <r>
    <n v="1692"/>
    <n v="7"/>
    <n v="9"/>
    <x v="961"/>
    <n v="126"/>
    <n v="25"/>
    <n v="0"/>
    <n v="3150"/>
    <s v="The Shirt on Your Back"/>
    <s v="Bonners Ferry"/>
    <s v="Male"/>
    <x v="7"/>
    <n v="2015"/>
  </r>
  <r>
    <n v="1693"/>
    <n v="2"/>
    <n v="8"/>
    <x v="962"/>
    <n v="94"/>
    <n v="27"/>
    <n v="0"/>
    <n v="2538"/>
    <s v="A Shirts Life"/>
    <s v="Portland"/>
    <s v="Female"/>
    <x v="25"/>
    <n v="2015"/>
  </r>
  <r>
    <n v="1694"/>
    <n v="2"/>
    <n v="2"/>
    <x v="963"/>
    <n v="45"/>
    <n v="30"/>
    <n v="0"/>
    <n v="1350"/>
    <s v="A Shirts Life"/>
    <s v="Portland"/>
    <s v="Both"/>
    <x v="8"/>
    <n v="2015"/>
  </r>
  <r>
    <n v="1695"/>
    <n v="7"/>
    <n v="7"/>
    <x v="963"/>
    <n v="148"/>
    <n v="38"/>
    <n v="0.10000000100000001"/>
    <n v="5061.5999943759998"/>
    <s v="The Shirt on Your Back"/>
    <s v="Bonners Ferry"/>
    <s v="Female"/>
    <x v="8"/>
    <n v="2015"/>
  </r>
  <r>
    <n v="1696"/>
    <n v="1"/>
    <n v="6"/>
    <x v="964"/>
    <n v="87"/>
    <n v="28"/>
    <n v="0"/>
    <n v="2436"/>
    <s v="Threads"/>
    <s v="Seattle"/>
    <s v="Female"/>
    <x v="9"/>
    <n v="2015"/>
  </r>
  <r>
    <n v="1697"/>
    <n v="1"/>
    <n v="1"/>
    <x v="965"/>
    <n v="136"/>
    <n v="20"/>
    <n v="0"/>
    <n v="2720"/>
    <s v="Threads"/>
    <s v="Seattle"/>
    <s v="Both"/>
    <x v="10"/>
    <n v="2015"/>
  </r>
  <r>
    <n v="1698"/>
    <n v="4"/>
    <n v="1"/>
    <x v="965"/>
    <n v="112"/>
    <n v="20"/>
    <n v="0"/>
    <n v="2240"/>
    <s v="Tshirt Unlimited"/>
    <s v="Phoenix"/>
    <s v="Both"/>
    <x v="10"/>
    <n v="2015"/>
  </r>
  <r>
    <n v="1699"/>
    <n v="7"/>
    <n v="5"/>
    <x v="965"/>
    <n v="58"/>
    <n v="16"/>
    <n v="0"/>
    <n v="928"/>
    <s v="The Shirt on Your Back"/>
    <s v="Bonners Ferry"/>
    <s v="Female"/>
    <x v="10"/>
    <n v="2015"/>
  </r>
  <r>
    <n v="1700"/>
    <n v="5"/>
    <n v="5"/>
    <x v="966"/>
    <n v="41"/>
    <n v="16"/>
    <n v="0"/>
    <n v="656"/>
    <s v="Rags to Riches"/>
    <s v="Las Vegas"/>
    <s v="Female"/>
    <x v="26"/>
    <n v="2015"/>
  </r>
  <r>
    <n v="1701"/>
    <n v="5"/>
    <n v="8"/>
    <x v="966"/>
    <n v="74"/>
    <n v="27"/>
    <n v="0"/>
    <n v="1998"/>
    <s v="Rags to Riches"/>
    <s v="Las Vegas"/>
    <s v="Female"/>
    <x v="26"/>
    <n v="2015"/>
  </r>
  <r>
    <n v="1702"/>
    <n v="3"/>
    <n v="6"/>
    <x v="967"/>
    <n v="117"/>
    <n v="28"/>
    <n v="0"/>
    <n v="3276"/>
    <s v="Shirts R Us"/>
    <s v="Los Angeles"/>
    <s v="Female"/>
    <x v="12"/>
    <n v="2015"/>
  </r>
  <r>
    <n v="1703"/>
    <n v="4"/>
    <n v="5"/>
    <x v="968"/>
    <n v="109"/>
    <n v="16"/>
    <n v="0.10000000100000001"/>
    <n v="1569.5999982559999"/>
    <s v="Tshirt Unlimited"/>
    <s v="Phoenix"/>
    <s v="Female"/>
    <x v="13"/>
    <n v="2015"/>
  </r>
  <r>
    <n v="1704"/>
    <n v="2"/>
    <n v="2"/>
    <x v="969"/>
    <n v="122"/>
    <n v="30"/>
    <n v="0"/>
    <n v="3660"/>
    <s v="A Shirts Life"/>
    <s v="Portland"/>
    <s v="Both"/>
    <x v="27"/>
    <n v="2015"/>
  </r>
  <r>
    <n v="1705"/>
    <n v="4"/>
    <n v="3"/>
    <x v="969"/>
    <n v="122"/>
    <n v="22"/>
    <n v="0"/>
    <n v="2684"/>
    <s v="Tshirt Unlimited"/>
    <s v="Phoenix"/>
    <s v="Both"/>
    <x v="27"/>
    <n v="2015"/>
  </r>
  <r>
    <n v="1706"/>
    <n v="5"/>
    <n v="6"/>
    <x v="969"/>
    <n v="82"/>
    <n v="28"/>
    <n v="0"/>
    <n v="2296"/>
    <s v="Rags to Riches"/>
    <s v="Las Vegas"/>
    <s v="Female"/>
    <x v="27"/>
    <n v="2015"/>
  </r>
  <r>
    <n v="1707"/>
    <n v="1"/>
    <n v="2"/>
    <x v="970"/>
    <n v="145"/>
    <n v="30"/>
    <n v="0"/>
    <n v="4350"/>
    <s v="Threads"/>
    <s v="Seattle"/>
    <s v="Both"/>
    <x v="14"/>
    <n v="2015"/>
  </r>
  <r>
    <n v="1708"/>
    <n v="3"/>
    <n v="9"/>
    <x v="971"/>
    <n v="109"/>
    <n v="25"/>
    <n v="0.10000000100000001"/>
    <n v="2452.4999972750002"/>
    <s v="Shirts R Us"/>
    <s v="Los Angeles"/>
    <s v="Male"/>
    <x v="15"/>
    <n v="2015"/>
  </r>
  <r>
    <n v="1709"/>
    <n v="1"/>
    <n v="10"/>
    <x v="972"/>
    <n v="93"/>
    <n v="35"/>
    <n v="0"/>
    <n v="3255"/>
    <s v="Threads"/>
    <s v="Seattle"/>
    <s v="Male"/>
    <x v="17"/>
    <n v="2015"/>
  </r>
  <r>
    <n v="1710"/>
    <n v="2"/>
    <n v="3"/>
    <x v="973"/>
    <n v="45"/>
    <n v="22"/>
    <n v="0"/>
    <n v="990"/>
    <s v="A Shirts Life"/>
    <s v="Portland"/>
    <s v="Both"/>
    <x v="18"/>
    <n v="2015"/>
  </r>
  <r>
    <n v="1711"/>
    <n v="3"/>
    <n v="10"/>
    <x v="973"/>
    <n v="105"/>
    <n v="35"/>
    <n v="0"/>
    <n v="3675"/>
    <s v="Shirts R Us"/>
    <s v="Los Angeles"/>
    <s v="Male"/>
    <x v="18"/>
    <n v="2015"/>
  </r>
  <r>
    <n v="1712"/>
    <n v="7"/>
    <n v="10"/>
    <x v="974"/>
    <n v="89"/>
    <n v="35"/>
    <n v="0"/>
    <n v="3115"/>
    <s v="The Shirt on Your Back"/>
    <s v="Bonners Ferry"/>
    <s v="Male"/>
    <x v="20"/>
    <n v="2015"/>
  </r>
  <r>
    <n v="1713"/>
    <n v="4"/>
    <n v="7"/>
    <x v="975"/>
    <n v="65"/>
    <n v="38"/>
    <n v="0.10000000100000001"/>
    <n v="2222.9999975300002"/>
    <s v="Tshirt Unlimited"/>
    <s v="Phoenix"/>
    <s v="Female"/>
    <x v="28"/>
    <n v="2015"/>
  </r>
  <r>
    <n v="1714"/>
    <n v="7"/>
    <n v="2"/>
    <x v="975"/>
    <n v="80"/>
    <n v="30"/>
    <n v="0"/>
    <n v="2400"/>
    <s v="The Shirt on Your Back"/>
    <s v="Bonners Ferry"/>
    <s v="Both"/>
    <x v="28"/>
    <n v="2015"/>
  </r>
  <r>
    <n v="1715"/>
    <n v="2"/>
    <n v="6"/>
    <x v="976"/>
    <n v="74"/>
    <n v="28"/>
    <n v="0.10000000100000001"/>
    <n v="1864.799997928"/>
    <s v="A Shirts Life"/>
    <s v="Portland"/>
    <s v="Female"/>
    <x v="0"/>
    <n v="2015"/>
  </r>
  <r>
    <n v="1716"/>
    <n v="4"/>
    <n v="3"/>
    <x v="977"/>
    <n v="139"/>
    <n v="22"/>
    <n v="0"/>
    <n v="3058"/>
    <s v="Tshirt Unlimited"/>
    <s v="Phoenix"/>
    <s v="Both"/>
    <x v="1"/>
    <n v="2015"/>
  </r>
  <r>
    <n v="1717"/>
    <n v="3"/>
    <n v="8"/>
    <x v="978"/>
    <n v="58"/>
    <n v="27"/>
    <n v="0"/>
    <n v="1566"/>
    <s v="Shirts R Us"/>
    <s v="Los Angeles"/>
    <s v="Female"/>
    <x v="2"/>
    <n v="2015"/>
  </r>
  <r>
    <n v="1718"/>
    <n v="4"/>
    <n v="7"/>
    <x v="978"/>
    <n v="32"/>
    <n v="38"/>
    <n v="0"/>
    <n v="1216"/>
    <s v="Tshirt Unlimited"/>
    <s v="Phoenix"/>
    <s v="Female"/>
    <x v="2"/>
    <n v="2015"/>
  </r>
  <r>
    <n v="1719"/>
    <n v="5"/>
    <n v="3"/>
    <x v="978"/>
    <n v="116"/>
    <n v="22"/>
    <n v="0"/>
    <n v="2552"/>
    <s v="Rags to Riches"/>
    <s v="Las Vegas"/>
    <s v="Both"/>
    <x v="2"/>
    <n v="2015"/>
  </r>
  <r>
    <n v="1720"/>
    <n v="6"/>
    <n v="5"/>
    <x v="978"/>
    <n v="68"/>
    <n v="16"/>
    <n v="0"/>
    <n v="1088"/>
    <s v="Abracadaba Ink"/>
    <s v="Salt Lake City"/>
    <s v="Female"/>
    <x v="2"/>
    <n v="2015"/>
  </r>
  <r>
    <n v="1721"/>
    <n v="4"/>
    <n v="8"/>
    <x v="979"/>
    <n v="53"/>
    <n v="27"/>
    <n v="0"/>
    <n v="1431"/>
    <s v="Tshirt Unlimited"/>
    <s v="Phoenix"/>
    <s v="Female"/>
    <x v="24"/>
    <n v="2015"/>
  </r>
  <r>
    <n v="1722"/>
    <n v="3"/>
    <n v="10"/>
    <x v="980"/>
    <n v="48"/>
    <n v="35"/>
    <n v="0"/>
    <n v="1680"/>
    <s v="Shirts R Us"/>
    <s v="Los Angeles"/>
    <s v="Male"/>
    <x v="3"/>
    <n v="2015"/>
  </r>
  <r>
    <n v="1723"/>
    <n v="5"/>
    <n v="10"/>
    <x v="980"/>
    <n v="81"/>
    <n v="35"/>
    <n v="0"/>
    <n v="2835"/>
    <s v="Rags to Riches"/>
    <s v="Las Vegas"/>
    <s v="Male"/>
    <x v="3"/>
    <n v="2015"/>
  </r>
  <r>
    <n v="1724"/>
    <n v="4"/>
    <n v="4"/>
    <x v="981"/>
    <n v="66"/>
    <n v="30"/>
    <n v="5.0000001000000002E-2"/>
    <n v="1880.99999802"/>
    <s v="Tshirt Unlimited"/>
    <s v="Phoenix"/>
    <s v="Both"/>
    <x v="5"/>
    <n v="2015"/>
  </r>
  <r>
    <n v="1725"/>
    <n v="5"/>
    <n v="2"/>
    <x v="981"/>
    <n v="56"/>
    <n v="30"/>
    <n v="0"/>
    <n v="1680"/>
    <s v="Rags to Riches"/>
    <s v="Las Vegas"/>
    <s v="Both"/>
    <x v="5"/>
    <n v="2015"/>
  </r>
  <r>
    <n v="1726"/>
    <n v="6"/>
    <n v="1"/>
    <x v="982"/>
    <n v="104"/>
    <n v="20"/>
    <n v="0"/>
    <n v="2080"/>
    <s v="Abracadaba Ink"/>
    <s v="Salt Lake City"/>
    <s v="Both"/>
    <x v="7"/>
    <n v="2015"/>
  </r>
  <r>
    <n v="1727"/>
    <n v="7"/>
    <n v="9"/>
    <x v="982"/>
    <n v="93"/>
    <n v="25"/>
    <n v="0"/>
    <n v="2325"/>
    <s v="The Shirt on Your Back"/>
    <s v="Bonners Ferry"/>
    <s v="Male"/>
    <x v="7"/>
    <n v="2015"/>
  </r>
  <r>
    <n v="1728"/>
    <n v="2"/>
    <n v="3"/>
    <x v="983"/>
    <n v="75"/>
    <n v="22"/>
    <n v="0"/>
    <n v="1650"/>
    <s v="A Shirts Life"/>
    <s v="Portland"/>
    <s v="Both"/>
    <x v="25"/>
    <n v="2015"/>
  </r>
  <r>
    <n v="1729"/>
    <n v="5"/>
    <n v="9"/>
    <x v="984"/>
    <n v="133"/>
    <n v="25"/>
    <n v="0"/>
    <n v="3325"/>
    <s v="Rags to Riches"/>
    <s v="Las Vegas"/>
    <s v="Male"/>
    <x v="8"/>
    <n v="2015"/>
  </r>
  <r>
    <n v="1730"/>
    <n v="7"/>
    <n v="1"/>
    <x v="985"/>
    <n v="132"/>
    <n v="20"/>
    <n v="0"/>
    <n v="2640"/>
    <s v="The Shirt on Your Back"/>
    <s v="Bonners Ferry"/>
    <s v="Both"/>
    <x v="10"/>
    <n v="2015"/>
  </r>
  <r>
    <n v="1731"/>
    <n v="6"/>
    <n v="4"/>
    <x v="986"/>
    <n v="70"/>
    <n v="30"/>
    <n v="0"/>
    <n v="2100"/>
    <s v="Abracadaba Ink"/>
    <s v="Salt Lake City"/>
    <s v="Both"/>
    <x v="26"/>
    <n v="2015"/>
  </r>
  <r>
    <n v="1732"/>
    <n v="6"/>
    <n v="5"/>
    <x v="986"/>
    <n v="76"/>
    <n v="16"/>
    <n v="0"/>
    <n v="1216"/>
    <s v="Abracadaba Ink"/>
    <s v="Salt Lake City"/>
    <s v="Female"/>
    <x v="26"/>
    <n v="2015"/>
  </r>
  <r>
    <n v="1733"/>
    <n v="4"/>
    <n v="9"/>
    <x v="987"/>
    <n v="117"/>
    <n v="25"/>
    <n v="0"/>
    <n v="2925"/>
    <s v="Tshirt Unlimited"/>
    <s v="Phoenix"/>
    <s v="Male"/>
    <x v="11"/>
    <n v="2015"/>
  </r>
  <r>
    <n v="1734"/>
    <n v="5"/>
    <n v="3"/>
    <x v="988"/>
    <n v="44"/>
    <n v="22"/>
    <n v="0.15000000599999999"/>
    <n v="822.79999419199999"/>
    <s v="Rags to Riches"/>
    <s v="Las Vegas"/>
    <s v="Both"/>
    <x v="13"/>
    <n v="2015"/>
  </r>
  <r>
    <n v="1735"/>
    <n v="2"/>
    <n v="9"/>
    <x v="989"/>
    <n v="57"/>
    <n v="25"/>
    <n v="0"/>
    <n v="1425"/>
    <s v="A Shirts Life"/>
    <s v="Portland"/>
    <s v="Male"/>
    <x v="27"/>
    <n v="2015"/>
  </r>
  <r>
    <n v="1736"/>
    <n v="4"/>
    <n v="10"/>
    <x v="990"/>
    <n v="37"/>
    <n v="35"/>
    <n v="0"/>
    <n v="1295"/>
    <s v="Tshirt Unlimited"/>
    <s v="Phoenix"/>
    <s v="Male"/>
    <x v="15"/>
    <n v="2015"/>
  </r>
  <r>
    <n v="1737"/>
    <n v="5"/>
    <n v="10"/>
    <x v="990"/>
    <n v="150"/>
    <n v="35"/>
    <n v="0"/>
    <n v="5250"/>
    <s v="Rags to Riches"/>
    <s v="Las Vegas"/>
    <s v="Male"/>
    <x v="15"/>
    <n v="2015"/>
  </r>
  <r>
    <n v="1738"/>
    <n v="5"/>
    <n v="2"/>
    <x v="991"/>
    <n v="110"/>
    <n v="30"/>
    <n v="0"/>
    <n v="3300"/>
    <s v="Rags to Riches"/>
    <s v="Las Vegas"/>
    <s v="Both"/>
    <x v="17"/>
    <n v="2015"/>
  </r>
  <r>
    <n v="1739"/>
    <n v="7"/>
    <n v="9"/>
    <x v="992"/>
    <n v="89"/>
    <n v="25"/>
    <n v="0"/>
    <n v="2225"/>
    <s v="The Shirt on Your Back"/>
    <s v="Bonners Ferry"/>
    <s v="Male"/>
    <x v="18"/>
    <n v="2015"/>
  </r>
  <r>
    <n v="1740"/>
    <n v="6"/>
    <n v="4"/>
    <x v="993"/>
    <n v="39"/>
    <n v="30"/>
    <n v="0"/>
    <n v="1170"/>
    <s v="Abracadaba Ink"/>
    <s v="Salt Lake City"/>
    <s v="Both"/>
    <x v="20"/>
    <n v="2015"/>
  </r>
  <r>
    <n v="1741"/>
    <n v="6"/>
    <n v="9"/>
    <x v="993"/>
    <n v="57"/>
    <n v="25"/>
    <n v="0"/>
    <n v="1425"/>
    <s v="Abracadaba Ink"/>
    <s v="Salt Lake City"/>
    <s v="Male"/>
    <x v="20"/>
    <n v="2015"/>
  </r>
  <r>
    <n v="1742"/>
    <n v="6"/>
    <n v="10"/>
    <x v="994"/>
    <n v="57"/>
    <n v="35"/>
    <n v="5.0000001000000002E-2"/>
    <n v="1895.249998005"/>
    <s v="Abracadaba Ink"/>
    <s v="Salt Lake City"/>
    <s v="Male"/>
    <x v="21"/>
    <n v="2015"/>
  </r>
  <r>
    <n v="1743"/>
    <n v="3"/>
    <n v="8"/>
    <x v="995"/>
    <n v="67"/>
    <n v="27"/>
    <n v="0.10000000100000001"/>
    <n v="1628.0999981909999"/>
    <s v="Shirts R Us"/>
    <s v="Los Angeles"/>
    <s v="Female"/>
    <x v="22"/>
    <n v="2015"/>
  </r>
  <r>
    <n v="1744"/>
    <n v="4"/>
    <n v="1"/>
    <x v="995"/>
    <n v="95"/>
    <n v="20"/>
    <n v="0.15000000599999999"/>
    <n v="1614.9999886000001"/>
    <s v="Tshirt Unlimited"/>
    <s v="Phoenix"/>
    <s v="Both"/>
    <x v="22"/>
    <n v="2015"/>
  </r>
  <r>
    <n v="1745"/>
    <n v="7"/>
    <n v="9"/>
    <x v="995"/>
    <n v="119"/>
    <n v="25"/>
    <n v="0"/>
    <n v="2975"/>
    <s v="The Shirt on Your Back"/>
    <s v="Bonners Ferry"/>
    <s v="Male"/>
    <x v="22"/>
    <n v="2015"/>
  </r>
  <r>
    <n v="1746"/>
    <n v="3"/>
    <n v="10"/>
    <x v="996"/>
    <n v="146"/>
    <n v="35"/>
    <n v="0"/>
    <n v="5110"/>
    <s v="Shirts R Us"/>
    <s v="Los Angeles"/>
    <s v="Male"/>
    <x v="29"/>
    <n v="2015"/>
  </r>
  <r>
    <n v="1747"/>
    <n v="7"/>
    <n v="10"/>
    <x v="997"/>
    <n v="127"/>
    <n v="35"/>
    <n v="0"/>
    <n v="4445"/>
    <s v="The Shirt on Your Back"/>
    <s v="Bonners Ferry"/>
    <s v="Male"/>
    <x v="0"/>
    <n v="2015"/>
  </r>
  <r>
    <n v="1748"/>
    <n v="7"/>
    <n v="10"/>
    <x v="998"/>
    <n v="111"/>
    <n v="35"/>
    <n v="0"/>
    <n v="3885"/>
    <s v="The Shirt on Your Back"/>
    <s v="Bonners Ferry"/>
    <s v="Male"/>
    <x v="2"/>
    <n v="2015"/>
  </r>
  <r>
    <n v="1749"/>
    <n v="2"/>
    <n v="1"/>
    <x v="999"/>
    <n v="139"/>
    <n v="20"/>
    <n v="0"/>
    <n v="2780"/>
    <s v="A Shirts Life"/>
    <s v="Portland"/>
    <s v="Both"/>
    <x v="24"/>
    <n v="2015"/>
  </r>
  <r>
    <n v="1750"/>
    <n v="2"/>
    <n v="4"/>
    <x v="999"/>
    <n v="130"/>
    <n v="30"/>
    <n v="0"/>
    <n v="3900"/>
    <s v="A Shirts Life"/>
    <s v="Portland"/>
    <s v="Both"/>
    <x v="24"/>
    <n v="2015"/>
  </r>
  <r>
    <n v="1751"/>
    <n v="3"/>
    <n v="7"/>
    <x v="999"/>
    <n v="134"/>
    <n v="38"/>
    <n v="0"/>
    <n v="5092"/>
    <s v="Shirts R Us"/>
    <s v="Los Angeles"/>
    <s v="Female"/>
    <x v="24"/>
    <n v="2015"/>
  </r>
  <r>
    <n v="1752"/>
    <n v="6"/>
    <n v="5"/>
    <x v="999"/>
    <n v="134"/>
    <n v="16"/>
    <n v="5.0000001000000002E-2"/>
    <n v="2036.7999978559999"/>
    <s v="Abracadaba Ink"/>
    <s v="Salt Lake City"/>
    <s v="Female"/>
    <x v="24"/>
    <n v="2015"/>
  </r>
  <r>
    <n v="1753"/>
    <n v="7"/>
    <n v="5"/>
    <x v="999"/>
    <n v="119"/>
    <n v="16"/>
    <n v="0"/>
    <n v="1904"/>
    <s v="The Shirt on Your Back"/>
    <s v="Bonners Ferry"/>
    <s v="Female"/>
    <x v="24"/>
    <n v="2015"/>
  </r>
  <r>
    <n v="1754"/>
    <n v="1"/>
    <n v="4"/>
    <x v="1000"/>
    <n v="137"/>
    <n v="30"/>
    <n v="0"/>
    <n v="4110"/>
    <s v="Threads"/>
    <s v="Seattle"/>
    <s v="Both"/>
    <x v="5"/>
    <n v="2015"/>
  </r>
  <r>
    <n v="1755"/>
    <n v="1"/>
    <n v="10"/>
    <x v="1000"/>
    <n v="111"/>
    <n v="35"/>
    <n v="0"/>
    <n v="3885"/>
    <s v="Threads"/>
    <s v="Seattle"/>
    <s v="Male"/>
    <x v="5"/>
    <n v="2015"/>
  </r>
  <r>
    <n v="1756"/>
    <n v="3"/>
    <n v="9"/>
    <x v="1001"/>
    <n v="44"/>
    <n v="25"/>
    <n v="0"/>
    <n v="1100"/>
    <s v="Shirts R Us"/>
    <s v="Los Angeles"/>
    <s v="Male"/>
    <x v="30"/>
    <n v="2015"/>
  </r>
  <r>
    <n v="1757"/>
    <n v="5"/>
    <n v="4"/>
    <x v="1001"/>
    <n v="80"/>
    <n v="30"/>
    <n v="0"/>
    <n v="2400"/>
    <s v="Rags to Riches"/>
    <s v="Las Vegas"/>
    <s v="Both"/>
    <x v="30"/>
    <n v="2015"/>
  </r>
  <r>
    <n v="1758"/>
    <n v="5"/>
    <n v="8"/>
    <x v="1001"/>
    <n v="59"/>
    <n v="27"/>
    <n v="0"/>
    <n v="1593"/>
    <s v="Rags to Riches"/>
    <s v="Las Vegas"/>
    <s v="Female"/>
    <x v="30"/>
    <n v="2015"/>
  </r>
  <r>
    <n v="1759"/>
    <n v="1"/>
    <n v="4"/>
    <x v="1002"/>
    <n v="66"/>
    <n v="30"/>
    <n v="5.0000001000000002E-2"/>
    <n v="1880.99999802"/>
    <s v="Threads"/>
    <s v="Seattle"/>
    <s v="Both"/>
    <x v="8"/>
    <n v="2015"/>
  </r>
  <r>
    <n v="1760"/>
    <n v="1"/>
    <n v="2"/>
    <x v="1003"/>
    <n v="106"/>
    <n v="30"/>
    <n v="0"/>
    <n v="3180"/>
    <s v="Threads"/>
    <s v="Seattle"/>
    <s v="Both"/>
    <x v="9"/>
    <n v="2015"/>
  </r>
  <r>
    <n v="1761"/>
    <n v="2"/>
    <n v="3"/>
    <x v="1003"/>
    <n v="144"/>
    <n v="22"/>
    <n v="0"/>
    <n v="3168"/>
    <s v="A Shirts Life"/>
    <s v="Portland"/>
    <s v="Both"/>
    <x v="9"/>
    <n v="2015"/>
  </r>
  <r>
    <n v="1762"/>
    <n v="6"/>
    <n v="1"/>
    <x v="1003"/>
    <n v="108"/>
    <n v="20"/>
    <n v="0"/>
    <n v="2160"/>
    <s v="Abracadaba Ink"/>
    <s v="Salt Lake City"/>
    <s v="Both"/>
    <x v="9"/>
    <n v="2015"/>
  </r>
  <r>
    <n v="1763"/>
    <n v="2"/>
    <n v="8"/>
    <x v="1004"/>
    <n v="84"/>
    <n v="27"/>
    <n v="0"/>
    <n v="2268"/>
    <s v="A Shirts Life"/>
    <s v="Portland"/>
    <s v="Female"/>
    <x v="11"/>
    <n v="2015"/>
  </r>
  <r>
    <n v="1764"/>
    <n v="6"/>
    <n v="2"/>
    <x v="1004"/>
    <n v="120"/>
    <n v="30"/>
    <n v="0"/>
    <n v="3600"/>
    <s v="Abracadaba Ink"/>
    <s v="Salt Lake City"/>
    <s v="Both"/>
    <x v="11"/>
    <n v="2015"/>
  </r>
  <r>
    <n v="1765"/>
    <n v="6"/>
    <n v="5"/>
    <x v="1004"/>
    <n v="117"/>
    <n v="16"/>
    <n v="0"/>
    <n v="1872"/>
    <s v="Abracadaba Ink"/>
    <s v="Salt Lake City"/>
    <s v="Female"/>
    <x v="11"/>
    <n v="2015"/>
  </r>
  <r>
    <n v="1766"/>
    <n v="3"/>
    <n v="3"/>
    <x v="1005"/>
    <n v="47"/>
    <n v="22"/>
    <n v="0"/>
    <n v="1034"/>
    <s v="Shirts R Us"/>
    <s v="Los Angeles"/>
    <s v="Both"/>
    <x v="12"/>
    <n v="2015"/>
  </r>
  <r>
    <n v="1767"/>
    <n v="4"/>
    <n v="2"/>
    <x v="1005"/>
    <n v="41"/>
    <n v="30"/>
    <n v="0"/>
    <n v="1230"/>
    <s v="Tshirt Unlimited"/>
    <s v="Phoenix"/>
    <s v="Both"/>
    <x v="12"/>
    <n v="2015"/>
  </r>
  <r>
    <n v="1768"/>
    <n v="5"/>
    <n v="10"/>
    <x v="1006"/>
    <n v="131"/>
    <n v="35"/>
    <n v="0"/>
    <n v="4585"/>
    <s v="Rags to Riches"/>
    <s v="Las Vegas"/>
    <s v="Male"/>
    <x v="13"/>
    <n v="2015"/>
  </r>
  <r>
    <n v="1769"/>
    <n v="6"/>
    <n v="3"/>
    <x v="1007"/>
    <n v="117"/>
    <n v="22"/>
    <n v="0"/>
    <n v="2574"/>
    <s v="Abracadaba Ink"/>
    <s v="Salt Lake City"/>
    <s v="Both"/>
    <x v="27"/>
    <n v="2015"/>
  </r>
  <r>
    <n v="1770"/>
    <n v="5"/>
    <n v="9"/>
    <x v="1008"/>
    <n v="89"/>
    <n v="25"/>
    <n v="0"/>
    <n v="2225"/>
    <s v="Rags to Riches"/>
    <s v="Las Vegas"/>
    <s v="Male"/>
    <x v="15"/>
    <n v="2015"/>
  </r>
  <r>
    <n v="1771"/>
    <n v="2"/>
    <n v="2"/>
    <x v="1009"/>
    <n v="142"/>
    <n v="30"/>
    <n v="0"/>
    <n v="4260"/>
    <s v="A Shirts Life"/>
    <s v="Portland"/>
    <s v="Both"/>
    <x v="16"/>
    <n v="2015"/>
  </r>
  <r>
    <n v="1772"/>
    <n v="2"/>
    <n v="10"/>
    <x v="1009"/>
    <n v="29"/>
    <n v="35"/>
    <n v="0"/>
    <n v="1015"/>
    <s v="A Shirts Life"/>
    <s v="Portland"/>
    <s v="Male"/>
    <x v="16"/>
    <n v="2015"/>
  </r>
  <r>
    <n v="1773"/>
    <n v="6"/>
    <n v="7"/>
    <x v="1009"/>
    <n v="119"/>
    <n v="38"/>
    <n v="0"/>
    <n v="4522"/>
    <s v="Abracadaba Ink"/>
    <s v="Salt Lake City"/>
    <s v="Female"/>
    <x v="16"/>
    <n v="2015"/>
  </r>
  <r>
    <n v="1774"/>
    <n v="6"/>
    <n v="8"/>
    <x v="1009"/>
    <n v="30"/>
    <n v="27"/>
    <n v="5.0000001000000002E-2"/>
    <n v="769.49999919000004"/>
    <s v="Abracadaba Ink"/>
    <s v="Salt Lake City"/>
    <s v="Female"/>
    <x v="16"/>
    <n v="2015"/>
  </r>
  <r>
    <n v="1775"/>
    <n v="2"/>
    <n v="2"/>
    <x v="1010"/>
    <n v="63"/>
    <n v="30"/>
    <n v="0.15000000599999999"/>
    <n v="1606.4999886600001"/>
    <s v="A Shirts Life"/>
    <s v="Portland"/>
    <s v="Both"/>
    <x v="17"/>
    <n v="2015"/>
  </r>
  <r>
    <n v="1776"/>
    <n v="1"/>
    <n v="7"/>
    <x v="1011"/>
    <n v="28"/>
    <n v="38"/>
    <n v="0"/>
    <n v="1064"/>
    <s v="Threads"/>
    <s v="Seattle"/>
    <s v="Female"/>
    <x v="18"/>
    <n v="2015"/>
  </r>
  <r>
    <n v="1777"/>
    <n v="3"/>
    <n v="9"/>
    <x v="1011"/>
    <n v="74"/>
    <n v="25"/>
    <n v="0"/>
    <n v="1850"/>
    <s v="Shirts R Us"/>
    <s v="Los Angeles"/>
    <s v="Male"/>
    <x v="18"/>
    <n v="2015"/>
  </r>
  <r>
    <n v="1778"/>
    <n v="7"/>
    <n v="4"/>
    <x v="1011"/>
    <n v="87"/>
    <n v="30"/>
    <n v="0"/>
    <n v="2610"/>
    <s v="The Shirt on Your Back"/>
    <s v="Bonners Ferry"/>
    <s v="Both"/>
    <x v="18"/>
    <n v="2015"/>
  </r>
  <r>
    <n v="1779"/>
    <n v="3"/>
    <n v="10"/>
    <x v="1012"/>
    <n v="75"/>
    <n v="35"/>
    <n v="5.0000001000000002E-2"/>
    <n v="2493.749997375"/>
    <s v="Shirts R Us"/>
    <s v="Los Angeles"/>
    <s v="Male"/>
    <x v="19"/>
    <n v="2015"/>
  </r>
  <r>
    <n v="1780"/>
    <n v="5"/>
    <n v="6"/>
    <x v="1012"/>
    <n v="104"/>
    <n v="28"/>
    <n v="0"/>
    <n v="2912"/>
    <s v="Rags to Riches"/>
    <s v="Las Vegas"/>
    <s v="Female"/>
    <x v="19"/>
    <n v="2015"/>
  </r>
  <r>
    <n v="1781"/>
    <n v="5"/>
    <n v="1"/>
    <x v="1013"/>
    <n v="114"/>
    <n v="20"/>
    <n v="0"/>
    <n v="2280"/>
    <s v="Rags to Riches"/>
    <s v="Las Vegas"/>
    <s v="Both"/>
    <x v="21"/>
    <n v="2015"/>
  </r>
  <r>
    <n v="1782"/>
    <n v="6"/>
    <n v="7"/>
    <x v="1014"/>
    <n v="84"/>
    <n v="38"/>
    <n v="0.10000000100000001"/>
    <n v="2872.7999968079998"/>
    <s v="Abracadaba Ink"/>
    <s v="Salt Lake City"/>
    <s v="Female"/>
    <x v="28"/>
    <n v="2015"/>
  </r>
  <r>
    <n v="1783"/>
    <n v="7"/>
    <n v="8"/>
    <x v="1014"/>
    <n v="55"/>
    <n v="27"/>
    <n v="0"/>
    <n v="1485"/>
    <s v="The Shirt on Your Back"/>
    <s v="Bonners Ferry"/>
    <s v="Female"/>
    <x v="28"/>
    <n v="2015"/>
  </r>
  <r>
    <n v="1784"/>
    <n v="4"/>
    <n v="2"/>
    <x v="1015"/>
    <n v="77"/>
    <n v="30"/>
    <n v="0"/>
    <n v="2310"/>
    <s v="Tshirt Unlimited"/>
    <s v="Phoenix"/>
    <s v="Both"/>
    <x v="0"/>
    <n v="2015"/>
  </r>
  <r>
    <n v="1785"/>
    <n v="5"/>
    <n v="2"/>
    <x v="1016"/>
    <n v="51"/>
    <n v="30"/>
    <n v="0"/>
    <n v="1530"/>
    <s v="Rags to Riches"/>
    <s v="Las Vegas"/>
    <s v="Both"/>
    <x v="23"/>
    <n v="2015"/>
  </r>
  <r>
    <n v="1786"/>
    <n v="6"/>
    <n v="7"/>
    <x v="1017"/>
    <n v="98"/>
    <n v="38"/>
    <n v="5.0000001000000002E-2"/>
    <n v="3537.799996276"/>
    <s v="Abracadaba Ink"/>
    <s v="Salt Lake City"/>
    <s v="Female"/>
    <x v="2"/>
    <n v="2015"/>
  </r>
  <r>
    <n v="1787"/>
    <n v="3"/>
    <n v="4"/>
    <x v="1018"/>
    <n v="65"/>
    <n v="30"/>
    <n v="0"/>
    <n v="1950"/>
    <s v="Shirts R Us"/>
    <s v="Los Angeles"/>
    <s v="Both"/>
    <x v="3"/>
    <n v="2015"/>
  </r>
  <r>
    <n v="1788"/>
    <n v="5"/>
    <n v="7"/>
    <x v="1018"/>
    <n v="53"/>
    <n v="38"/>
    <n v="0"/>
    <n v="2014"/>
    <s v="Rags to Riches"/>
    <s v="Las Vegas"/>
    <s v="Female"/>
    <x v="3"/>
    <n v="2015"/>
  </r>
  <r>
    <n v="1789"/>
    <n v="1"/>
    <n v="5"/>
    <x v="1019"/>
    <n v="48"/>
    <n v="16"/>
    <n v="0"/>
    <n v="768"/>
    <s v="Threads"/>
    <s v="Seattle"/>
    <s v="Female"/>
    <x v="4"/>
    <n v="2015"/>
  </r>
  <r>
    <n v="1790"/>
    <n v="7"/>
    <n v="8"/>
    <x v="1019"/>
    <n v="79"/>
    <n v="27"/>
    <n v="0"/>
    <n v="2133"/>
    <s v="The Shirt on Your Back"/>
    <s v="Bonners Ferry"/>
    <s v="Female"/>
    <x v="4"/>
    <n v="2015"/>
  </r>
  <r>
    <n v="1791"/>
    <n v="4"/>
    <n v="4"/>
    <x v="1020"/>
    <n v="101"/>
    <n v="30"/>
    <n v="5.0000001000000002E-2"/>
    <n v="2878.4999969700002"/>
    <s v="Tshirt Unlimited"/>
    <s v="Phoenix"/>
    <s v="Both"/>
    <x v="6"/>
    <n v="2015"/>
  </r>
  <r>
    <n v="1792"/>
    <n v="3"/>
    <n v="5"/>
    <x v="1021"/>
    <n v="101"/>
    <n v="16"/>
    <n v="0"/>
    <n v="1616"/>
    <s v="Shirts R Us"/>
    <s v="Los Angeles"/>
    <s v="Female"/>
    <x v="30"/>
    <n v="2015"/>
  </r>
  <r>
    <n v="1793"/>
    <n v="7"/>
    <n v="9"/>
    <x v="1021"/>
    <n v="49"/>
    <n v="25"/>
    <n v="0.10000000100000001"/>
    <n v="1102.499998775"/>
    <s v="The Shirt on Your Back"/>
    <s v="Bonners Ferry"/>
    <s v="Male"/>
    <x v="30"/>
    <n v="2015"/>
  </r>
  <r>
    <n v="1794"/>
    <n v="4"/>
    <n v="5"/>
    <x v="1022"/>
    <n v="128"/>
    <n v="16"/>
    <n v="0"/>
    <n v="2048"/>
    <s v="Tshirt Unlimited"/>
    <s v="Phoenix"/>
    <s v="Female"/>
    <x v="7"/>
    <n v="2015"/>
  </r>
  <r>
    <n v="1795"/>
    <n v="4"/>
    <n v="8"/>
    <x v="1022"/>
    <n v="148"/>
    <n v="27"/>
    <n v="0"/>
    <n v="3996"/>
    <s v="Tshirt Unlimited"/>
    <s v="Phoenix"/>
    <s v="Female"/>
    <x v="7"/>
    <n v="2015"/>
  </r>
  <r>
    <n v="1796"/>
    <n v="5"/>
    <n v="1"/>
    <x v="1023"/>
    <n v="51"/>
    <n v="20"/>
    <n v="0"/>
    <n v="1020"/>
    <s v="Rags to Riches"/>
    <s v="Las Vegas"/>
    <s v="Both"/>
    <x v="25"/>
    <n v="2015"/>
  </r>
  <r>
    <n v="1797"/>
    <n v="3"/>
    <n v="3"/>
    <x v="1024"/>
    <n v="89"/>
    <n v="22"/>
    <n v="0.10000000100000001"/>
    <n v="1762.1999980420001"/>
    <s v="Shirts R Us"/>
    <s v="Los Angeles"/>
    <s v="Both"/>
    <x v="9"/>
    <n v="2015"/>
  </r>
  <r>
    <n v="1798"/>
    <n v="3"/>
    <n v="10"/>
    <x v="1025"/>
    <n v="42"/>
    <n v="35"/>
    <n v="0"/>
    <n v="1470"/>
    <s v="Shirts R Us"/>
    <s v="Los Angeles"/>
    <s v="Male"/>
    <x v="26"/>
    <n v="2015"/>
  </r>
  <r>
    <n v="1799"/>
    <n v="7"/>
    <n v="5"/>
    <x v="1026"/>
    <n v="75"/>
    <n v="16"/>
    <n v="5.0000001000000002E-2"/>
    <n v="1139.9999988"/>
    <s v="The Shirt on Your Back"/>
    <s v="Bonners Ferry"/>
    <s v="Female"/>
    <x v="11"/>
    <n v="2015"/>
  </r>
  <r>
    <n v="1800"/>
    <n v="4"/>
    <n v="6"/>
    <x v="1027"/>
    <n v="144"/>
    <n v="28"/>
    <n v="0"/>
    <n v="4032"/>
    <s v="Tshirt Unlimited"/>
    <s v="Phoenix"/>
    <s v="Female"/>
    <x v="12"/>
    <n v="2015"/>
  </r>
  <r>
    <n v="1801"/>
    <n v="5"/>
    <n v="6"/>
    <x v="1027"/>
    <n v="106"/>
    <n v="28"/>
    <n v="0"/>
    <n v="2968"/>
    <s v="Rags to Riches"/>
    <s v="Las Vegas"/>
    <s v="Female"/>
    <x v="12"/>
    <n v="2015"/>
  </r>
  <r>
    <n v="1802"/>
    <n v="3"/>
    <n v="5"/>
    <x v="1028"/>
    <n v="90"/>
    <n v="16"/>
    <n v="5.0000001000000002E-2"/>
    <n v="1367.99999856"/>
    <s v="Shirts R Us"/>
    <s v="Los Angeles"/>
    <s v="Female"/>
    <x v="13"/>
    <n v="2015"/>
  </r>
  <r>
    <n v="1803"/>
    <n v="5"/>
    <n v="2"/>
    <x v="1028"/>
    <n v="101"/>
    <n v="30"/>
    <n v="0"/>
    <n v="3030"/>
    <s v="Rags to Riches"/>
    <s v="Las Vegas"/>
    <s v="Both"/>
    <x v="13"/>
    <n v="2015"/>
  </r>
  <r>
    <n v="1804"/>
    <n v="1"/>
    <n v="2"/>
    <x v="1029"/>
    <n v="80"/>
    <n v="30"/>
    <n v="0"/>
    <n v="2400"/>
    <s v="Threads"/>
    <s v="Seattle"/>
    <s v="Both"/>
    <x v="27"/>
    <n v="2015"/>
  </r>
  <r>
    <n v="1805"/>
    <n v="2"/>
    <n v="1"/>
    <x v="1029"/>
    <n v="57"/>
    <n v="20"/>
    <n v="0"/>
    <n v="1140"/>
    <s v="A Shirts Life"/>
    <s v="Portland"/>
    <s v="Both"/>
    <x v="27"/>
    <n v="2015"/>
  </r>
  <r>
    <n v="1806"/>
    <n v="2"/>
    <n v="7"/>
    <x v="1029"/>
    <n v="55"/>
    <n v="38"/>
    <n v="0"/>
    <n v="2090"/>
    <s v="A Shirts Life"/>
    <s v="Portland"/>
    <s v="Female"/>
    <x v="27"/>
    <n v="2015"/>
  </r>
  <r>
    <n v="1807"/>
    <n v="2"/>
    <n v="10"/>
    <x v="1029"/>
    <n v="111"/>
    <n v="35"/>
    <n v="5.0000001000000002E-2"/>
    <n v="3690.7499961150002"/>
    <s v="A Shirts Life"/>
    <s v="Portland"/>
    <s v="Male"/>
    <x v="27"/>
    <n v="2015"/>
  </r>
  <r>
    <n v="1808"/>
    <n v="3"/>
    <n v="4"/>
    <x v="1029"/>
    <n v="102"/>
    <n v="30"/>
    <n v="0"/>
    <n v="3060"/>
    <s v="Shirts R Us"/>
    <s v="Los Angeles"/>
    <s v="Both"/>
    <x v="27"/>
    <n v="2015"/>
  </r>
  <r>
    <n v="1809"/>
    <n v="5"/>
    <n v="3"/>
    <x v="1029"/>
    <n v="83"/>
    <n v="22"/>
    <n v="5.0000001000000002E-2"/>
    <n v="1734.699998174"/>
    <s v="Rags to Riches"/>
    <s v="Las Vegas"/>
    <s v="Both"/>
    <x v="27"/>
    <n v="2015"/>
  </r>
  <r>
    <n v="1810"/>
    <n v="1"/>
    <n v="6"/>
    <x v="1030"/>
    <n v="67"/>
    <n v="28"/>
    <n v="0"/>
    <n v="1876"/>
    <s v="Threads"/>
    <s v="Seattle"/>
    <s v="Female"/>
    <x v="15"/>
    <n v="2015"/>
  </r>
  <r>
    <n v="1811"/>
    <n v="4"/>
    <n v="6"/>
    <x v="1031"/>
    <n v="70"/>
    <n v="28"/>
    <n v="5.0000001000000002E-2"/>
    <n v="1861.99999804"/>
    <s v="Tshirt Unlimited"/>
    <s v="Phoenix"/>
    <s v="Female"/>
    <x v="16"/>
    <n v="2015"/>
  </r>
  <r>
    <n v="1812"/>
    <n v="5"/>
    <n v="6"/>
    <x v="1031"/>
    <n v="97"/>
    <n v="28"/>
    <n v="0"/>
    <n v="2716"/>
    <s v="Rags to Riches"/>
    <s v="Las Vegas"/>
    <s v="Female"/>
    <x v="16"/>
    <n v="2015"/>
  </r>
  <r>
    <n v="1813"/>
    <n v="7"/>
    <n v="4"/>
    <x v="1032"/>
    <n v="66"/>
    <n v="30"/>
    <n v="0"/>
    <n v="1980"/>
    <s v="The Shirt on Your Back"/>
    <s v="Bonners Ferry"/>
    <s v="Both"/>
    <x v="18"/>
    <n v="2015"/>
  </r>
  <r>
    <n v="1814"/>
    <n v="7"/>
    <n v="8"/>
    <x v="1032"/>
    <n v="104"/>
    <n v="27"/>
    <n v="0"/>
    <n v="2808"/>
    <s v="The Shirt on Your Back"/>
    <s v="Bonners Ferry"/>
    <s v="Female"/>
    <x v="18"/>
    <n v="2015"/>
  </r>
  <r>
    <n v="1815"/>
    <n v="3"/>
    <n v="10"/>
    <x v="1033"/>
    <n v="49"/>
    <n v="35"/>
    <n v="0"/>
    <n v="1715"/>
    <s v="Shirts R Us"/>
    <s v="Los Angeles"/>
    <s v="Male"/>
    <x v="20"/>
    <n v="2015"/>
  </r>
  <r>
    <n v="1816"/>
    <n v="4"/>
    <n v="9"/>
    <x v="1034"/>
    <n v="125"/>
    <n v="25"/>
    <n v="0"/>
    <n v="3125"/>
    <s v="Tshirt Unlimited"/>
    <s v="Phoenix"/>
    <s v="Male"/>
    <x v="28"/>
    <n v="2016"/>
  </r>
  <r>
    <n v="1817"/>
    <n v="6"/>
    <n v="4"/>
    <x v="1035"/>
    <n v="122"/>
    <n v="30"/>
    <n v="0"/>
    <n v="3660"/>
    <s v="Abracadaba Ink"/>
    <s v="Salt Lake City"/>
    <s v="Both"/>
    <x v="1"/>
    <n v="2016"/>
  </r>
  <r>
    <n v="1818"/>
    <n v="7"/>
    <n v="8"/>
    <x v="1035"/>
    <n v="78"/>
    <n v="27"/>
    <n v="5.0000001000000002E-2"/>
    <n v="2000.699997894"/>
    <s v="The Shirt on Your Back"/>
    <s v="Bonners Ferry"/>
    <s v="Female"/>
    <x v="1"/>
    <n v="2016"/>
  </r>
  <r>
    <n v="1819"/>
    <n v="1"/>
    <n v="1"/>
    <x v="1036"/>
    <n v="27"/>
    <n v="20"/>
    <n v="0"/>
    <n v="540"/>
    <s v="Threads"/>
    <s v="Seattle"/>
    <s v="Both"/>
    <x v="23"/>
    <n v="2016"/>
  </r>
  <r>
    <n v="1820"/>
    <n v="3"/>
    <n v="7"/>
    <x v="1036"/>
    <n v="144"/>
    <n v="38"/>
    <n v="0"/>
    <n v="5472"/>
    <s v="Shirts R Us"/>
    <s v="Los Angeles"/>
    <s v="Female"/>
    <x v="23"/>
    <n v="2016"/>
  </r>
  <r>
    <n v="1821"/>
    <n v="4"/>
    <n v="7"/>
    <x v="1036"/>
    <n v="29"/>
    <n v="38"/>
    <n v="0"/>
    <n v="1102"/>
    <s v="Tshirt Unlimited"/>
    <s v="Phoenix"/>
    <s v="Female"/>
    <x v="23"/>
    <n v="2016"/>
  </r>
  <r>
    <n v="1822"/>
    <n v="4"/>
    <n v="8"/>
    <x v="1037"/>
    <n v="38"/>
    <n v="27"/>
    <n v="0.10000000100000001"/>
    <n v="923.39999897400003"/>
    <s v="Tshirt Unlimited"/>
    <s v="Phoenix"/>
    <s v="Female"/>
    <x v="3"/>
    <n v="2016"/>
  </r>
  <r>
    <n v="1823"/>
    <n v="5"/>
    <n v="2"/>
    <x v="1037"/>
    <n v="69"/>
    <n v="30"/>
    <n v="0"/>
    <n v="2070"/>
    <s v="Rags to Riches"/>
    <s v="Las Vegas"/>
    <s v="Both"/>
    <x v="3"/>
    <n v="2016"/>
  </r>
  <r>
    <n v="1824"/>
    <n v="4"/>
    <n v="6"/>
    <x v="1038"/>
    <n v="54"/>
    <n v="28"/>
    <n v="0"/>
    <n v="1512"/>
    <s v="Tshirt Unlimited"/>
    <s v="Phoenix"/>
    <s v="Female"/>
    <x v="4"/>
    <n v="2016"/>
  </r>
  <r>
    <n v="1825"/>
    <n v="3"/>
    <n v="9"/>
    <x v="1039"/>
    <n v="65"/>
    <n v="25"/>
    <n v="0"/>
    <n v="1625"/>
    <s v="Shirts R Us"/>
    <s v="Los Angeles"/>
    <s v="Male"/>
    <x v="5"/>
    <n v="2016"/>
  </r>
  <r>
    <n v="1826"/>
    <n v="2"/>
    <n v="4"/>
    <x v="1040"/>
    <n v="66"/>
    <n v="30"/>
    <n v="0"/>
    <n v="1980"/>
    <s v="A Shirts Life"/>
    <s v="Portland"/>
    <s v="Both"/>
    <x v="6"/>
    <n v="2016"/>
  </r>
  <r>
    <n v="1827"/>
    <n v="4"/>
    <n v="2"/>
    <x v="1040"/>
    <n v="67"/>
    <n v="30"/>
    <n v="0"/>
    <n v="2010"/>
    <s v="Tshirt Unlimited"/>
    <s v="Phoenix"/>
    <s v="Both"/>
    <x v="6"/>
    <n v="2016"/>
  </r>
  <r>
    <n v="1828"/>
    <n v="1"/>
    <n v="8"/>
    <x v="1041"/>
    <n v="125"/>
    <n v="27"/>
    <n v="0"/>
    <n v="3375"/>
    <s v="Threads"/>
    <s v="Seattle"/>
    <s v="Female"/>
    <x v="30"/>
    <n v="2016"/>
  </r>
  <r>
    <n v="1829"/>
    <n v="1"/>
    <n v="7"/>
    <x v="1042"/>
    <n v="148"/>
    <n v="38"/>
    <n v="0"/>
    <n v="5624"/>
    <s v="Threads"/>
    <s v="Seattle"/>
    <s v="Female"/>
    <x v="7"/>
    <n v="2016"/>
  </r>
  <r>
    <n v="1830"/>
    <n v="2"/>
    <n v="8"/>
    <x v="1042"/>
    <n v="62"/>
    <n v="27"/>
    <n v="0"/>
    <n v="1674"/>
    <s v="A Shirts Life"/>
    <s v="Portland"/>
    <s v="Female"/>
    <x v="7"/>
    <n v="2016"/>
  </r>
  <r>
    <n v="1831"/>
    <n v="3"/>
    <n v="6"/>
    <x v="1042"/>
    <n v="31"/>
    <n v="28"/>
    <n v="0"/>
    <n v="868"/>
    <s v="Shirts R Us"/>
    <s v="Los Angeles"/>
    <s v="Female"/>
    <x v="7"/>
    <n v="2016"/>
  </r>
  <r>
    <n v="1832"/>
    <n v="4"/>
    <n v="9"/>
    <x v="1043"/>
    <n v="39"/>
    <n v="25"/>
    <n v="0.10000000100000001"/>
    <n v="877.49999902499997"/>
    <s v="Tshirt Unlimited"/>
    <s v="Phoenix"/>
    <s v="Male"/>
    <x v="8"/>
    <n v="2016"/>
  </r>
  <r>
    <n v="1833"/>
    <n v="7"/>
    <n v="4"/>
    <x v="1043"/>
    <n v="117"/>
    <n v="30"/>
    <n v="0"/>
    <n v="3510"/>
    <s v="The Shirt on Your Back"/>
    <s v="Bonners Ferry"/>
    <s v="Both"/>
    <x v="8"/>
    <n v="2016"/>
  </r>
  <r>
    <n v="1834"/>
    <n v="5"/>
    <n v="6"/>
    <x v="1044"/>
    <n v="41"/>
    <n v="28"/>
    <n v="5.0000001000000002E-2"/>
    <n v="1090.599998852"/>
    <s v="Rags to Riches"/>
    <s v="Las Vegas"/>
    <s v="Female"/>
    <x v="9"/>
    <n v="2016"/>
  </r>
  <r>
    <n v="1835"/>
    <n v="7"/>
    <n v="5"/>
    <x v="1044"/>
    <n v="128"/>
    <n v="16"/>
    <n v="0"/>
    <n v="2048"/>
    <s v="The Shirt on Your Back"/>
    <s v="Bonners Ferry"/>
    <s v="Female"/>
    <x v="9"/>
    <n v="2016"/>
  </r>
  <r>
    <n v="1836"/>
    <n v="2"/>
    <n v="2"/>
    <x v="1045"/>
    <n v="147"/>
    <n v="30"/>
    <n v="0"/>
    <n v="4410"/>
    <s v="A Shirts Life"/>
    <s v="Portland"/>
    <s v="Both"/>
    <x v="11"/>
    <n v="2016"/>
  </r>
  <r>
    <n v="1837"/>
    <n v="4"/>
    <n v="3"/>
    <x v="1046"/>
    <n v="143"/>
    <n v="22"/>
    <n v="0"/>
    <n v="3146"/>
    <s v="Tshirt Unlimited"/>
    <s v="Phoenix"/>
    <s v="Both"/>
    <x v="12"/>
    <n v="2016"/>
  </r>
  <r>
    <n v="1838"/>
    <n v="2"/>
    <n v="1"/>
    <x v="1047"/>
    <n v="131"/>
    <n v="20"/>
    <n v="0"/>
    <n v="2620"/>
    <s v="A Shirts Life"/>
    <s v="Portland"/>
    <s v="Both"/>
    <x v="13"/>
    <n v="2016"/>
  </r>
  <r>
    <n v="1839"/>
    <n v="3"/>
    <n v="1"/>
    <x v="1047"/>
    <n v="33"/>
    <n v="20"/>
    <n v="0"/>
    <n v="660"/>
    <s v="Shirts R Us"/>
    <s v="Los Angeles"/>
    <s v="Both"/>
    <x v="13"/>
    <n v="2016"/>
  </r>
  <r>
    <n v="1840"/>
    <n v="5"/>
    <n v="6"/>
    <x v="1047"/>
    <n v="100"/>
    <n v="28"/>
    <n v="0"/>
    <n v="2800"/>
    <s v="Rags to Riches"/>
    <s v="Las Vegas"/>
    <s v="Female"/>
    <x v="13"/>
    <n v="2016"/>
  </r>
  <r>
    <n v="1841"/>
    <n v="2"/>
    <n v="10"/>
    <x v="1048"/>
    <n v="33"/>
    <n v="35"/>
    <n v="0"/>
    <n v="1155"/>
    <s v="A Shirts Life"/>
    <s v="Portland"/>
    <s v="Male"/>
    <x v="14"/>
    <n v="2016"/>
  </r>
  <r>
    <n v="1842"/>
    <n v="5"/>
    <n v="3"/>
    <x v="1048"/>
    <n v="78"/>
    <n v="22"/>
    <n v="0"/>
    <n v="1716"/>
    <s v="Rags to Riches"/>
    <s v="Las Vegas"/>
    <s v="Both"/>
    <x v="14"/>
    <n v="2016"/>
  </r>
  <r>
    <n v="1843"/>
    <n v="5"/>
    <n v="10"/>
    <x v="1048"/>
    <n v="120"/>
    <n v="35"/>
    <n v="0"/>
    <n v="4200"/>
    <s v="Rags to Riches"/>
    <s v="Las Vegas"/>
    <s v="Male"/>
    <x v="14"/>
    <n v="2016"/>
  </r>
  <r>
    <n v="1844"/>
    <n v="2"/>
    <n v="3"/>
    <x v="1049"/>
    <n v="85"/>
    <n v="22"/>
    <n v="0"/>
    <n v="1870"/>
    <s v="A Shirts Life"/>
    <s v="Portland"/>
    <s v="Both"/>
    <x v="16"/>
    <n v="2016"/>
  </r>
  <r>
    <n v="1845"/>
    <n v="7"/>
    <n v="8"/>
    <x v="1049"/>
    <n v="114"/>
    <n v="27"/>
    <n v="0"/>
    <n v="3078"/>
    <s v="The Shirt on Your Back"/>
    <s v="Bonners Ferry"/>
    <s v="Female"/>
    <x v="16"/>
    <n v="2016"/>
  </r>
  <r>
    <n v="1846"/>
    <n v="1"/>
    <n v="9"/>
    <x v="1050"/>
    <n v="149"/>
    <n v="25"/>
    <n v="0"/>
    <n v="3725"/>
    <s v="Threads"/>
    <s v="Seattle"/>
    <s v="Male"/>
    <x v="17"/>
    <n v="2016"/>
  </r>
  <r>
    <n v="1847"/>
    <n v="2"/>
    <n v="8"/>
    <x v="1050"/>
    <n v="98"/>
    <n v="27"/>
    <n v="0"/>
    <n v="2646"/>
    <s v="A Shirts Life"/>
    <s v="Portland"/>
    <s v="Female"/>
    <x v="17"/>
    <n v="2016"/>
  </r>
  <r>
    <n v="1848"/>
    <n v="3"/>
    <n v="4"/>
    <x v="1050"/>
    <n v="114"/>
    <n v="30"/>
    <n v="0"/>
    <n v="3420"/>
    <s v="Shirts R Us"/>
    <s v="Los Angeles"/>
    <s v="Both"/>
    <x v="17"/>
    <n v="2016"/>
  </r>
  <r>
    <n v="1849"/>
    <n v="4"/>
    <n v="4"/>
    <x v="1051"/>
    <n v="77"/>
    <n v="30"/>
    <n v="0"/>
    <n v="2310"/>
    <s v="Tshirt Unlimited"/>
    <s v="Phoenix"/>
    <s v="Both"/>
    <x v="18"/>
    <n v="2016"/>
  </r>
  <r>
    <n v="1850"/>
    <n v="7"/>
    <n v="1"/>
    <x v="1051"/>
    <n v="46"/>
    <n v="20"/>
    <n v="0"/>
    <n v="920"/>
    <s v="The Shirt on Your Back"/>
    <s v="Bonners Ferry"/>
    <s v="Both"/>
    <x v="18"/>
    <n v="2016"/>
  </r>
  <r>
    <n v="1851"/>
    <n v="1"/>
    <n v="1"/>
    <x v="1052"/>
    <n v="68"/>
    <n v="20"/>
    <n v="0"/>
    <n v="1360"/>
    <s v="Threads"/>
    <s v="Seattle"/>
    <s v="Both"/>
    <x v="19"/>
    <n v="2016"/>
  </r>
  <r>
    <n v="1852"/>
    <n v="1"/>
    <n v="7"/>
    <x v="1053"/>
    <n v="63"/>
    <n v="38"/>
    <n v="0"/>
    <n v="2394"/>
    <s v="Threads"/>
    <s v="Seattle"/>
    <s v="Female"/>
    <x v="20"/>
    <n v="2016"/>
  </r>
  <r>
    <n v="1853"/>
    <n v="3"/>
    <n v="5"/>
    <x v="1053"/>
    <n v="78"/>
    <n v="16"/>
    <n v="5.0000001000000002E-2"/>
    <n v="1185.5999987519999"/>
    <s v="Shirts R Us"/>
    <s v="Los Angeles"/>
    <s v="Female"/>
    <x v="20"/>
    <n v="2016"/>
  </r>
  <r>
    <n v="1854"/>
    <n v="5"/>
    <n v="2"/>
    <x v="1054"/>
    <n v="117"/>
    <n v="30"/>
    <n v="5.0000001000000002E-2"/>
    <n v="3334.4999964899998"/>
    <s v="Rags to Riches"/>
    <s v="Las Vegas"/>
    <s v="Both"/>
    <x v="21"/>
    <n v="2016"/>
  </r>
  <r>
    <n v="1855"/>
    <n v="6"/>
    <n v="1"/>
    <x v="1054"/>
    <n v="84"/>
    <n v="20"/>
    <n v="0"/>
    <n v="1680"/>
    <s v="Abracadaba Ink"/>
    <s v="Salt Lake City"/>
    <s v="Both"/>
    <x v="21"/>
    <n v="2016"/>
  </r>
  <r>
    <n v="1856"/>
    <n v="1"/>
    <n v="2"/>
    <x v="1055"/>
    <n v="144"/>
    <n v="30"/>
    <n v="0"/>
    <n v="4320"/>
    <s v="Threads"/>
    <s v="Seattle"/>
    <s v="Both"/>
    <x v="22"/>
    <n v="2016"/>
  </r>
  <r>
    <n v="1857"/>
    <n v="4"/>
    <n v="6"/>
    <x v="1055"/>
    <n v="112"/>
    <n v="28"/>
    <n v="0"/>
    <n v="3136"/>
    <s v="Tshirt Unlimited"/>
    <s v="Phoenix"/>
    <s v="Female"/>
    <x v="22"/>
    <n v="2016"/>
  </r>
  <r>
    <n v="1858"/>
    <n v="1"/>
    <n v="5"/>
    <x v="1056"/>
    <n v="91"/>
    <n v="16"/>
    <n v="0"/>
    <n v="1456"/>
    <s v="Threads"/>
    <s v="Seattle"/>
    <s v="Female"/>
    <x v="29"/>
    <n v="2016"/>
  </r>
  <r>
    <n v="1859"/>
    <n v="2"/>
    <n v="2"/>
    <x v="1056"/>
    <n v="50"/>
    <n v="30"/>
    <n v="0"/>
    <n v="1500"/>
    <s v="A Shirts Life"/>
    <s v="Portland"/>
    <s v="Both"/>
    <x v="29"/>
    <n v="2016"/>
  </r>
  <r>
    <n v="1860"/>
    <n v="1"/>
    <n v="8"/>
    <x v="1057"/>
    <n v="143"/>
    <n v="27"/>
    <n v="0"/>
    <n v="3861"/>
    <s v="Threads"/>
    <s v="Seattle"/>
    <s v="Female"/>
    <x v="0"/>
    <n v="2016"/>
  </r>
  <r>
    <n v="1861"/>
    <n v="6"/>
    <n v="10"/>
    <x v="1057"/>
    <n v="64"/>
    <n v="35"/>
    <n v="0"/>
    <n v="2240"/>
    <s v="Abracadaba Ink"/>
    <s v="Salt Lake City"/>
    <s v="Male"/>
    <x v="0"/>
    <n v="2016"/>
  </r>
  <r>
    <n v="1862"/>
    <n v="6"/>
    <n v="7"/>
    <x v="1058"/>
    <n v="33"/>
    <n v="38"/>
    <n v="0"/>
    <n v="1254"/>
    <s v="Abracadaba Ink"/>
    <s v="Salt Lake City"/>
    <s v="Female"/>
    <x v="1"/>
    <n v="2016"/>
  </r>
  <r>
    <n v="1863"/>
    <n v="4"/>
    <n v="2"/>
    <x v="1059"/>
    <n v="38"/>
    <n v="30"/>
    <n v="0"/>
    <n v="1140"/>
    <s v="Tshirt Unlimited"/>
    <s v="Phoenix"/>
    <s v="Both"/>
    <x v="2"/>
    <n v="2016"/>
  </r>
  <r>
    <n v="1864"/>
    <n v="7"/>
    <n v="3"/>
    <x v="1060"/>
    <n v="145"/>
    <n v="22"/>
    <n v="0"/>
    <n v="3190"/>
    <s v="The Shirt on Your Back"/>
    <s v="Bonners Ferry"/>
    <s v="Both"/>
    <x v="3"/>
    <n v="2016"/>
  </r>
  <r>
    <n v="1865"/>
    <n v="6"/>
    <n v="3"/>
    <x v="1061"/>
    <n v="123"/>
    <n v="22"/>
    <n v="0"/>
    <n v="2706"/>
    <s v="Abracadaba Ink"/>
    <s v="Salt Lake City"/>
    <s v="Both"/>
    <x v="4"/>
    <n v="2016"/>
  </r>
  <r>
    <n v="1866"/>
    <n v="2"/>
    <n v="9"/>
    <x v="1062"/>
    <n v="31"/>
    <n v="25"/>
    <n v="0.10000000100000001"/>
    <n v="697.49999922500001"/>
    <s v="A Shirts Life"/>
    <s v="Portland"/>
    <s v="Male"/>
    <x v="30"/>
    <n v="2016"/>
  </r>
  <r>
    <n v="1867"/>
    <n v="5"/>
    <n v="2"/>
    <x v="1062"/>
    <n v="144"/>
    <n v="30"/>
    <n v="0"/>
    <n v="4320"/>
    <s v="Rags to Riches"/>
    <s v="Las Vegas"/>
    <s v="Both"/>
    <x v="30"/>
    <n v="2016"/>
  </r>
  <r>
    <n v="1868"/>
    <n v="1"/>
    <n v="9"/>
    <x v="1063"/>
    <n v="101"/>
    <n v="25"/>
    <n v="0"/>
    <n v="2525"/>
    <s v="Threads"/>
    <s v="Seattle"/>
    <s v="Male"/>
    <x v="8"/>
    <n v="2016"/>
  </r>
  <r>
    <n v="1869"/>
    <n v="2"/>
    <n v="7"/>
    <x v="1063"/>
    <n v="105"/>
    <n v="38"/>
    <n v="0"/>
    <n v="3990"/>
    <s v="A Shirts Life"/>
    <s v="Portland"/>
    <s v="Female"/>
    <x v="8"/>
    <n v="2016"/>
  </r>
  <r>
    <n v="1870"/>
    <n v="2"/>
    <n v="1"/>
    <x v="1064"/>
    <n v="79"/>
    <n v="20"/>
    <n v="0"/>
    <n v="1580"/>
    <s v="A Shirts Life"/>
    <s v="Portland"/>
    <s v="Both"/>
    <x v="9"/>
    <n v="2016"/>
  </r>
  <r>
    <n v="1871"/>
    <n v="7"/>
    <n v="10"/>
    <x v="1064"/>
    <n v="62"/>
    <n v="35"/>
    <n v="0"/>
    <n v="2170"/>
    <s v="The Shirt on Your Back"/>
    <s v="Bonners Ferry"/>
    <s v="Male"/>
    <x v="9"/>
    <n v="2016"/>
  </r>
  <r>
    <n v="1872"/>
    <n v="3"/>
    <n v="1"/>
    <x v="1065"/>
    <n v="80"/>
    <n v="20"/>
    <n v="0"/>
    <n v="1600"/>
    <s v="Shirts R Us"/>
    <s v="Los Angeles"/>
    <s v="Both"/>
    <x v="10"/>
    <n v="2016"/>
  </r>
  <r>
    <n v="1873"/>
    <n v="3"/>
    <n v="3"/>
    <x v="1066"/>
    <n v="29"/>
    <n v="22"/>
    <n v="0"/>
    <n v="638"/>
    <s v="Shirts R Us"/>
    <s v="Los Angeles"/>
    <s v="Both"/>
    <x v="11"/>
    <n v="2016"/>
  </r>
  <r>
    <n v="1874"/>
    <n v="3"/>
    <n v="7"/>
    <x v="1066"/>
    <n v="56"/>
    <n v="38"/>
    <n v="0"/>
    <n v="2128"/>
    <s v="Shirts R Us"/>
    <s v="Los Angeles"/>
    <s v="Female"/>
    <x v="11"/>
    <n v="2016"/>
  </r>
  <r>
    <n v="1875"/>
    <n v="5"/>
    <n v="4"/>
    <x v="1066"/>
    <n v="122"/>
    <n v="30"/>
    <n v="0"/>
    <n v="3660"/>
    <s v="Rags to Riches"/>
    <s v="Las Vegas"/>
    <s v="Both"/>
    <x v="11"/>
    <n v="2016"/>
  </r>
  <r>
    <n v="1876"/>
    <n v="7"/>
    <n v="3"/>
    <x v="1066"/>
    <n v="145"/>
    <n v="22"/>
    <n v="0"/>
    <n v="3190"/>
    <s v="The Shirt on Your Back"/>
    <s v="Bonners Ferry"/>
    <s v="Both"/>
    <x v="11"/>
    <n v="2016"/>
  </r>
  <r>
    <n v="1877"/>
    <n v="3"/>
    <n v="1"/>
    <x v="1067"/>
    <n v="49"/>
    <n v="20"/>
    <n v="0"/>
    <n v="980"/>
    <s v="Shirts R Us"/>
    <s v="Los Angeles"/>
    <s v="Both"/>
    <x v="12"/>
    <n v="2016"/>
  </r>
  <r>
    <n v="1878"/>
    <n v="2"/>
    <n v="5"/>
    <x v="1068"/>
    <n v="125"/>
    <n v="16"/>
    <n v="0"/>
    <n v="2000"/>
    <s v="A Shirts Life"/>
    <s v="Portland"/>
    <s v="Female"/>
    <x v="27"/>
    <n v="2016"/>
  </r>
  <r>
    <n v="1879"/>
    <n v="3"/>
    <n v="9"/>
    <x v="1069"/>
    <n v="150"/>
    <n v="25"/>
    <n v="0"/>
    <n v="3750"/>
    <s v="Shirts R Us"/>
    <s v="Los Angeles"/>
    <s v="Male"/>
    <x v="14"/>
    <n v="2016"/>
  </r>
  <r>
    <n v="1880"/>
    <n v="5"/>
    <n v="7"/>
    <x v="1069"/>
    <n v="30"/>
    <n v="38"/>
    <n v="0"/>
    <n v="1140"/>
    <s v="Rags to Riches"/>
    <s v="Las Vegas"/>
    <s v="Female"/>
    <x v="14"/>
    <n v="2016"/>
  </r>
  <r>
    <n v="1881"/>
    <n v="6"/>
    <n v="8"/>
    <x v="1069"/>
    <n v="120"/>
    <n v="27"/>
    <n v="0"/>
    <n v="3240"/>
    <s v="Abracadaba Ink"/>
    <s v="Salt Lake City"/>
    <s v="Female"/>
    <x v="14"/>
    <n v="2016"/>
  </r>
  <r>
    <n v="1882"/>
    <n v="2"/>
    <n v="5"/>
    <x v="1070"/>
    <n v="84"/>
    <n v="16"/>
    <n v="0.10000000100000001"/>
    <n v="1209.599998656"/>
    <s v="A Shirts Life"/>
    <s v="Portland"/>
    <s v="Female"/>
    <x v="17"/>
    <n v="2016"/>
  </r>
  <r>
    <n v="1883"/>
    <n v="3"/>
    <n v="1"/>
    <x v="1071"/>
    <n v="106"/>
    <n v="20"/>
    <n v="0"/>
    <n v="2120"/>
    <s v="Shirts R Us"/>
    <s v="Los Angeles"/>
    <s v="Both"/>
    <x v="20"/>
    <n v="2016"/>
  </r>
  <r>
    <n v="1884"/>
    <n v="5"/>
    <n v="3"/>
    <x v="1072"/>
    <n v="118"/>
    <n v="22"/>
    <n v="0"/>
    <n v="2596"/>
    <s v="Rags to Riches"/>
    <s v="Las Vegas"/>
    <s v="Both"/>
    <x v="1"/>
    <n v="2016"/>
  </r>
  <r>
    <n v="1885"/>
    <n v="7"/>
    <n v="8"/>
    <x v="1072"/>
    <n v="53"/>
    <n v="27"/>
    <n v="0"/>
    <n v="1431"/>
    <s v="The Shirt on Your Back"/>
    <s v="Bonners Ferry"/>
    <s v="Female"/>
    <x v="1"/>
    <n v="2016"/>
  </r>
  <r>
    <n v="1886"/>
    <n v="2"/>
    <n v="2"/>
    <x v="1073"/>
    <n v="68"/>
    <n v="30"/>
    <n v="0"/>
    <n v="2040"/>
    <s v="A Shirts Life"/>
    <s v="Portland"/>
    <s v="Both"/>
    <x v="23"/>
    <n v="2016"/>
  </r>
  <r>
    <n v="1887"/>
    <n v="2"/>
    <n v="10"/>
    <x v="1073"/>
    <n v="37"/>
    <n v="35"/>
    <n v="0.15000000599999999"/>
    <n v="1100.7499922300001"/>
    <s v="A Shirts Life"/>
    <s v="Portland"/>
    <s v="Male"/>
    <x v="23"/>
    <n v="2016"/>
  </r>
  <r>
    <n v="1888"/>
    <n v="3"/>
    <n v="4"/>
    <x v="1073"/>
    <n v="145"/>
    <n v="30"/>
    <n v="0"/>
    <n v="4350"/>
    <s v="Shirts R Us"/>
    <s v="Los Angeles"/>
    <s v="Both"/>
    <x v="23"/>
    <n v="2016"/>
  </r>
  <r>
    <n v="1889"/>
    <n v="3"/>
    <n v="10"/>
    <x v="1073"/>
    <n v="46"/>
    <n v="35"/>
    <n v="0"/>
    <n v="1610"/>
    <s v="Shirts R Us"/>
    <s v="Los Angeles"/>
    <s v="Male"/>
    <x v="23"/>
    <n v="2016"/>
  </r>
  <r>
    <n v="1890"/>
    <n v="7"/>
    <n v="6"/>
    <x v="1074"/>
    <n v="125"/>
    <n v="28"/>
    <n v="0"/>
    <n v="3500"/>
    <s v="The Shirt on Your Back"/>
    <s v="Bonners Ferry"/>
    <s v="Female"/>
    <x v="2"/>
    <n v="2016"/>
  </r>
  <r>
    <n v="1891"/>
    <n v="4"/>
    <n v="3"/>
    <x v="1075"/>
    <n v="48"/>
    <n v="22"/>
    <n v="0"/>
    <n v="1056"/>
    <s v="Tshirt Unlimited"/>
    <s v="Phoenix"/>
    <s v="Both"/>
    <x v="4"/>
    <n v="2016"/>
  </r>
  <r>
    <n v="1892"/>
    <n v="1"/>
    <n v="2"/>
    <x v="1076"/>
    <n v="147"/>
    <n v="30"/>
    <n v="0"/>
    <n v="4410"/>
    <s v="Threads"/>
    <s v="Seattle"/>
    <s v="Both"/>
    <x v="6"/>
    <n v="2016"/>
  </r>
  <r>
    <n v="1893"/>
    <n v="1"/>
    <n v="10"/>
    <x v="1076"/>
    <n v="137"/>
    <n v="35"/>
    <n v="5.0000001000000002E-2"/>
    <n v="4555.2499952050002"/>
    <s v="Threads"/>
    <s v="Seattle"/>
    <s v="Male"/>
    <x v="6"/>
    <n v="2016"/>
  </r>
  <r>
    <n v="1894"/>
    <n v="5"/>
    <n v="5"/>
    <x v="1077"/>
    <n v="149"/>
    <n v="16"/>
    <n v="0.10000000100000001"/>
    <n v="2145.5999976160001"/>
    <s v="Rags to Riches"/>
    <s v="Las Vegas"/>
    <s v="Female"/>
    <x v="30"/>
    <n v="2016"/>
  </r>
  <r>
    <n v="1895"/>
    <n v="6"/>
    <n v="1"/>
    <x v="1077"/>
    <n v="57"/>
    <n v="20"/>
    <n v="0"/>
    <n v="1140"/>
    <s v="Abracadaba Ink"/>
    <s v="Salt Lake City"/>
    <s v="Both"/>
    <x v="30"/>
    <n v="2016"/>
  </r>
  <r>
    <n v="1896"/>
    <n v="7"/>
    <n v="9"/>
    <x v="1077"/>
    <n v="97"/>
    <n v="25"/>
    <n v="0"/>
    <n v="2425"/>
    <s v="The Shirt on Your Back"/>
    <s v="Bonners Ferry"/>
    <s v="Male"/>
    <x v="30"/>
    <n v="2016"/>
  </r>
  <r>
    <n v="1897"/>
    <n v="2"/>
    <n v="1"/>
    <x v="1078"/>
    <n v="41"/>
    <n v="20"/>
    <n v="0"/>
    <n v="820"/>
    <s v="A Shirts Life"/>
    <s v="Portland"/>
    <s v="Both"/>
    <x v="7"/>
    <n v="2016"/>
  </r>
  <r>
    <n v="1898"/>
    <n v="5"/>
    <n v="6"/>
    <x v="1078"/>
    <n v="51"/>
    <n v="28"/>
    <n v="0"/>
    <n v="1428"/>
    <s v="Rags to Riches"/>
    <s v="Las Vegas"/>
    <s v="Female"/>
    <x v="7"/>
    <n v="2016"/>
  </r>
  <r>
    <n v="1899"/>
    <n v="5"/>
    <n v="7"/>
    <x v="1079"/>
    <n v="36"/>
    <n v="38"/>
    <n v="0"/>
    <n v="1368"/>
    <s v="Rags to Riches"/>
    <s v="Las Vegas"/>
    <s v="Female"/>
    <x v="8"/>
    <n v="2016"/>
  </r>
  <r>
    <n v="1900"/>
    <n v="3"/>
    <n v="7"/>
    <x v="1080"/>
    <n v="76"/>
    <n v="38"/>
    <n v="0"/>
    <n v="2888"/>
    <s v="Shirts R Us"/>
    <s v="Los Angeles"/>
    <s v="Female"/>
    <x v="9"/>
    <n v="2016"/>
  </r>
  <r>
    <n v="1901"/>
    <n v="4"/>
    <n v="4"/>
    <x v="1080"/>
    <n v="56"/>
    <n v="30"/>
    <n v="0"/>
    <n v="1680"/>
    <s v="Tshirt Unlimited"/>
    <s v="Phoenix"/>
    <s v="Both"/>
    <x v="9"/>
    <n v="2016"/>
  </r>
  <r>
    <n v="1902"/>
    <n v="6"/>
    <n v="3"/>
    <x v="1080"/>
    <n v="86"/>
    <n v="22"/>
    <n v="5.0000001000000002E-2"/>
    <n v="1797.3999981080001"/>
    <s v="Abracadaba Ink"/>
    <s v="Salt Lake City"/>
    <s v="Both"/>
    <x v="9"/>
    <n v="2016"/>
  </r>
  <r>
    <n v="1903"/>
    <n v="7"/>
    <n v="5"/>
    <x v="1080"/>
    <n v="103"/>
    <n v="16"/>
    <n v="0"/>
    <n v="1648"/>
    <s v="The Shirt on Your Back"/>
    <s v="Bonners Ferry"/>
    <s v="Female"/>
    <x v="9"/>
    <n v="2016"/>
  </r>
  <r>
    <n v="1904"/>
    <n v="3"/>
    <n v="2"/>
    <x v="1081"/>
    <n v="48"/>
    <n v="30"/>
    <n v="5.0000001000000002E-2"/>
    <n v="1367.99999856"/>
    <s v="Shirts R Us"/>
    <s v="Los Angeles"/>
    <s v="Both"/>
    <x v="10"/>
    <n v="2016"/>
  </r>
  <r>
    <n v="1905"/>
    <n v="3"/>
    <n v="4"/>
    <x v="1082"/>
    <n v="67"/>
    <n v="30"/>
    <n v="0"/>
    <n v="2010"/>
    <s v="Shirts R Us"/>
    <s v="Los Angeles"/>
    <s v="Both"/>
    <x v="26"/>
    <n v="2016"/>
  </r>
  <r>
    <n v="1906"/>
    <n v="5"/>
    <n v="1"/>
    <x v="1082"/>
    <n v="63"/>
    <n v="20"/>
    <n v="0"/>
    <n v="1260"/>
    <s v="Rags to Riches"/>
    <s v="Las Vegas"/>
    <s v="Both"/>
    <x v="26"/>
    <n v="2016"/>
  </r>
  <r>
    <n v="1907"/>
    <n v="7"/>
    <n v="1"/>
    <x v="1082"/>
    <n v="119"/>
    <n v="20"/>
    <n v="0"/>
    <n v="2380"/>
    <s v="The Shirt on Your Back"/>
    <s v="Bonners Ferry"/>
    <s v="Both"/>
    <x v="26"/>
    <n v="2016"/>
  </r>
  <r>
    <n v="1908"/>
    <n v="7"/>
    <n v="4"/>
    <x v="1083"/>
    <n v="149"/>
    <n v="30"/>
    <n v="0"/>
    <n v="4470"/>
    <s v="The Shirt on Your Back"/>
    <s v="Bonners Ferry"/>
    <s v="Both"/>
    <x v="11"/>
    <n v="2016"/>
  </r>
  <r>
    <n v="1909"/>
    <n v="1"/>
    <n v="2"/>
    <x v="1084"/>
    <n v="112"/>
    <n v="30"/>
    <n v="0"/>
    <n v="3360"/>
    <s v="Threads"/>
    <s v="Seattle"/>
    <s v="Both"/>
    <x v="27"/>
    <n v="2016"/>
  </r>
  <r>
    <n v="1910"/>
    <n v="5"/>
    <n v="9"/>
    <x v="1084"/>
    <n v="130"/>
    <n v="25"/>
    <n v="5.0000001000000002E-2"/>
    <n v="3087.4999967499998"/>
    <s v="Rags to Riches"/>
    <s v="Las Vegas"/>
    <s v="Male"/>
    <x v="27"/>
    <n v="2016"/>
  </r>
  <r>
    <n v="1911"/>
    <n v="2"/>
    <n v="10"/>
    <x v="1085"/>
    <n v="136"/>
    <n v="35"/>
    <n v="0"/>
    <n v="4760"/>
    <s v="A Shirts Life"/>
    <s v="Portland"/>
    <s v="Male"/>
    <x v="16"/>
    <n v="2016"/>
  </r>
  <r>
    <n v="1912"/>
    <n v="4"/>
    <n v="5"/>
    <x v="1085"/>
    <n v="58"/>
    <n v="16"/>
    <n v="0"/>
    <n v="928"/>
    <s v="Tshirt Unlimited"/>
    <s v="Phoenix"/>
    <s v="Female"/>
    <x v="16"/>
    <n v="2016"/>
  </r>
  <r>
    <n v="1913"/>
    <n v="1"/>
    <n v="2"/>
    <x v="1086"/>
    <n v="132"/>
    <n v="30"/>
    <n v="0"/>
    <n v="3960"/>
    <s v="Threads"/>
    <s v="Seattle"/>
    <s v="Both"/>
    <x v="17"/>
    <n v="2016"/>
  </r>
  <r>
    <n v="1914"/>
    <n v="2"/>
    <n v="5"/>
    <x v="1087"/>
    <n v="80"/>
    <n v="16"/>
    <n v="0"/>
    <n v="1280"/>
    <s v="A Shirts Life"/>
    <s v="Portland"/>
    <s v="Female"/>
    <x v="18"/>
    <n v="2016"/>
  </r>
  <r>
    <n v="1915"/>
    <n v="4"/>
    <n v="5"/>
    <x v="1087"/>
    <n v="113"/>
    <n v="16"/>
    <n v="0"/>
    <n v="1808"/>
    <s v="Tshirt Unlimited"/>
    <s v="Phoenix"/>
    <s v="Female"/>
    <x v="18"/>
    <n v="2016"/>
  </r>
  <r>
    <n v="1916"/>
    <n v="1"/>
    <n v="8"/>
    <x v="1088"/>
    <n v="147"/>
    <n v="27"/>
    <n v="0"/>
    <n v="3969"/>
    <s v="Threads"/>
    <s v="Seattle"/>
    <s v="Female"/>
    <x v="20"/>
    <n v="2016"/>
  </r>
  <r>
    <n v="1917"/>
    <n v="4"/>
    <n v="6"/>
    <x v="1089"/>
    <n v="101"/>
    <n v="28"/>
    <n v="0"/>
    <n v="2828"/>
    <s v="Tshirt Unlimited"/>
    <s v="Phoenix"/>
    <s v="Female"/>
    <x v="21"/>
    <n v="2016"/>
  </r>
  <r>
    <n v="1918"/>
    <n v="6"/>
    <n v="3"/>
    <x v="1090"/>
    <n v="70"/>
    <n v="22"/>
    <n v="0"/>
    <n v="1540"/>
    <s v="Abracadaba Ink"/>
    <s v="Salt Lake City"/>
    <s v="Both"/>
    <x v="28"/>
    <n v="2016"/>
  </r>
  <r>
    <n v="1919"/>
    <n v="7"/>
    <n v="5"/>
    <x v="1090"/>
    <n v="53"/>
    <n v="16"/>
    <n v="0"/>
    <n v="848"/>
    <s v="The Shirt on Your Back"/>
    <s v="Bonners Ferry"/>
    <s v="Female"/>
    <x v="28"/>
    <n v="2016"/>
  </r>
  <r>
    <n v="1920"/>
    <n v="2"/>
    <n v="3"/>
    <x v="1091"/>
    <n v="133"/>
    <n v="22"/>
    <n v="0"/>
    <n v="2926"/>
    <s v="A Shirts Life"/>
    <s v="Portland"/>
    <s v="Both"/>
    <x v="0"/>
    <n v="2016"/>
  </r>
  <r>
    <n v="1921"/>
    <n v="2"/>
    <n v="6"/>
    <x v="1091"/>
    <n v="28"/>
    <n v="28"/>
    <n v="0"/>
    <n v="784"/>
    <s v="A Shirts Life"/>
    <s v="Portland"/>
    <s v="Female"/>
    <x v="0"/>
    <n v="2016"/>
  </r>
  <r>
    <n v="1922"/>
    <n v="2"/>
    <n v="9"/>
    <x v="1091"/>
    <n v="48"/>
    <n v="25"/>
    <n v="0"/>
    <n v="1200"/>
    <s v="A Shirts Life"/>
    <s v="Portland"/>
    <s v="Male"/>
    <x v="0"/>
    <n v="2016"/>
  </r>
  <r>
    <n v="1923"/>
    <n v="3"/>
    <n v="5"/>
    <x v="1091"/>
    <n v="45"/>
    <n v="16"/>
    <n v="0"/>
    <n v="720"/>
    <s v="Shirts R Us"/>
    <s v="Los Angeles"/>
    <s v="Female"/>
    <x v="0"/>
    <n v="2016"/>
  </r>
  <r>
    <n v="1924"/>
    <n v="5"/>
    <n v="7"/>
    <x v="1091"/>
    <n v="138"/>
    <n v="38"/>
    <n v="0"/>
    <n v="5244"/>
    <s v="Rags to Riches"/>
    <s v="Las Vegas"/>
    <s v="Female"/>
    <x v="0"/>
    <n v="2016"/>
  </r>
  <r>
    <n v="1925"/>
    <n v="7"/>
    <n v="3"/>
    <x v="1092"/>
    <n v="37"/>
    <n v="22"/>
    <n v="0"/>
    <n v="814"/>
    <s v="The Shirt on Your Back"/>
    <s v="Bonners Ferry"/>
    <s v="Both"/>
    <x v="1"/>
    <n v="2016"/>
  </r>
  <r>
    <n v="1926"/>
    <n v="7"/>
    <n v="8"/>
    <x v="1093"/>
    <n v="57"/>
    <n v="27"/>
    <n v="0"/>
    <n v="1539"/>
    <s v="The Shirt on Your Back"/>
    <s v="Bonners Ferry"/>
    <s v="Female"/>
    <x v="23"/>
    <n v="2016"/>
  </r>
  <r>
    <n v="1927"/>
    <n v="1"/>
    <n v="4"/>
    <x v="1094"/>
    <n v="112"/>
    <n v="30"/>
    <n v="0"/>
    <n v="3360"/>
    <s v="Threads"/>
    <s v="Seattle"/>
    <s v="Both"/>
    <x v="3"/>
    <n v="2016"/>
  </r>
  <r>
    <n v="1928"/>
    <n v="5"/>
    <n v="3"/>
    <x v="1094"/>
    <n v="38"/>
    <n v="22"/>
    <n v="0"/>
    <n v="836"/>
    <s v="Rags to Riches"/>
    <s v="Las Vegas"/>
    <s v="Both"/>
    <x v="3"/>
    <n v="2016"/>
  </r>
  <r>
    <n v="1929"/>
    <n v="1"/>
    <n v="3"/>
    <x v="1095"/>
    <n v="142"/>
    <n v="22"/>
    <n v="0"/>
    <n v="3124"/>
    <s v="Threads"/>
    <s v="Seattle"/>
    <s v="Both"/>
    <x v="4"/>
    <n v="2016"/>
  </r>
  <r>
    <n v="1930"/>
    <n v="7"/>
    <n v="4"/>
    <x v="1095"/>
    <n v="97"/>
    <n v="30"/>
    <n v="5.0000001000000002E-2"/>
    <n v="2764.4999970899999"/>
    <s v="The Shirt on Your Back"/>
    <s v="Bonners Ferry"/>
    <s v="Both"/>
    <x v="4"/>
    <n v="2016"/>
  </r>
  <r>
    <n v="1931"/>
    <n v="2"/>
    <n v="10"/>
    <x v="1096"/>
    <n v="74"/>
    <n v="35"/>
    <n v="0"/>
    <n v="2590"/>
    <s v="A Shirts Life"/>
    <s v="Portland"/>
    <s v="Male"/>
    <x v="5"/>
    <n v="2016"/>
  </r>
  <r>
    <n v="1932"/>
    <n v="3"/>
    <n v="8"/>
    <x v="1096"/>
    <n v="47"/>
    <n v="27"/>
    <n v="0"/>
    <n v="1269"/>
    <s v="Shirts R Us"/>
    <s v="Los Angeles"/>
    <s v="Female"/>
    <x v="5"/>
    <n v="2016"/>
  </r>
  <r>
    <n v="1933"/>
    <n v="1"/>
    <n v="8"/>
    <x v="1097"/>
    <n v="42"/>
    <n v="27"/>
    <n v="0"/>
    <n v="1134"/>
    <s v="Threads"/>
    <s v="Seattle"/>
    <s v="Female"/>
    <x v="6"/>
    <n v="2016"/>
  </r>
  <r>
    <n v="1934"/>
    <n v="2"/>
    <n v="5"/>
    <x v="1097"/>
    <n v="101"/>
    <n v="16"/>
    <n v="0"/>
    <n v="1616"/>
    <s v="A Shirts Life"/>
    <s v="Portland"/>
    <s v="Female"/>
    <x v="6"/>
    <n v="2016"/>
  </r>
  <r>
    <n v="1935"/>
    <n v="2"/>
    <n v="9"/>
    <x v="1097"/>
    <n v="57"/>
    <n v="25"/>
    <n v="0.10000000100000001"/>
    <n v="1282.4999985750001"/>
    <s v="A Shirts Life"/>
    <s v="Portland"/>
    <s v="Male"/>
    <x v="6"/>
    <n v="2016"/>
  </r>
  <r>
    <n v="1936"/>
    <n v="4"/>
    <n v="9"/>
    <x v="1097"/>
    <n v="34"/>
    <n v="25"/>
    <n v="0.15000000599999999"/>
    <n v="722.49999490000005"/>
    <s v="Tshirt Unlimited"/>
    <s v="Phoenix"/>
    <s v="Male"/>
    <x v="6"/>
    <n v="2016"/>
  </r>
  <r>
    <n v="1937"/>
    <n v="5"/>
    <n v="2"/>
    <x v="1097"/>
    <n v="36"/>
    <n v="30"/>
    <n v="0"/>
    <n v="1080"/>
    <s v="Rags to Riches"/>
    <s v="Las Vegas"/>
    <s v="Both"/>
    <x v="6"/>
    <n v="2016"/>
  </r>
  <r>
    <n v="1938"/>
    <n v="6"/>
    <n v="1"/>
    <x v="1097"/>
    <n v="126"/>
    <n v="20"/>
    <n v="0"/>
    <n v="2520"/>
    <s v="Abracadaba Ink"/>
    <s v="Salt Lake City"/>
    <s v="Both"/>
    <x v="6"/>
    <n v="2016"/>
  </r>
  <r>
    <n v="1939"/>
    <n v="3"/>
    <n v="2"/>
    <x v="1098"/>
    <n v="131"/>
    <n v="30"/>
    <n v="0"/>
    <n v="3930"/>
    <s v="Shirts R Us"/>
    <s v="Los Angeles"/>
    <s v="Both"/>
    <x v="30"/>
    <n v="2016"/>
  </r>
  <r>
    <n v="1940"/>
    <n v="1"/>
    <n v="2"/>
    <x v="1099"/>
    <n v="57"/>
    <n v="30"/>
    <n v="0"/>
    <n v="1710"/>
    <s v="Threads"/>
    <s v="Seattle"/>
    <s v="Both"/>
    <x v="25"/>
    <n v="2016"/>
  </r>
  <r>
    <n v="1941"/>
    <n v="3"/>
    <n v="6"/>
    <x v="1100"/>
    <n v="111"/>
    <n v="28"/>
    <n v="0"/>
    <n v="3108"/>
    <s v="Shirts R Us"/>
    <s v="Los Angeles"/>
    <s v="Female"/>
    <x v="8"/>
    <n v="2016"/>
  </r>
  <r>
    <n v="1942"/>
    <n v="5"/>
    <n v="2"/>
    <x v="1100"/>
    <n v="149"/>
    <n v="30"/>
    <n v="0.15000000599999999"/>
    <n v="3799.4999731799999"/>
    <s v="Rags to Riches"/>
    <s v="Las Vegas"/>
    <s v="Both"/>
    <x v="8"/>
    <n v="2016"/>
  </r>
  <r>
    <n v="1943"/>
    <n v="6"/>
    <n v="8"/>
    <x v="1100"/>
    <n v="28"/>
    <n v="27"/>
    <n v="0"/>
    <n v="756"/>
    <s v="Abracadaba Ink"/>
    <s v="Salt Lake City"/>
    <s v="Female"/>
    <x v="8"/>
    <n v="2016"/>
  </r>
  <r>
    <n v="1944"/>
    <n v="7"/>
    <n v="7"/>
    <x v="1100"/>
    <n v="122"/>
    <n v="38"/>
    <n v="0"/>
    <n v="4636"/>
    <s v="The Shirt on Your Back"/>
    <s v="Bonners Ferry"/>
    <s v="Female"/>
    <x v="8"/>
    <n v="2016"/>
  </r>
  <r>
    <n v="1945"/>
    <n v="6"/>
    <n v="3"/>
    <x v="1101"/>
    <n v="113"/>
    <n v="22"/>
    <n v="0"/>
    <n v="2486"/>
    <s v="Abracadaba Ink"/>
    <s v="Salt Lake City"/>
    <s v="Both"/>
    <x v="10"/>
    <n v="2016"/>
  </r>
  <r>
    <n v="1946"/>
    <n v="4"/>
    <n v="2"/>
    <x v="1102"/>
    <n v="70"/>
    <n v="30"/>
    <n v="0"/>
    <n v="2100"/>
    <s v="Tshirt Unlimited"/>
    <s v="Phoenix"/>
    <s v="Both"/>
    <x v="26"/>
    <n v="2016"/>
  </r>
  <r>
    <n v="1947"/>
    <n v="4"/>
    <n v="6"/>
    <x v="1102"/>
    <n v="45"/>
    <n v="28"/>
    <n v="0"/>
    <n v="1260"/>
    <s v="Tshirt Unlimited"/>
    <s v="Phoenix"/>
    <s v="Female"/>
    <x v="26"/>
    <n v="2016"/>
  </r>
  <r>
    <n v="1948"/>
    <n v="1"/>
    <n v="3"/>
    <x v="1103"/>
    <n v="119"/>
    <n v="22"/>
    <n v="0"/>
    <n v="2618"/>
    <s v="Threads"/>
    <s v="Seattle"/>
    <s v="Both"/>
    <x v="11"/>
    <n v="2016"/>
  </r>
  <r>
    <n v="1949"/>
    <n v="6"/>
    <n v="7"/>
    <x v="1104"/>
    <n v="88"/>
    <n v="38"/>
    <n v="5.0000001000000002E-2"/>
    <n v="3176.7999966560001"/>
    <s v="Abracadaba Ink"/>
    <s v="Salt Lake City"/>
    <s v="Female"/>
    <x v="13"/>
    <n v="2016"/>
  </r>
  <r>
    <n v="1950"/>
    <n v="4"/>
    <n v="6"/>
    <x v="1105"/>
    <n v="128"/>
    <n v="28"/>
    <n v="0"/>
    <n v="3584"/>
    <s v="Tshirt Unlimited"/>
    <s v="Phoenix"/>
    <s v="Female"/>
    <x v="27"/>
    <n v="2016"/>
  </r>
  <r>
    <n v="1951"/>
    <n v="6"/>
    <n v="1"/>
    <x v="1105"/>
    <n v="49"/>
    <n v="20"/>
    <n v="0.10000000100000001"/>
    <n v="881.99999902000002"/>
    <s v="Abracadaba Ink"/>
    <s v="Salt Lake City"/>
    <s v="Both"/>
    <x v="27"/>
    <n v="2016"/>
  </r>
  <r>
    <n v="1952"/>
    <n v="4"/>
    <n v="4"/>
    <x v="1106"/>
    <n v="38"/>
    <n v="30"/>
    <n v="0"/>
    <n v="1140"/>
    <s v="Tshirt Unlimited"/>
    <s v="Phoenix"/>
    <s v="Both"/>
    <x v="14"/>
    <n v="2016"/>
  </r>
  <r>
    <n v="1953"/>
    <n v="5"/>
    <n v="4"/>
    <x v="1106"/>
    <n v="72"/>
    <n v="30"/>
    <n v="0"/>
    <n v="2160"/>
    <s v="Rags to Riches"/>
    <s v="Las Vegas"/>
    <s v="Both"/>
    <x v="14"/>
    <n v="2016"/>
  </r>
  <r>
    <n v="1954"/>
    <n v="6"/>
    <n v="10"/>
    <x v="1107"/>
    <n v="87"/>
    <n v="35"/>
    <n v="5.0000001000000002E-2"/>
    <n v="2892.7499969549999"/>
    <s v="Abracadaba Ink"/>
    <s v="Salt Lake City"/>
    <s v="Male"/>
    <x v="18"/>
    <n v="2016"/>
  </r>
  <r>
    <n v="1955"/>
    <n v="3"/>
    <n v="10"/>
    <x v="1108"/>
    <n v="65"/>
    <n v="35"/>
    <n v="0"/>
    <n v="2275"/>
    <s v="Shirts R Us"/>
    <s v="Los Angeles"/>
    <s v="Male"/>
    <x v="19"/>
    <n v="2016"/>
  </r>
  <r>
    <n v="1956"/>
    <n v="7"/>
    <n v="6"/>
    <x v="1108"/>
    <n v="73"/>
    <n v="28"/>
    <n v="0.10000000100000001"/>
    <n v="1839.5999979559999"/>
    <s v="The Shirt on Your Back"/>
    <s v="Bonners Ferry"/>
    <s v="Female"/>
    <x v="19"/>
    <n v="2016"/>
  </r>
  <r>
    <n v="1957"/>
    <n v="7"/>
    <n v="4"/>
    <x v="1109"/>
    <n v="123"/>
    <n v="30"/>
    <n v="0"/>
    <n v="3690"/>
    <s v="The Shirt on Your Back"/>
    <s v="Bonners Ferry"/>
    <s v="Both"/>
    <x v="20"/>
    <n v="2016"/>
  </r>
  <r>
    <n v="1958"/>
    <n v="5"/>
    <n v="5"/>
    <x v="1110"/>
    <n v="72"/>
    <n v="16"/>
    <n v="5.0000001000000002E-2"/>
    <n v="1094.399998848"/>
    <s v="Rags to Riches"/>
    <s v="Las Vegas"/>
    <s v="Female"/>
    <x v="21"/>
    <n v="2016"/>
  </r>
  <r>
    <n v="1959"/>
    <n v="6"/>
    <n v="2"/>
    <x v="1110"/>
    <n v="28"/>
    <n v="30"/>
    <n v="0"/>
    <n v="840"/>
    <s v="Abracadaba Ink"/>
    <s v="Salt Lake City"/>
    <s v="Both"/>
    <x v="21"/>
    <n v="2016"/>
  </r>
  <r>
    <n v="1960"/>
    <n v="6"/>
    <n v="4"/>
    <x v="1110"/>
    <n v="123"/>
    <n v="30"/>
    <n v="0"/>
    <n v="3690"/>
    <s v="Abracadaba Ink"/>
    <s v="Salt Lake City"/>
    <s v="Both"/>
    <x v="21"/>
    <n v="2016"/>
  </r>
  <r>
    <n v="1961"/>
    <n v="1"/>
    <n v="5"/>
    <x v="1111"/>
    <n v="75"/>
    <n v="16"/>
    <n v="0.10000000100000001"/>
    <n v="1079.9999988"/>
    <s v="Threads"/>
    <s v="Seattle"/>
    <s v="Female"/>
    <x v="22"/>
    <n v="2016"/>
  </r>
  <r>
    <n v="1962"/>
    <n v="4"/>
    <n v="1"/>
    <x v="1111"/>
    <n v="38"/>
    <n v="20"/>
    <n v="5.0000001000000002E-2"/>
    <n v="721.99999923999997"/>
    <s v="Tshirt Unlimited"/>
    <s v="Phoenix"/>
    <s v="Both"/>
    <x v="22"/>
    <n v="2016"/>
  </r>
  <r>
    <n v="1963"/>
    <n v="3"/>
    <n v="9"/>
    <x v="1112"/>
    <n v="143"/>
    <n v="25"/>
    <n v="0"/>
    <n v="3575"/>
    <s v="Shirts R Us"/>
    <s v="Los Angeles"/>
    <s v="Male"/>
    <x v="28"/>
    <n v="2016"/>
  </r>
  <r>
    <n v="1964"/>
    <n v="4"/>
    <n v="1"/>
    <x v="1112"/>
    <n v="94"/>
    <n v="20"/>
    <n v="0"/>
    <n v="1880"/>
    <s v="Tshirt Unlimited"/>
    <s v="Phoenix"/>
    <s v="Both"/>
    <x v="28"/>
    <n v="2016"/>
  </r>
  <r>
    <n v="1965"/>
    <n v="5"/>
    <n v="8"/>
    <x v="1112"/>
    <n v="84"/>
    <n v="27"/>
    <n v="0"/>
    <n v="2268"/>
    <s v="Rags to Riches"/>
    <s v="Las Vegas"/>
    <s v="Female"/>
    <x v="28"/>
    <n v="2016"/>
  </r>
  <r>
    <n v="1966"/>
    <n v="6"/>
    <n v="9"/>
    <x v="1113"/>
    <n v="53"/>
    <n v="25"/>
    <n v="0"/>
    <n v="1325"/>
    <s v="Abracadaba Ink"/>
    <s v="Salt Lake City"/>
    <s v="Male"/>
    <x v="1"/>
    <n v="2016"/>
  </r>
  <r>
    <n v="1967"/>
    <n v="4"/>
    <n v="2"/>
    <x v="1114"/>
    <n v="56"/>
    <n v="30"/>
    <n v="0"/>
    <n v="1680"/>
    <s v="Tshirt Unlimited"/>
    <s v="Phoenix"/>
    <s v="Both"/>
    <x v="23"/>
    <n v="2016"/>
  </r>
  <r>
    <n v="1968"/>
    <n v="2"/>
    <n v="9"/>
    <x v="1115"/>
    <n v="139"/>
    <n v="25"/>
    <n v="0"/>
    <n v="3475"/>
    <s v="A Shirts Life"/>
    <s v="Portland"/>
    <s v="Male"/>
    <x v="24"/>
    <n v="2016"/>
  </r>
  <r>
    <n v="1969"/>
    <n v="6"/>
    <n v="6"/>
    <x v="1115"/>
    <n v="39"/>
    <n v="28"/>
    <n v="0"/>
    <n v="1092"/>
    <s v="Abracadaba Ink"/>
    <s v="Salt Lake City"/>
    <s v="Female"/>
    <x v="24"/>
    <n v="2016"/>
  </r>
  <r>
    <n v="1970"/>
    <n v="2"/>
    <n v="1"/>
    <x v="1116"/>
    <n v="116"/>
    <n v="20"/>
    <n v="0"/>
    <n v="2320"/>
    <s v="A Shirts Life"/>
    <s v="Portland"/>
    <s v="Both"/>
    <x v="5"/>
    <n v="2016"/>
  </r>
  <r>
    <n v="1971"/>
    <n v="4"/>
    <n v="5"/>
    <x v="1116"/>
    <n v="133"/>
    <n v="16"/>
    <n v="0"/>
    <n v="2128"/>
    <s v="Tshirt Unlimited"/>
    <s v="Phoenix"/>
    <s v="Female"/>
    <x v="5"/>
    <n v="2016"/>
  </r>
  <r>
    <n v="1972"/>
    <n v="6"/>
    <n v="1"/>
    <x v="1117"/>
    <n v="134"/>
    <n v="20"/>
    <n v="0"/>
    <n v="2680"/>
    <s v="Abracadaba Ink"/>
    <s v="Salt Lake City"/>
    <s v="Both"/>
    <x v="6"/>
    <n v="2016"/>
  </r>
  <r>
    <n v="1973"/>
    <n v="6"/>
    <n v="6"/>
    <x v="1117"/>
    <n v="78"/>
    <n v="28"/>
    <n v="0"/>
    <n v="2184"/>
    <s v="Abracadaba Ink"/>
    <s v="Salt Lake City"/>
    <s v="Female"/>
    <x v="6"/>
    <n v="2016"/>
  </r>
  <r>
    <n v="1974"/>
    <n v="1"/>
    <n v="3"/>
    <x v="1118"/>
    <n v="52"/>
    <n v="22"/>
    <n v="0"/>
    <n v="1144"/>
    <s v="Threads"/>
    <s v="Seattle"/>
    <s v="Both"/>
    <x v="30"/>
    <n v="2016"/>
  </r>
  <r>
    <n v="1975"/>
    <n v="5"/>
    <n v="6"/>
    <x v="1118"/>
    <n v="60"/>
    <n v="28"/>
    <n v="0"/>
    <n v="1680"/>
    <s v="Rags to Riches"/>
    <s v="Las Vegas"/>
    <s v="Female"/>
    <x v="30"/>
    <n v="2016"/>
  </r>
  <r>
    <n v="1976"/>
    <n v="7"/>
    <n v="2"/>
    <x v="1118"/>
    <n v="68"/>
    <n v="30"/>
    <n v="0"/>
    <n v="2040"/>
    <s v="The Shirt on Your Back"/>
    <s v="Bonners Ferry"/>
    <s v="Both"/>
    <x v="30"/>
    <n v="2016"/>
  </r>
  <r>
    <n v="1977"/>
    <n v="6"/>
    <n v="6"/>
    <x v="1119"/>
    <n v="149"/>
    <n v="28"/>
    <n v="0"/>
    <n v="4172"/>
    <s v="Abracadaba Ink"/>
    <s v="Salt Lake City"/>
    <s v="Female"/>
    <x v="7"/>
    <n v="2016"/>
  </r>
  <r>
    <n v="1978"/>
    <n v="7"/>
    <n v="8"/>
    <x v="1120"/>
    <n v="71"/>
    <n v="27"/>
    <n v="0"/>
    <n v="1917"/>
    <s v="The Shirt on Your Back"/>
    <s v="Bonners Ferry"/>
    <s v="Female"/>
    <x v="25"/>
    <n v="2016"/>
  </r>
  <r>
    <n v="1979"/>
    <n v="5"/>
    <n v="8"/>
    <x v="1121"/>
    <n v="132"/>
    <n v="27"/>
    <n v="0"/>
    <n v="3564"/>
    <s v="Rags to Riches"/>
    <s v="Las Vegas"/>
    <s v="Female"/>
    <x v="8"/>
    <n v="2016"/>
  </r>
  <r>
    <n v="1980"/>
    <n v="6"/>
    <n v="2"/>
    <x v="1121"/>
    <n v="99"/>
    <n v="30"/>
    <n v="0"/>
    <n v="2970"/>
    <s v="Abracadaba Ink"/>
    <s v="Salt Lake City"/>
    <s v="Both"/>
    <x v="8"/>
    <n v="2016"/>
  </r>
  <r>
    <n v="1981"/>
    <n v="7"/>
    <n v="10"/>
    <x v="1121"/>
    <n v="91"/>
    <n v="35"/>
    <n v="0"/>
    <n v="3185"/>
    <s v="The Shirt on Your Back"/>
    <s v="Bonners Ferry"/>
    <s v="Male"/>
    <x v="8"/>
    <n v="2016"/>
  </r>
  <r>
    <n v="1982"/>
    <n v="2"/>
    <n v="7"/>
    <x v="1122"/>
    <n v="76"/>
    <n v="38"/>
    <n v="0"/>
    <n v="2888"/>
    <s v="A Shirts Life"/>
    <s v="Portland"/>
    <s v="Female"/>
    <x v="26"/>
    <n v="2016"/>
  </r>
  <r>
    <n v="1983"/>
    <n v="5"/>
    <n v="9"/>
    <x v="1123"/>
    <n v="44"/>
    <n v="25"/>
    <n v="0"/>
    <n v="1100"/>
    <s v="Rags to Riches"/>
    <s v="Las Vegas"/>
    <s v="Male"/>
    <x v="11"/>
    <n v="2016"/>
  </r>
  <r>
    <n v="1984"/>
    <n v="1"/>
    <n v="1"/>
    <x v="1124"/>
    <n v="31"/>
    <n v="20"/>
    <n v="5.0000001000000002E-2"/>
    <n v="588.99999937999996"/>
    <s v="Threads"/>
    <s v="Seattle"/>
    <s v="Both"/>
    <x v="12"/>
    <n v="2016"/>
  </r>
  <r>
    <n v="1985"/>
    <n v="5"/>
    <n v="7"/>
    <x v="1125"/>
    <n v="77"/>
    <n v="38"/>
    <n v="0"/>
    <n v="2926"/>
    <s v="Rags to Riches"/>
    <s v="Las Vegas"/>
    <s v="Female"/>
    <x v="13"/>
    <n v="2016"/>
  </r>
  <r>
    <n v="1986"/>
    <n v="6"/>
    <n v="9"/>
    <x v="1125"/>
    <n v="136"/>
    <n v="25"/>
    <n v="0"/>
    <n v="3400"/>
    <s v="Abracadaba Ink"/>
    <s v="Salt Lake City"/>
    <s v="Male"/>
    <x v="13"/>
    <n v="2016"/>
  </r>
  <r>
    <n v="1987"/>
    <n v="5"/>
    <n v="3"/>
    <x v="1126"/>
    <n v="104"/>
    <n v="22"/>
    <n v="5.0000001000000002E-2"/>
    <n v="2173.599997712"/>
    <s v="Rags to Riches"/>
    <s v="Las Vegas"/>
    <s v="Both"/>
    <x v="14"/>
    <n v="2016"/>
  </r>
  <r>
    <n v="1988"/>
    <n v="5"/>
    <n v="3"/>
    <x v="1127"/>
    <n v="91"/>
    <n v="22"/>
    <n v="0"/>
    <n v="2002"/>
    <s v="Rags to Riches"/>
    <s v="Las Vegas"/>
    <s v="Both"/>
    <x v="15"/>
    <n v="2016"/>
  </r>
  <r>
    <n v="1989"/>
    <n v="3"/>
    <n v="7"/>
    <x v="1128"/>
    <n v="89"/>
    <n v="38"/>
    <n v="0"/>
    <n v="3382"/>
    <s v="Shirts R Us"/>
    <s v="Los Angeles"/>
    <s v="Female"/>
    <x v="16"/>
    <n v="2016"/>
  </r>
  <r>
    <n v="1990"/>
    <n v="5"/>
    <n v="1"/>
    <x v="1128"/>
    <n v="30"/>
    <n v="20"/>
    <n v="0"/>
    <n v="600"/>
    <s v="Rags to Riches"/>
    <s v="Las Vegas"/>
    <s v="Both"/>
    <x v="16"/>
    <n v="2016"/>
  </r>
  <r>
    <n v="1991"/>
    <n v="1"/>
    <n v="7"/>
    <x v="1129"/>
    <n v="138"/>
    <n v="38"/>
    <n v="0.10000000100000001"/>
    <n v="4719.5999947560003"/>
    <s v="Threads"/>
    <s v="Seattle"/>
    <s v="Female"/>
    <x v="17"/>
    <n v="2016"/>
  </r>
  <r>
    <n v="1992"/>
    <n v="4"/>
    <n v="8"/>
    <x v="1130"/>
    <n v="126"/>
    <n v="27"/>
    <n v="0"/>
    <n v="3402"/>
    <s v="Tshirt Unlimited"/>
    <s v="Phoenix"/>
    <s v="Female"/>
    <x v="18"/>
    <n v="2016"/>
  </r>
  <r>
    <n v="1993"/>
    <n v="3"/>
    <n v="8"/>
    <x v="1131"/>
    <n v="106"/>
    <n v="27"/>
    <n v="0"/>
    <n v="2862"/>
    <s v="Shirts R Us"/>
    <s v="Los Angeles"/>
    <s v="Female"/>
    <x v="20"/>
    <n v="2016"/>
  </r>
  <r>
    <n v="1994"/>
    <n v="3"/>
    <n v="10"/>
    <x v="1132"/>
    <n v="46"/>
    <n v="35"/>
    <n v="0.15000000599999999"/>
    <n v="1368.4999903400001"/>
    <s v="Shirts R Us"/>
    <s v="Los Angeles"/>
    <s v="Male"/>
    <x v="21"/>
    <n v="2016"/>
  </r>
  <r>
    <n v="1995"/>
    <n v="5"/>
    <n v="2"/>
    <x v="1133"/>
    <n v="91"/>
    <n v="30"/>
    <n v="0.10000000100000001"/>
    <n v="2456.9999972699998"/>
    <s v="Rags to Riches"/>
    <s v="Las Vegas"/>
    <s v="Both"/>
    <x v="22"/>
    <n v="2016"/>
  </r>
  <r>
    <n v="1996"/>
    <n v="5"/>
    <n v="3"/>
    <x v="1133"/>
    <n v="135"/>
    <n v="22"/>
    <n v="0"/>
    <n v="2970"/>
    <s v="Rags to Riches"/>
    <s v="Las Vegas"/>
    <s v="Both"/>
    <x v="22"/>
    <n v="2016"/>
  </r>
  <r>
    <n v="1997"/>
    <n v="5"/>
    <n v="7"/>
    <x v="1133"/>
    <n v="133"/>
    <n v="38"/>
    <n v="0"/>
    <n v="5054"/>
    <s v="Rags to Riches"/>
    <s v="Las Vegas"/>
    <s v="Female"/>
    <x v="22"/>
    <n v="2016"/>
  </r>
  <r>
    <n v="1998"/>
    <n v="5"/>
    <n v="8"/>
    <x v="1133"/>
    <n v="139"/>
    <n v="27"/>
    <n v="0"/>
    <n v="3753"/>
    <s v="Rags to Riches"/>
    <s v="Las Vegas"/>
    <s v="Female"/>
    <x v="22"/>
    <n v="2016"/>
  </r>
  <r>
    <n v="1999"/>
    <n v="6"/>
    <n v="7"/>
    <x v="1134"/>
    <n v="47"/>
    <n v="38"/>
    <n v="0.10000000100000001"/>
    <n v="1607.3999982139999"/>
    <s v="Abracadaba Ink"/>
    <s v="Salt Lake City"/>
    <s v="Female"/>
    <x v="28"/>
    <n v="2016"/>
  </r>
  <r>
    <n v="2000"/>
    <n v="1"/>
    <n v="6"/>
    <x v="1135"/>
    <n v="145"/>
    <n v="28"/>
    <n v="0"/>
    <n v="4060"/>
    <s v="Threads"/>
    <s v="Seattle"/>
    <s v="Female"/>
    <x v="1"/>
    <n v="2016"/>
  </r>
  <r>
    <n v="2001"/>
    <n v="2"/>
    <n v="8"/>
    <x v="1135"/>
    <n v="113"/>
    <n v="27"/>
    <n v="0"/>
    <n v="3051"/>
    <s v="A Shirts Life"/>
    <s v="Portland"/>
    <s v="Female"/>
    <x v="1"/>
    <n v="2016"/>
  </r>
  <r>
    <n v="2002"/>
    <n v="3"/>
    <n v="9"/>
    <x v="1135"/>
    <n v="141"/>
    <n v="25"/>
    <n v="0"/>
    <n v="3525"/>
    <s v="Shirts R Us"/>
    <s v="Los Angeles"/>
    <s v="Male"/>
    <x v="1"/>
    <n v="2016"/>
  </r>
  <r>
    <n v="2003"/>
    <n v="6"/>
    <n v="8"/>
    <x v="1135"/>
    <n v="81"/>
    <n v="27"/>
    <n v="0"/>
    <n v="2187"/>
    <s v="Abracadaba Ink"/>
    <s v="Salt Lake City"/>
    <s v="Female"/>
    <x v="1"/>
    <n v="2016"/>
  </r>
  <r>
    <n v="2004"/>
    <n v="5"/>
    <n v="8"/>
    <x v="1136"/>
    <n v="138"/>
    <n v="27"/>
    <n v="0.10000000100000001"/>
    <n v="3353.3999962739999"/>
    <s v="Rags to Riches"/>
    <s v="Las Vegas"/>
    <s v="Female"/>
    <x v="23"/>
    <n v="2016"/>
  </r>
  <r>
    <n v="2005"/>
    <n v="1"/>
    <n v="9"/>
    <x v="1137"/>
    <n v="34"/>
    <n v="25"/>
    <n v="5.0000001000000002E-2"/>
    <n v="807.49999915000001"/>
    <s v="Threads"/>
    <s v="Seattle"/>
    <s v="Male"/>
    <x v="2"/>
    <n v="2016"/>
  </r>
  <r>
    <n v="2006"/>
    <n v="6"/>
    <n v="3"/>
    <x v="1137"/>
    <n v="80"/>
    <n v="22"/>
    <n v="0"/>
    <n v="1760"/>
    <s v="Abracadaba Ink"/>
    <s v="Salt Lake City"/>
    <s v="Both"/>
    <x v="2"/>
    <n v="2016"/>
  </r>
  <r>
    <n v="2007"/>
    <n v="2"/>
    <n v="5"/>
    <x v="1138"/>
    <n v="117"/>
    <n v="16"/>
    <n v="0"/>
    <n v="1872"/>
    <s v="A Shirts Life"/>
    <s v="Portland"/>
    <s v="Female"/>
    <x v="24"/>
    <n v="2016"/>
  </r>
  <r>
    <n v="2008"/>
    <n v="4"/>
    <n v="3"/>
    <x v="1138"/>
    <n v="86"/>
    <n v="22"/>
    <n v="0"/>
    <n v="1892"/>
    <s v="Tshirt Unlimited"/>
    <s v="Phoenix"/>
    <s v="Both"/>
    <x v="24"/>
    <n v="2016"/>
  </r>
  <r>
    <n v="2009"/>
    <n v="1"/>
    <n v="9"/>
    <x v="1139"/>
    <n v="126"/>
    <n v="25"/>
    <n v="0.15000000599999999"/>
    <n v="2677.4999810999998"/>
    <s v="Threads"/>
    <s v="Seattle"/>
    <s v="Male"/>
    <x v="3"/>
    <n v="2016"/>
  </r>
  <r>
    <n v="2010"/>
    <n v="7"/>
    <n v="2"/>
    <x v="1140"/>
    <n v="136"/>
    <n v="30"/>
    <n v="0"/>
    <n v="4080"/>
    <s v="The Shirt on Your Back"/>
    <s v="Bonners Ferry"/>
    <s v="Both"/>
    <x v="4"/>
    <n v="2016"/>
  </r>
  <r>
    <n v="2011"/>
    <n v="7"/>
    <n v="8"/>
    <x v="1140"/>
    <n v="110"/>
    <n v="27"/>
    <n v="0"/>
    <n v="2970"/>
    <s v="The Shirt on Your Back"/>
    <s v="Bonners Ferry"/>
    <s v="Female"/>
    <x v="4"/>
    <n v="2016"/>
  </r>
  <r>
    <n v="2012"/>
    <n v="1"/>
    <n v="7"/>
    <x v="1141"/>
    <n v="47"/>
    <n v="38"/>
    <n v="0"/>
    <n v="1786"/>
    <s v="Threads"/>
    <s v="Seattle"/>
    <s v="Female"/>
    <x v="5"/>
    <n v="2016"/>
  </r>
  <r>
    <n v="2013"/>
    <n v="4"/>
    <n v="2"/>
    <x v="1141"/>
    <n v="118"/>
    <n v="30"/>
    <n v="0"/>
    <n v="3540"/>
    <s v="Tshirt Unlimited"/>
    <s v="Phoenix"/>
    <s v="Both"/>
    <x v="5"/>
    <n v="2016"/>
  </r>
  <r>
    <n v="2014"/>
    <n v="4"/>
    <n v="6"/>
    <x v="1141"/>
    <n v="60"/>
    <n v="28"/>
    <n v="0"/>
    <n v="1680"/>
    <s v="Tshirt Unlimited"/>
    <s v="Phoenix"/>
    <s v="Female"/>
    <x v="5"/>
    <n v="2016"/>
  </r>
  <r>
    <n v="2015"/>
    <n v="7"/>
    <n v="1"/>
    <x v="1141"/>
    <n v="127"/>
    <n v="20"/>
    <n v="0"/>
    <n v="2540"/>
    <s v="The Shirt on Your Back"/>
    <s v="Bonners Ferry"/>
    <s v="Both"/>
    <x v="5"/>
    <n v="2016"/>
  </r>
  <r>
    <n v="2016"/>
    <n v="7"/>
    <n v="2"/>
    <x v="1141"/>
    <n v="59"/>
    <n v="30"/>
    <n v="0"/>
    <n v="1770"/>
    <s v="The Shirt on Your Back"/>
    <s v="Bonners Ferry"/>
    <s v="Both"/>
    <x v="5"/>
    <n v="2016"/>
  </r>
  <r>
    <n v="2017"/>
    <n v="7"/>
    <n v="10"/>
    <x v="1142"/>
    <n v="134"/>
    <n v="35"/>
    <n v="0"/>
    <n v="4690"/>
    <s v="The Shirt on Your Back"/>
    <s v="Bonners Ferry"/>
    <s v="Male"/>
    <x v="6"/>
    <n v="2016"/>
  </r>
  <r>
    <n v="2018"/>
    <n v="5"/>
    <n v="9"/>
    <x v="1143"/>
    <n v="113"/>
    <n v="25"/>
    <n v="0"/>
    <n v="2825"/>
    <s v="Rags to Riches"/>
    <s v="Las Vegas"/>
    <s v="Male"/>
    <x v="7"/>
    <n v="2016"/>
  </r>
  <r>
    <n v="2019"/>
    <n v="7"/>
    <n v="6"/>
    <x v="1143"/>
    <n v="119"/>
    <n v="28"/>
    <n v="5.0000001000000002E-2"/>
    <n v="3165.3999966679999"/>
    <s v="The Shirt on Your Back"/>
    <s v="Bonners Ferry"/>
    <s v="Female"/>
    <x v="7"/>
    <n v="2016"/>
  </r>
  <r>
    <n v="2020"/>
    <n v="4"/>
    <n v="3"/>
    <x v="1144"/>
    <n v="112"/>
    <n v="22"/>
    <n v="5.0000001000000002E-2"/>
    <n v="2340.7999975359999"/>
    <s v="Tshirt Unlimited"/>
    <s v="Phoenix"/>
    <s v="Both"/>
    <x v="25"/>
    <n v="2016"/>
  </r>
  <r>
    <n v="2021"/>
    <n v="5"/>
    <n v="10"/>
    <x v="1145"/>
    <n v="98"/>
    <n v="35"/>
    <n v="0"/>
    <n v="3430"/>
    <s v="Rags to Riches"/>
    <s v="Las Vegas"/>
    <s v="Male"/>
    <x v="9"/>
    <n v="2016"/>
  </r>
  <r>
    <n v="2022"/>
    <n v="2"/>
    <n v="1"/>
    <x v="1146"/>
    <n v="128"/>
    <n v="20"/>
    <n v="0"/>
    <n v="2560"/>
    <s v="A Shirts Life"/>
    <s v="Portland"/>
    <s v="Both"/>
    <x v="10"/>
    <n v="2016"/>
  </r>
  <r>
    <n v="2023"/>
    <n v="3"/>
    <n v="10"/>
    <x v="1147"/>
    <n v="102"/>
    <n v="35"/>
    <n v="0"/>
    <n v="3570"/>
    <s v="Shirts R Us"/>
    <s v="Los Angeles"/>
    <s v="Male"/>
    <x v="26"/>
    <n v="2016"/>
  </r>
  <r>
    <n v="2024"/>
    <n v="3"/>
    <n v="5"/>
    <x v="1148"/>
    <n v="130"/>
    <n v="16"/>
    <n v="0"/>
    <n v="2080"/>
    <s v="Shirts R Us"/>
    <s v="Los Angeles"/>
    <s v="Female"/>
    <x v="12"/>
    <n v="2016"/>
  </r>
  <r>
    <n v="2025"/>
    <n v="1"/>
    <n v="7"/>
    <x v="1149"/>
    <n v="148"/>
    <n v="38"/>
    <n v="0"/>
    <n v="5624"/>
    <s v="Threads"/>
    <s v="Seattle"/>
    <s v="Female"/>
    <x v="13"/>
    <n v="2016"/>
  </r>
  <r>
    <n v="2026"/>
    <n v="3"/>
    <n v="4"/>
    <x v="1149"/>
    <n v="76"/>
    <n v="30"/>
    <n v="0"/>
    <n v="2280"/>
    <s v="Shirts R Us"/>
    <s v="Los Angeles"/>
    <s v="Both"/>
    <x v="13"/>
    <n v="2016"/>
  </r>
  <r>
    <n v="2027"/>
    <n v="5"/>
    <n v="9"/>
    <x v="1149"/>
    <n v="39"/>
    <n v="25"/>
    <n v="0"/>
    <n v="975"/>
    <s v="Rags to Riches"/>
    <s v="Las Vegas"/>
    <s v="Male"/>
    <x v="13"/>
    <n v="2016"/>
  </r>
  <r>
    <n v="2028"/>
    <n v="5"/>
    <n v="4"/>
    <x v="1150"/>
    <n v="28"/>
    <n v="30"/>
    <n v="0"/>
    <n v="840"/>
    <s v="Rags to Riches"/>
    <s v="Las Vegas"/>
    <s v="Both"/>
    <x v="27"/>
    <n v="2016"/>
  </r>
  <r>
    <n v="2029"/>
    <n v="7"/>
    <n v="5"/>
    <x v="1150"/>
    <n v="132"/>
    <n v="16"/>
    <n v="0"/>
    <n v="2112"/>
    <s v="The Shirt on Your Back"/>
    <s v="Bonners Ferry"/>
    <s v="Female"/>
    <x v="27"/>
    <n v="2016"/>
  </r>
  <r>
    <n v="2030"/>
    <n v="1"/>
    <n v="8"/>
    <x v="1151"/>
    <n v="55"/>
    <n v="27"/>
    <n v="0"/>
    <n v="1485"/>
    <s v="Threads"/>
    <s v="Seattle"/>
    <s v="Female"/>
    <x v="15"/>
    <n v="2016"/>
  </r>
  <r>
    <n v="2031"/>
    <n v="5"/>
    <n v="3"/>
    <x v="1151"/>
    <n v="30"/>
    <n v="22"/>
    <n v="0"/>
    <n v="660"/>
    <s v="Rags to Riches"/>
    <s v="Las Vegas"/>
    <s v="Both"/>
    <x v="15"/>
    <n v="2016"/>
  </r>
  <r>
    <n v="2032"/>
    <n v="6"/>
    <n v="3"/>
    <x v="1152"/>
    <n v="143"/>
    <n v="22"/>
    <n v="0"/>
    <n v="3146"/>
    <s v="Abracadaba Ink"/>
    <s v="Salt Lake City"/>
    <s v="Both"/>
    <x v="16"/>
    <n v="2016"/>
  </r>
  <r>
    <n v="2033"/>
    <n v="2"/>
    <n v="5"/>
    <x v="1153"/>
    <n v="102"/>
    <n v="16"/>
    <n v="0.10000000100000001"/>
    <n v="1468.7999983679999"/>
    <s v="A Shirts Life"/>
    <s v="Portland"/>
    <s v="Female"/>
    <x v="17"/>
    <n v="2016"/>
  </r>
  <r>
    <n v="2034"/>
    <n v="5"/>
    <n v="9"/>
    <x v="1153"/>
    <n v="89"/>
    <n v="25"/>
    <n v="0"/>
    <n v="2225"/>
    <s v="Rags to Riches"/>
    <s v="Las Vegas"/>
    <s v="Male"/>
    <x v="17"/>
    <n v="2016"/>
  </r>
  <r>
    <n v="2035"/>
    <n v="1"/>
    <n v="9"/>
    <x v="1154"/>
    <n v="45"/>
    <n v="25"/>
    <n v="0"/>
    <n v="1125"/>
    <s v="Threads"/>
    <s v="Seattle"/>
    <s v="Male"/>
    <x v="19"/>
    <n v="2016"/>
  </r>
  <r>
    <n v="2036"/>
    <n v="3"/>
    <n v="5"/>
    <x v="1155"/>
    <n v="38"/>
    <n v="16"/>
    <n v="0"/>
    <n v="608"/>
    <s v="Shirts R Us"/>
    <s v="Los Angeles"/>
    <s v="Female"/>
    <x v="20"/>
    <n v="2016"/>
  </r>
  <r>
    <n v="2037"/>
    <n v="3"/>
    <n v="10"/>
    <x v="1155"/>
    <n v="95"/>
    <n v="35"/>
    <n v="5.0000001000000002E-2"/>
    <n v="3158.7499966750001"/>
    <s v="Shirts R Us"/>
    <s v="Los Angeles"/>
    <s v="Male"/>
    <x v="20"/>
    <n v="2016"/>
  </r>
  <r>
    <n v="2038"/>
    <n v="6"/>
    <n v="7"/>
    <x v="1155"/>
    <n v="78"/>
    <n v="38"/>
    <n v="5.0000001000000002E-2"/>
    <n v="2815.7999970360001"/>
    <s v="Abracadaba Ink"/>
    <s v="Salt Lake City"/>
    <s v="Female"/>
    <x v="20"/>
    <n v="2016"/>
  </r>
  <r>
    <n v="2039"/>
    <n v="4"/>
    <n v="6"/>
    <x v="1156"/>
    <n v="109"/>
    <n v="28"/>
    <n v="0"/>
    <n v="3052"/>
    <s v="Tshirt Unlimited"/>
    <s v="Phoenix"/>
    <s v="Female"/>
    <x v="21"/>
    <n v="2016"/>
  </r>
  <r>
    <n v="2040"/>
    <n v="2"/>
    <n v="10"/>
    <x v="1157"/>
    <n v="150"/>
    <n v="35"/>
    <n v="0"/>
    <n v="5250"/>
    <s v="A Shirts Life"/>
    <s v="Portland"/>
    <s v="Male"/>
    <x v="22"/>
    <n v="2016"/>
  </r>
  <r>
    <n v="2041"/>
    <n v="2"/>
    <n v="3"/>
    <x v="1158"/>
    <n v="74"/>
    <n v="22"/>
    <n v="0"/>
    <n v="1628"/>
    <s v="A Shirts Life"/>
    <s v="Portland"/>
    <s v="Both"/>
    <x v="28"/>
    <n v="2016"/>
  </r>
  <r>
    <n v="2042"/>
    <n v="4"/>
    <n v="6"/>
    <x v="1158"/>
    <n v="135"/>
    <n v="28"/>
    <n v="0.10000000100000001"/>
    <n v="3401.99999622"/>
    <s v="Tshirt Unlimited"/>
    <s v="Phoenix"/>
    <s v="Female"/>
    <x v="28"/>
    <n v="2016"/>
  </r>
  <r>
    <n v="2043"/>
    <n v="4"/>
    <n v="10"/>
    <x v="1158"/>
    <n v="72"/>
    <n v="35"/>
    <n v="0"/>
    <n v="2520"/>
    <s v="Tshirt Unlimited"/>
    <s v="Phoenix"/>
    <s v="Male"/>
    <x v="28"/>
    <n v="2016"/>
  </r>
  <r>
    <n v="2044"/>
    <n v="5"/>
    <n v="5"/>
    <x v="1158"/>
    <n v="87"/>
    <n v="16"/>
    <n v="0"/>
    <n v="1392"/>
    <s v="Rags to Riches"/>
    <s v="Las Vegas"/>
    <s v="Female"/>
    <x v="28"/>
    <n v="2016"/>
  </r>
  <r>
    <n v="2045"/>
    <n v="6"/>
    <n v="4"/>
    <x v="1159"/>
    <n v="122"/>
    <n v="30"/>
    <n v="0"/>
    <n v="3660"/>
    <s v="Abracadaba Ink"/>
    <s v="Salt Lake City"/>
    <s v="Both"/>
    <x v="0"/>
    <n v="2016"/>
  </r>
  <r>
    <n v="2046"/>
    <n v="6"/>
    <n v="7"/>
    <x v="1159"/>
    <n v="104"/>
    <n v="38"/>
    <n v="0"/>
    <n v="3952"/>
    <s v="Abracadaba Ink"/>
    <s v="Salt Lake City"/>
    <s v="Female"/>
    <x v="0"/>
    <n v="2016"/>
  </r>
  <r>
    <n v="2047"/>
    <n v="2"/>
    <n v="3"/>
    <x v="1160"/>
    <n v="137"/>
    <n v="22"/>
    <n v="0"/>
    <n v="3014"/>
    <s v="A Shirts Life"/>
    <s v="Portland"/>
    <s v="Both"/>
    <x v="1"/>
    <n v="2016"/>
  </r>
  <r>
    <n v="2048"/>
    <n v="2"/>
    <n v="4"/>
    <x v="1161"/>
    <n v="115"/>
    <n v="30"/>
    <n v="0"/>
    <n v="3450"/>
    <s v="A Shirts Life"/>
    <s v="Portland"/>
    <s v="Both"/>
    <x v="3"/>
    <n v="2016"/>
  </r>
  <r>
    <n v="2049"/>
    <n v="3"/>
    <n v="3"/>
    <x v="1161"/>
    <n v="108"/>
    <n v="22"/>
    <n v="0"/>
    <n v="2376"/>
    <s v="Shirts R Us"/>
    <s v="Los Angeles"/>
    <s v="Both"/>
    <x v="3"/>
    <n v="2016"/>
  </r>
  <r>
    <n v="2050"/>
    <n v="3"/>
    <n v="7"/>
    <x v="1161"/>
    <n v="79"/>
    <n v="38"/>
    <n v="0"/>
    <n v="3002"/>
    <s v="Shirts R Us"/>
    <s v="Los Angeles"/>
    <s v="Female"/>
    <x v="3"/>
    <n v="2016"/>
  </r>
  <r>
    <n v="2051"/>
    <n v="4"/>
    <n v="10"/>
    <x v="1161"/>
    <n v="66"/>
    <n v="35"/>
    <n v="0"/>
    <n v="2310"/>
    <s v="Tshirt Unlimited"/>
    <s v="Phoenix"/>
    <s v="Male"/>
    <x v="3"/>
    <n v="2016"/>
  </r>
  <r>
    <n v="2052"/>
    <n v="5"/>
    <n v="8"/>
    <x v="1161"/>
    <n v="73"/>
    <n v="27"/>
    <n v="0"/>
    <n v="1971"/>
    <s v="Rags to Riches"/>
    <s v="Las Vegas"/>
    <s v="Female"/>
    <x v="3"/>
    <n v="2016"/>
  </r>
  <r>
    <n v="2053"/>
    <n v="2"/>
    <n v="1"/>
    <x v="1162"/>
    <n v="55"/>
    <n v="20"/>
    <n v="0"/>
    <n v="1100"/>
    <s v="A Shirts Life"/>
    <s v="Portland"/>
    <s v="Both"/>
    <x v="4"/>
    <n v="2016"/>
  </r>
  <r>
    <n v="2054"/>
    <n v="2"/>
    <n v="8"/>
    <x v="1162"/>
    <n v="47"/>
    <n v="27"/>
    <n v="0"/>
    <n v="1269"/>
    <s v="A Shirts Life"/>
    <s v="Portland"/>
    <s v="Female"/>
    <x v="4"/>
    <n v="2016"/>
  </r>
  <r>
    <n v="2055"/>
    <n v="5"/>
    <n v="4"/>
    <x v="1163"/>
    <n v="143"/>
    <n v="30"/>
    <n v="0"/>
    <n v="4290"/>
    <s v="Rags to Riches"/>
    <s v="Las Vegas"/>
    <s v="Both"/>
    <x v="5"/>
    <n v="2016"/>
  </r>
  <r>
    <n v="2056"/>
    <n v="1"/>
    <n v="5"/>
    <x v="1164"/>
    <n v="44"/>
    <n v="16"/>
    <n v="0"/>
    <n v="704"/>
    <s v="Threads"/>
    <s v="Seattle"/>
    <s v="Female"/>
    <x v="6"/>
    <n v="2016"/>
  </r>
  <r>
    <n v="2057"/>
    <n v="7"/>
    <n v="5"/>
    <x v="1164"/>
    <n v="70"/>
    <n v="16"/>
    <n v="0"/>
    <n v="1120"/>
    <s v="The Shirt on Your Back"/>
    <s v="Bonners Ferry"/>
    <s v="Female"/>
    <x v="6"/>
    <n v="2016"/>
  </r>
  <r>
    <n v="2058"/>
    <n v="1"/>
    <n v="1"/>
    <x v="1165"/>
    <n v="110"/>
    <n v="20"/>
    <n v="0"/>
    <n v="2200"/>
    <s v="Threads"/>
    <s v="Seattle"/>
    <s v="Both"/>
    <x v="30"/>
    <n v="2016"/>
  </r>
  <r>
    <n v="2059"/>
    <n v="1"/>
    <n v="6"/>
    <x v="1165"/>
    <n v="34"/>
    <n v="28"/>
    <n v="0"/>
    <n v="952"/>
    <s v="Threads"/>
    <s v="Seattle"/>
    <s v="Female"/>
    <x v="30"/>
    <n v="2016"/>
  </r>
  <r>
    <n v="2060"/>
    <n v="1"/>
    <n v="9"/>
    <x v="1165"/>
    <n v="139"/>
    <n v="25"/>
    <n v="0"/>
    <n v="3475"/>
    <s v="Threads"/>
    <s v="Seattle"/>
    <s v="Male"/>
    <x v="30"/>
    <n v="2016"/>
  </r>
  <r>
    <n v="2061"/>
    <n v="6"/>
    <n v="4"/>
    <x v="1165"/>
    <n v="147"/>
    <n v="30"/>
    <n v="0"/>
    <n v="4410"/>
    <s v="Abracadaba Ink"/>
    <s v="Salt Lake City"/>
    <s v="Both"/>
    <x v="30"/>
    <n v="2016"/>
  </r>
  <r>
    <n v="2062"/>
    <n v="1"/>
    <n v="3"/>
    <x v="1166"/>
    <n v="113"/>
    <n v="22"/>
    <n v="0.10000000100000001"/>
    <n v="2237.399997514"/>
    <s v="Threads"/>
    <s v="Seattle"/>
    <s v="Both"/>
    <x v="7"/>
    <n v="2016"/>
  </r>
  <r>
    <n v="2063"/>
    <n v="1"/>
    <n v="1"/>
    <x v="1167"/>
    <n v="96"/>
    <n v="20"/>
    <n v="0"/>
    <n v="1920"/>
    <s v="Threads"/>
    <s v="Seattle"/>
    <s v="Both"/>
    <x v="9"/>
    <n v="2016"/>
  </r>
  <r>
    <n v="2064"/>
    <n v="4"/>
    <n v="10"/>
    <x v="1168"/>
    <n v="37"/>
    <n v="35"/>
    <n v="0.15000000599999999"/>
    <n v="1100.7499922300001"/>
    <s v="Tshirt Unlimited"/>
    <s v="Phoenix"/>
    <s v="Male"/>
    <x v="26"/>
    <n v="2016"/>
  </r>
  <r>
    <n v="2065"/>
    <n v="6"/>
    <n v="6"/>
    <x v="1169"/>
    <n v="113"/>
    <n v="28"/>
    <n v="0"/>
    <n v="3164"/>
    <s v="Abracadaba Ink"/>
    <s v="Salt Lake City"/>
    <s v="Female"/>
    <x v="27"/>
    <n v="2016"/>
  </r>
  <r>
    <n v="2066"/>
    <n v="5"/>
    <n v="5"/>
    <x v="1170"/>
    <n v="128"/>
    <n v="16"/>
    <n v="5.0000001000000002E-2"/>
    <n v="1945.599997952"/>
    <s v="Rags to Riches"/>
    <s v="Las Vegas"/>
    <s v="Female"/>
    <x v="14"/>
    <n v="2016"/>
  </r>
  <r>
    <n v="2067"/>
    <n v="1"/>
    <n v="5"/>
    <x v="1171"/>
    <n v="133"/>
    <n v="16"/>
    <n v="0"/>
    <n v="2128"/>
    <s v="Threads"/>
    <s v="Seattle"/>
    <s v="Female"/>
    <x v="15"/>
    <n v="2016"/>
  </r>
  <r>
    <n v="2068"/>
    <n v="2"/>
    <n v="5"/>
    <x v="1171"/>
    <n v="63"/>
    <n v="16"/>
    <n v="0"/>
    <n v="1008"/>
    <s v="A Shirts Life"/>
    <s v="Portland"/>
    <s v="Female"/>
    <x v="15"/>
    <n v="2016"/>
  </r>
  <r>
    <n v="2069"/>
    <n v="4"/>
    <n v="3"/>
    <x v="1171"/>
    <n v="93"/>
    <n v="22"/>
    <n v="0"/>
    <n v="2046"/>
    <s v="Tshirt Unlimited"/>
    <s v="Phoenix"/>
    <s v="Both"/>
    <x v="15"/>
    <n v="2016"/>
  </r>
  <r>
    <n v="2070"/>
    <n v="3"/>
    <n v="7"/>
    <x v="1172"/>
    <n v="116"/>
    <n v="38"/>
    <n v="0"/>
    <n v="4408"/>
    <s v="Shirts R Us"/>
    <s v="Los Angeles"/>
    <s v="Female"/>
    <x v="17"/>
    <n v="2016"/>
  </r>
  <r>
    <n v="2071"/>
    <n v="7"/>
    <n v="4"/>
    <x v="1172"/>
    <n v="34"/>
    <n v="30"/>
    <n v="0"/>
    <n v="1020"/>
    <s v="The Shirt on Your Back"/>
    <s v="Bonners Ferry"/>
    <s v="Both"/>
    <x v="17"/>
    <n v="2016"/>
  </r>
  <r>
    <n v="2072"/>
    <n v="4"/>
    <n v="1"/>
    <x v="1173"/>
    <n v="102"/>
    <n v="20"/>
    <n v="0"/>
    <n v="2040"/>
    <s v="Tshirt Unlimited"/>
    <s v="Phoenix"/>
    <s v="Both"/>
    <x v="18"/>
    <n v="2016"/>
  </r>
  <r>
    <n v="2073"/>
    <n v="7"/>
    <n v="2"/>
    <x v="1173"/>
    <n v="76"/>
    <n v="30"/>
    <n v="0.10000000100000001"/>
    <n v="2051.99999772"/>
    <s v="The Shirt on Your Back"/>
    <s v="Bonners Ferry"/>
    <s v="Both"/>
    <x v="18"/>
    <n v="2016"/>
  </r>
  <r>
    <n v="2074"/>
    <n v="3"/>
    <n v="1"/>
    <x v="1174"/>
    <n v="133"/>
    <n v="20"/>
    <n v="0.10000000100000001"/>
    <n v="2393.9999973399999"/>
    <s v="Shirts R Us"/>
    <s v="Los Angeles"/>
    <s v="Both"/>
    <x v="21"/>
    <n v="2016"/>
  </r>
  <r>
    <n v="2075"/>
    <n v="3"/>
    <n v="7"/>
    <x v="1174"/>
    <n v="114"/>
    <n v="38"/>
    <n v="0"/>
    <n v="4332"/>
    <s v="Shirts R Us"/>
    <s v="Los Angeles"/>
    <s v="Female"/>
    <x v="21"/>
    <n v="2016"/>
  </r>
  <r>
    <n v="2076"/>
    <n v="2"/>
    <n v="1"/>
    <x v="1175"/>
    <n v="121"/>
    <n v="20"/>
    <n v="5.0000001000000002E-2"/>
    <n v="2298.9999975800001"/>
    <s v="A Shirts Life"/>
    <s v="Portland"/>
    <s v="Both"/>
    <x v="22"/>
    <n v="2016"/>
  </r>
  <r>
    <n v="2077"/>
    <n v="7"/>
    <n v="5"/>
    <x v="1176"/>
    <n v="75"/>
    <n v="16"/>
    <n v="0"/>
    <n v="1200"/>
    <s v="The Shirt on Your Back"/>
    <s v="Bonners Ferry"/>
    <s v="Female"/>
    <x v="29"/>
    <n v="2016"/>
  </r>
  <r>
    <n v="2078"/>
    <n v="3"/>
    <n v="2"/>
    <x v="1177"/>
    <n v="139"/>
    <n v="30"/>
    <n v="0"/>
    <n v="4170"/>
    <s v="Shirts R Us"/>
    <s v="Los Angeles"/>
    <s v="Both"/>
    <x v="28"/>
    <n v="2016"/>
  </r>
  <r>
    <n v="2079"/>
    <n v="4"/>
    <n v="6"/>
    <x v="1177"/>
    <n v="71"/>
    <n v="28"/>
    <n v="0"/>
    <n v="1988"/>
    <s v="Tshirt Unlimited"/>
    <s v="Phoenix"/>
    <s v="Female"/>
    <x v="28"/>
    <n v="2016"/>
  </r>
  <r>
    <n v="2080"/>
    <n v="2"/>
    <n v="2"/>
    <x v="1178"/>
    <n v="90"/>
    <n v="30"/>
    <n v="5.0000001000000002E-2"/>
    <n v="2564.9999972999999"/>
    <s v="A Shirts Life"/>
    <s v="Portland"/>
    <s v="Both"/>
    <x v="0"/>
    <n v="2016"/>
  </r>
  <r>
    <n v="2081"/>
    <n v="3"/>
    <n v="10"/>
    <x v="1178"/>
    <n v="68"/>
    <n v="35"/>
    <n v="5.0000001000000002E-2"/>
    <n v="2260.9999976200002"/>
    <s v="Shirts R Us"/>
    <s v="Los Angeles"/>
    <s v="Male"/>
    <x v="0"/>
    <n v="2016"/>
  </r>
  <r>
    <n v="2082"/>
    <n v="1"/>
    <n v="8"/>
    <x v="1179"/>
    <n v="121"/>
    <n v="27"/>
    <n v="0"/>
    <n v="3267"/>
    <s v="Threads"/>
    <s v="Seattle"/>
    <s v="Female"/>
    <x v="23"/>
    <n v="2016"/>
  </r>
  <r>
    <n v="2083"/>
    <n v="3"/>
    <n v="5"/>
    <x v="1179"/>
    <n v="54"/>
    <n v="16"/>
    <n v="0"/>
    <n v="864"/>
    <s v="Shirts R Us"/>
    <s v="Los Angeles"/>
    <s v="Female"/>
    <x v="23"/>
    <n v="2016"/>
  </r>
  <r>
    <n v="2084"/>
    <n v="7"/>
    <n v="2"/>
    <x v="1180"/>
    <n v="148"/>
    <n v="30"/>
    <n v="0"/>
    <n v="4440"/>
    <s v="The Shirt on Your Back"/>
    <s v="Bonners Ferry"/>
    <s v="Both"/>
    <x v="2"/>
    <n v="2016"/>
  </r>
  <r>
    <n v="2085"/>
    <n v="2"/>
    <n v="10"/>
    <x v="1181"/>
    <n v="114"/>
    <n v="35"/>
    <n v="0.10000000100000001"/>
    <n v="3590.9999960099999"/>
    <s v="A Shirts Life"/>
    <s v="Portland"/>
    <s v="Male"/>
    <x v="24"/>
    <n v="2016"/>
  </r>
  <r>
    <n v="2086"/>
    <n v="7"/>
    <n v="10"/>
    <x v="1181"/>
    <n v="60"/>
    <n v="35"/>
    <n v="0.15000000599999999"/>
    <n v="1784.9999874"/>
    <s v="The Shirt on Your Back"/>
    <s v="Bonners Ferry"/>
    <s v="Male"/>
    <x v="24"/>
    <n v="2016"/>
  </r>
  <r>
    <n v="2087"/>
    <n v="1"/>
    <n v="2"/>
    <x v="1182"/>
    <n v="88"/>
    <n v="30"/>
    <n v="0"/>
    <n v="2640"/>
    <s v="Threads"/>
    <s v="Seattle"/>
    <s v="Both"/>
    <x v="4"/>
    <n v="2016"/>
  </r>
  <r>
    <n v="2088"/>
    <n v="3"/>
    <n v="3"/>
    <x v="1183"/>
    <n v="89"/>
    <n v="22"/>
    <n v="0"/>
    <n v="1958"/>
    <s v="Shirts R Us"/>
    <s v="Los Angeles"/>
    <s v="Both"/>
    <x v="5"/>
    <n v="2016"/>
  </r>
  <r>
    <n v="2089"/>
    <n v="4"/>
    <n v="9"/>
    <x v="1183"/>
    <n v="72"/>
    <n v="25"/>
    <n v="0"/>
    <n v="1800"/>
    <s v="Tshirt Unlimited"/>
    <s v="Phoenix"/>
    <s v="Male"/>
    <x v="5"/>
    <n v="2016"/>
  </r>
  <r>
    <n v="2090"/>
    <n v="6"/>
    <n v="7"/>
    <x v="1183"/>
    <n v="134"/>
    <n v="38"/>
    <n v="0"/>
    <n v="5092"/>
    <s v="Abracadaba Ink"/>
    <s v="Salt Lake City"/>
    <s v="Female"/>
    <x v="5"/>
    <n v="2016"/>
  </r>
  <r>
    <n v="2091"/>
    <n v="6"/>
    <n v="9"/>
    <x v="1183"/>
    <n v="135"/>
    <n v="25"/>
    <n v="0"/>
    <n v="3375"/>
    <s v="Abracadaba Ink"/>
    <s v="Salt Lake City"/>
    <s v="Male"/>
    <x v="5"/>
    <n v="2016"/>
  </r>
  <r>
    <n v="2092"/>
    <n v="1"/>
    <n v="6"/>
    <x v="1184"/>
    <n v="150"/>
    <n v="28"/>
    <n v="0"/>
    <n v="4200"/>
    <s v="Threads"/>
    <s v="Seattle"/>
    <s v="Female"/>
    <x v="6"/>
    <n v="2016"/>
  </r>
  <r>
    <n v="2093"/>
    <n v="3"/>
    <n v="7"/>
    <x v="1184"/>
    <n v="144"/>
    <n v="38"/>
    <n v="0"/>
    <n v="5472"/>
    <s v="Shirts R Us"/>
    <s v="Los Angeles"/>
    <s v="Female"/>
    <x v="6"/>
    <n v="2016"/>
  </r>
  <r>
    <n v="2094"/>
    <n v="1"/>
    <n v="5"/>
    <x v="1185"/>
    <n v="81"/>
    <n v="16"/>
    <n v="0"/>
    <n v="1296"/>
    <s v="Threads"/>
    <s v="Seattle"/>
    <s v="Female"/>
    <x v="30"/>
    <n v="2016"/>
  </r>
  <r>
    <n v="2095"/>
    <n v="4"/>
    <n v="10"/>
    <x v="1186"/>
    <n v="115"/>
    <n v="35"/>
    <n v="0"/>
    <n v="4025"/>
    <s v="Tshirt Unlimited"/>
    <s v="Phoenix"/>
    <s v="Male"/>
    <x v="25"/>
    <n v="2016"/>
  </r>
  <r>
    <n v="2096"/>
    <n v="2"/>
    <n v="5"/>
    <x v="1187"/>
    <n v="55"/>
    <n v="16"/>
    <n v="0"/>
    <n v="880"/>
    <s v="A Shirts Life"/>
    <s v="Portland"/>
    <s v="Female"/>
    <x v="8"/>
    <n v="2016"/>
  </r>
  <r>
    <n v="2097"/>
    <n v="1"/>
    <n v="4"/>
    <x v="1188"/>
    <n v="58"/>
    <n v="30"/>
    <n v="0"/>
    <n v="1740"/>
    <s v="Threads"/>
    <s v="Seattle"/>
    <s v="Both"/>
    <x v="11"/>
    <n v="2016"/>
  </r>
  <r>
    <n v="2098"/>
    <n v="4"/>
    <n v="7"/>
    <x v="1188"/>
    <n v="46"/>
    <n v="38"/>
    <n v="0"/>
    <n v="1748"/>
    <s v="Tshirt Unlimited"/>
    <s v="Phoenix"/>
    <s v="Female"/>
    <x v="11"/>
    <n v="2016"/>
  </r>
  <r>
    <n v="2099"/>
    <n v="1"/>
    <n v="7"/>
    <x v="1189"/>
    <n v="121"/>
    <n v="38"/>
    <n v="0"/>
    <n v="4598"/>
    <s v="Threads"/>
    <s v="Seattle"/>
    <s v="Female"/>
    <x v="27"/>
    <n v="2016"/>
  </r>
  <r>
    <n v="2100"/>
    <n v="4"/>
    <n v="3"/>
    <x v="1189"/>
    <n v="98"/>
    <n v="22"/>
    <n v="0"/>
    <n v="2156"/>
    <s v="Tshirt Unlimited"/>
    <s v="Phoenix"/>
    <s v="Both"/>
    <x v="27"/>
    <n v="2016"/>
  </r>
  <r>
    <n v="2101"/>
    <n v="6"/>
    <n v="1"/>
    <x v="1190"/>
    <n v="89"/>
    <n v="20"/>
    <n v="0"/>
    <n v="1780"/>
    <s v="Abracadaba Ink"/>
    <s v="Salt Lake City"/>
    <s v="Both"/>
    <x v="16"/>
    <n v="2016"/>
  </r>
  <r>
    <n v="2102"/>
    <n v="1"/>
    <n v="2"/>
    <x v="1191"/>
    <n v="95"/>
    <n v="30"/>
    <n v="0"/>
    <n v="2850"/>
    <s v="Threads"/>
    <s v="Seattle"/>
    <s v="Both"/>
    <x v="17"/>
    <n v="2016"/>
  </r>
  <r>
    <n v="2103"/>
    <n v="2"/>
    <n v="7"/>
    <x v="1192"/>
    <n v="74"/>
    <n v="38"/>
    <n v="5.0000001000000002E-2"/>
    <n v="2671.3999971879998"/>
    <s v="A Shirts Life"/>
    <s v="Portland"/>
    <s v="Female"/>
    <x v="18"/>
    <n v="2016"/>
  </r>
  <r>
    <n v="2104"/>
    <n v="7"/>
    <n v="2"/>
    <x v="1192"/>
    <n v="46"/>
    <n v="30"/>
    <n v="0"/>
    <n v="1380"/>
    <s v="The Shirt on Your Back"/>
    <s v="Bonners Ferry"/>
    <s v="Both"/>
    <x v="18"/>
    <n v="2016"/>
  </r>
  <r>
    <n v="2105"/>
    <n v="6"/>
    <n v="5"/>
    <x v="1193"/>
    <n v="115"/>
    <n v="16"/>
    <n v="0"/>
    <n v="1840"/>
    <s v="Abracadaba Ink"/>
    <s v="Salt Lake City"/>
    <s v="Female"/>
    <x v="20"/>
    <n v="2016"/>
  </r>
  <r>
    <n v="2106"/>
    <n v="3"/>
    <n v="7"/>
    <x v="1194"/>
    <n v="56"/>
    <n v="38"/>
    <n v="0"/>
    <n v="2128"/>
    <s v="Shirts R Us"/>
    <s v="Los Angeles"/>
    <s v="Female"/>
    <x v="22"/>
    <n v="2016"/>
  </r>
  <r>
    <n v="2107"/>
    <n v="2"/>
    <n v="9"/>
    <x v="1195"/>
    <n v="145"/>
    <n v="25"/>
    <n v="0"/>
    <n v="3625"/>
    <s v="A Shirts Life"/>
    <s v="Portland"/>
    <s v="Male"/>
    <x v="28"/>
    <n v="2016"/>
  </r>
  <r>
    <n v="2108"/>
    <n v="7"/>
    <n v="5"/>
    <x v="1195"/>
    <n v="137"/>
    <n v="16"/>
    <n v="0.15000000599999999"/>
    <n v="1863.199986848"/>
    <s v="The Shirt on Your Back"/>
    <s v="Bonners Ferry"/>
    <s v="Female"/>
    <x v="28"/>
    <n v="2016"/>
  </r>
  <r>
    <n v="2109"/>
    <n v="7"/>
    <n v="10"/>
    <x v="1195"/>
    <n v="124"/>
    <n v="35"/>
    <n v="0"/>
    <n v="4340"/>
    <s v="The Shirt on Your Back"/>
    <s v="Bonners Ferry"/>
    <s v="Male"/>
    <x v="28"/>
    <n v="2016"/>
  </r>
  <r>
    <n v="2110"/>
    <n v="4"/>
    <n v="6"/>
    <x v="1196"/>
    <n v="148"/>
    <n v="28"/>
    <n v="0"/>
    <n v="4144"/>
    <s v="Tshirt Unlimited"/>
    <s v="Phoenix"/>
    <s v="Female"/>
    <x v="0"/>
    <n v="2016"/>
  </r>
  <r>
    <n v="2111"/>
    <n v="5"/>
    <n v="5"/>
    <x v="1197"/>
    <n v="103"/>
    <n v="16"/>
    <n v="0"/>
    <n v="1648"/>
    <s v="Rags to Riches"/>
    <s v="Las Vegas"/>
    <s v="Female"/>
    <x v="24"/>
    <n v="2016"/>
  </r>
  <r>
    <n v="2112"/>
    <n v="1"/>
    <n v="5"/>
    <x v="1198"/>
    <n v="68"/>
    <n v="16"/>
    <n v="0"/>
    <n v="1088"/>
    <s v="Threads"/>
    <s v="Seattle"/>
    <s v="Female"/>
    <x v="3"/>
    <n v="2016"/>
  </r>
  <r>
    <n v="2113"/>
    <n v="3"/>
    <n v="9"/>
    <x v="1198"/>
    <n v="60"/>
    <n v="25"/>
    <n v="0"/>
    <n v="1500"/>
    <s v="Shirts R Us"/>
    <s v="Los Angeles"/>
    <s v="Male"/>
    <x v="3"/>
    <n v="2016"/>
  </r>
  <r>
    <n v="2114"/>
    <n v="7"/>
    <n v="6"/>
    <x v="1198"/>
    <n v="114"/>
    <n v="28"/>
    <n v="0.10000000100000001"/>
    <n v="2872.7999968079998"/>
    <s v="The Shirt on Your Back"/>
    <s v="Bonners Ferry"/>
    <s v="Female"/>
    <x v="3"/>
    <n v="2016"/>
  </r>
  <r>
    <n v="2115"/>
    <n v="5"/>
    <n v="3"/>
    <x v="1199"/>
    <n v="136"/>
    <n v="22"/>
    <n v="0"/>
    <n v="2992"/>
    <s v="Rags to Riches"/>
    <s v="Las Vegas"/>
    <s v="Both"/>
    <x v="4"/>
    <n v="2016"/>
  </r>
  <r>
    <n v="2116"/>
    <n v="7"/>
    <n v="2"/>
    <x v="1199"/>
    <n v="40"/>
    <n v="30"/>
    <n v="5.0000001000000002E-2"/>
    <n v="1139.9999988"/>
    <s v="The Shirt on Your Back"/>
    <s v="Bonners Ferry"/>
    <s v="Both"/>
    <x v="4"/>
    <n v="2016"/>
  </r>
  <r>
    <n v="2117"/>
    <n v="7"/>
    <n v="9"/>
    <x v="1199"/>
    <n v="115"/>
    <n v="25"/>
    <n v="0"/>
    <n v="2875"/>
    <s v="The Shirt on Your Back"/>
    <s v="Bonners Ferry"/>
    <s v="Male"/>
    <x v="4"/>
    <n v="2016"/>
  </r>
  <r>
    <n v="2118"/>
    <n v="3"/>
    <n v="5"/>
    <x v="1200"/>
    <n v="81"/>
    <n v="16"/>
    <n v="0"/>
    <n v="1296"/>
    <s v="Shirts R Us"/>
    <s v="Los Angeles"/>
    <s v="Female"/>
    <x v="5"/>
    <n v="2016"/>
  </r>
  <r>
    <n v="2119"/>
    <n v="4"/>
    <n v="7"/>
    <x v="1200"/>
    <n v="41"/>
    <n v="38"/>
    <n v="0"/>
    <n v="1558"/>
    <s v="Tshirt Unlimited"/>
    <s v="Phoenix"/>
    <s v="Female"/>
    <x v="5"/>
    <n v="2016"/>
  </r>
  <r>
    <n v="2120"/>
    <n v="5"/>
    <n v="10"/>
    <x v="1200"/>
    <n v="123"/>
    <n v="35"/>
    <n v="0"/>
    <n v="4305"/>
    <s v="Rags to Riches"/>
    <s v="Las Vegas"/>
    <s v="Male"/>
    <x v="5"/>
    <n v="2016"/>
  </r>
  <r>
    <n v="2121"/>
    <n v="3"/>
    <n v="6"/>
    <x v="1201"/>
    <n v="64"/>
    <n v="28"/>
    <n v="0"/>
    <n v="1792"/>
    <s v="Shirts R Us"/>
    <s v="Los Angeles"/>
    <s v="Female"/>
    <x v="30"/>
    <n v="2016"/>
  </r>
  <r>
    <n v="2122"/>
    <n v="2"/>
    <n v="6"/>
    <x v="1202"/>
    <n v="54"/>
    <n v="28"/>
    <n v="0.15000000599999999"/>
    <n v="1285.199990928"/>
    <s v="A Shirts Life"/>
    <s v="Portland"/>
    <s v="Female"/>
    <x v="7"/>
    <n v="2016"/>
  </r>
  <r>
    <n v="2123"/>
    <n v="5"/>
    <n v="3"/>
    <x v="1203"/>
    <n v="79"/>
    <n v="22"/>
    <n v="0"/>
    <n v="1738"/>
    <s v="Rags to Riches"/>
    <s v="Las Vegas"/>
    <s v="Both"/>
    <x v="25"/>
    <n v="2016"/>
  </r>
  <r>
    <n v="2124"/>
    <n v="6"/>
    <n v="3"/>
    <x v="1203"/>
    <n v="26"/>
    <n v="22"/>
    <n v="0"/>
    <n v="572"/>
    <s v="Abracadaba Ink"/>
    <s v="Salt Lake City"/>
    <s v="Both"/>
    <x v="25"/>
    <n v="2016"/>
  </r>
  <r>
    <n v="2125"/>
    <n v="5"/>
    <n v="10"/>
    <x v="1204"/>
    <n v="141"/>
    <n v="35"/>
    <n v="0.10000000100000001"/>
    <n v="4441.4999950649999"/>
    <s v="Rags to Riches"/>
    <s v="Las Vegas"/>
    <s v="Male"/>
    <x v="8"/>
    <n v="2016"/>
  </r>
  <r>
    <n v="2126"/>
    <n v="4"/>
    <n v="3"/>
    <x v="1205"/>
    <n v="121"/>
    <n v="22"/>
    <n v="0.10000000100000001"/>
    <n v="2395.7999973380001"/>
    <s v="Tshirt Unlimited"/>
    <s v="Phoenix"/>
    <s v="Both"/>
    <x v="9"/>
    <n v="2016"/>
  </r>
  <r>
    <n v="2127"/>
    <n v="5"/>
    <n v="4"/>
    <x v="1205"/>
    <n v="44"/>
    <n v="30"/>
    <n v="0"/>
    <n v="1320"/>
    <s v="Rags to Riches"/>
    <s v="Las Vegas"/>
    <s v="Both"/>
    <x v="9"/>
    <n v="2016"/>
  </r>
  <r>
    <n v="2128"/>
    <n v="7"/>
    <n v="4"/>
    <x v="1205"/>
    <n v="70"/>
    <n v="30"/>
    <n v="0"/>
    <n v="2100"/>
    <s v="The Shirt on Your Back"/>
    <s v="Bonners Ferry"/>
    <s v="Both"/>
    <x v="9"/>
    <n v="2016"/>
  </r>
  <r>
    <n v="2129"/>
    <n v="1"/>
    <n v="7"/>
    <x v="1206"/>
    <n v="41"/>
    <n v="38"/>
    <n v="0"/>
    <n v="1558"/>
    <s v="Threads"/>
    <s v="Seattle"/>
    <s v="Female"/>
    <x v="12"/>
    <n v="2016"/>
  </r>
  <r>
    <n v="2130"/>
    <n v="7"/>
    <n v="6"/>
    <x v="1206"/>
    <n v="41"/>
    <n v="28"/>
    <n v="0.10000000100000001"/>
    <n v="1033.1999988519999"/>
    <s v="The Shirt on Your Back"/>
    <s v="Bonners Ferry"/>
    <s v="Female"/>
    <x v="12"/>
    <n v="2016"/>
  </r>
  <r>
    <n v="2131"/>
    <n v="2"/>
    <n v="10"/>
    <x v="1207"/>
    <n v="51"/>
    <n v="35"/>
    <n v="0"/>
    <n v="1785"/>
    <s v="A Shirts Life"/>
    <s v="Portland"/>
    <s v="Male"/>
    <x v="14"/>
    <n v="2016"/>
  </r>
  <r>
    <n v="2132"/>
    <n v="4"/>
    <n v="6"/>
    <x v="1207"/>
    <n v="47"/>
    <n v="28"/>
    <n v="0.10000000100000001"/>
    <n v="1184.3999986839999"/>
    <s v="Tshirt Unlimited"/>
    <s v="Phoenix"/>
    <s v="Female"/>
    <x v="14"/>
    <n v="2016"/>
  </r>
  <r>
    <n v="2133"/>
    <n v="6"/>
    <n v="4"/>
    <x v="1207"/>
    <n v="29"/>
    <n v="30"/>
    <n v="0"/>
    <n v="870"/>
    <s v="Abracadaba Ink"/>
    <s v="Salt Lake City"/>
    <s v="Both"/>
    <x v="14"/>
    <n v="2016"/>
  </r>
  <r>
    <n v="2134"/>
    <n v="6"/>
    <n v="6"/>
    <x v="1207"/>
    <n v="68"/>
    <n v="28"/>
    <n v="0"/>
    <n v="1904"/>
    <s v="Abracadaba Ink"/>
    <s v="Salt Lake City"/>
    <s v="Female"/>
    <x v="14"/>
    <n v="2016"/>
  </r>
  <r>
    <n v="2135"/>
    <n v="6"/>
    <n v="8"/>
    <x v="1207"/>
    <n v="113"/>
    <n v="27"/>
    <n v="0"/>
    <n v="3051"/>
    <s v="Abracadaba Ink"/>
    <s v="Salt Lake City"/>
    <s v="Female"/>
    <x v="14"/>
    <n v="2016"/>
  </r>
  <r>
    <n v="2136"/>
    <n v="3"/>
    <n v="1"/>
    <x v="1208"/>
    <n v="27"/>
    <n v="20"/>
    <n v="0"/>
    <n v="540"/>
    <s v="Shirts R Us"/>
    <s v="Los Angeles"/>
    <s v="Both"/>
    <x v="15"/>
    <n v="2016"/>
  </r>
  <r>
    <n v="2137"/>
    <n v="5"/>
    <n v="4"/>
    <x v="1209"/>
    <n v="71"/>
    <n v="30"/>
    <n v="0"/>
    <n v="2130"/>
    <s v="Rags to Riches"/>
    <s v="Las Vegas"/>
    <s v="Both"/>
    <x v="18"/>
    <n v="2016"/>
  </r>
  <r>
    <n v="2138"/>
    <n v="7"/>
    <n v="8"/>
    <x v="1209"/>
    <n v="47"/>
    <n v="27"/>
    <n v="0"/>
    <n v="1269"/>
    <s v="The Shirt on Your Back"/>
    <s v="Bonners Ferry"/>
    <s v="Female"/>
    <x v="18"/>
    <n v="2016"/>
  </r>
  <r>
    <n v="2139"/>
    <n v="7"/>
    <n v="10"/>
    <x v="1209"/>
    <n v="77"/>
    <n v="35"/>
    <n v="0"/>
    <n v="2695"/>
    <s v="The Shirt on Your Back"/>
    <s v="Bonners Ferry"/>
    <s v="Male"/>
    <x v="18"/>
    <n v="2016"/>
  </r>
  <r>
    <n v="2140"/>
    <n v="4"/>
    <n v="7"/>
    <x v="1210"/>
    <n v="115"/>
    <n v="38"/>
    <n v="0"/>
    <n v="4370"/>
    <s v="Tshirt Unlimited"/>
    <s v="Phoenix"/>
    <s v="Female"/>
    <x v="19"/>
    <n v="2016"/>
  </r>
  <r>
    <n v="2141"/>
    <n v="2"/>
    <n v="1"/>
    <x v="1211"/>
    <n v="31"/>
    <n v="20"/>
    <n v="0"/>
    <n v="620"/>
    <s v="A Shirts Life"/>
    <s v="Portland"/>
    <s v="Both"/>
    <x v="21"/>
    <n v="2016"/>
  </r>
  <r>
    <n v="2142"/>
    <n v="5"/>
    <n v="1"/>
    <x v="1211"/>
    <n v="75"/>
    <n v="20"/>
    <n v="0"/>
    <n v="1500"/>
    <s v="Rags to Riches"/>
    <s v="Las Vegas"/>
    <s v="Both"/>
    <x v="21"/>
    <n v="2016"/>
  </r>
  <r>
    <n v="2143"/>
    <n v="6"/>
    <n v="9"/>
    <x v="1211"/>
    <n v="147"/>
    <n v="25"/>
    <n v="0"/>
    <n v="3675"/>
    <s v="Abracadaba Ink"/>
    <s v="Salt Lake City"/>
    <s v="Male"/>
    <x v="21"/>
    <n v="2016"/>
  </r>
  <r>
    <n v="2144"/>
    <n v="7"/>
    <n v="2"/>
    <x v="1211"/>
    <n v="25"/>
    <n v="30"/>
    <n v="0"/>
    <n v="750"/>
    <s v="The Shirt on Your Back"/>
    <s v="Bonners Ferry"/>
    <s v="Both"/>
    <x v="21"/>
    <n v="2016"/>
  </r>
  <r>
    <n v="2145"/>
    <n v="7"/>
    <n v="8"/>
    <x v="1212"/>
    <n v="90"/>
    <n v="27"/>
    <n v="0"/>
    <n v="2430"/>
    <s v="The Shirt on Your Back"/>
    <s v="Bonners Ferry"/>
    <s v="Female"/>
    <x v="22"/>
    <n v="2016"/>
  </r>
  <r>
    <n v="2146"/>
    <n v="4"/>
    <n v="4"/>
    <x v="1213"/>
    <n v="106"/>
    <n v="30"/>
    <n v="0"/>
    <n v="3180"/>
    <s v="Tshirt Unlimited"/>
    <s v="Phoenix"/>
    <s v="Both"/>
    <x v="28"/>
    <n v="2016"/>
  </r>
  <r>
    <n v="2147"/>
    <n v="1"/>
    <n v="2"/>
    <x v="1214"/>
    <n v="80"/>
    <n v="30"/>
    <n v="0"/>
    <n v="2400"/>
    <s v="Threads"/>
    <s v="Seattle"/>
    <s v="Both"/>
    <x v="23"/>
    <n v="2016"/>
  </r>
  <r>
    <n v="2148"/>
    <n v="2"/>
    <n v="9"/>
    <x v="1215"/>
    <n v="36"/>
    <n v="25"/>
    <n v="0"/>
    <n v="900"/>
    <s v="A Shirts Life"/>
    <s v="Portland"/>
    <s v="Male"/>
    <x v="2"/>
    <n v="2016"/>
  </r>
  <r>
    <n v="2149"/>
    <n v="5"/>
    <n v="1"/>
    <x v="1215"/>
    <n v="32"/>
    <n v="20"/>
    <n v="0"/>
    <n v="640"/>
    <s v="Rags to Riches"/>
    <s v="Las Vegas"/>
    <s v="Both"/>
    <x v="2"/>
    <n v="2016"/>
  </r>
  <r>
    <n v="2150"/>
    <n v="5"/>
    <n v="9"/>
    <x v="1215"/>
    <n v="51"/>
    <n v="25"/>
    <n v="0"/>
    <n v="1275"/>
    <s v="Rags to Riches"/>
    <s v="Las Vegas"/>
    <s v="Male"/>
    <x v="2"/>
    <n v="2016"/>
  </r>
  <r>
    <n v="2151"/>
    <n v="3"/>
    <n v="8"/>
    <x v="1216"/>
    <n v="113"/>
    <n v="27"/>
    <n v="0"/>
    <n v="3051"/>
    <s v="Shirts R Us"/>
    <s v="Los Angeles"/>
    <s v="Female"/>
    <x v="24"/>
    <n v="2016"/>
  </r>
  <r>
    <n v="2152"/>
    <n v="2"/>
    <n v="4"/>
    <x v="1217"/>
    <n v="131"/>
    <n v="30"/>
    <n v="0"/>
    <n v="3930"/>
    <s v="A Shirts Life"/>
    <s v="Portland"/>
    <s v="Both"/>
    <x v="3"/>
    <n v="2016"/>
  </r>
  <r>
    <n v="2153"/>
    <n v="2"/>
    <n v="5"/>
    <x v="1217"/>
    <n v="32"/>
    <n v="16"/>
    <n v="5.0000001000000002E-2"/>
    <n v="486.39999948799999"/>
    <s v="A Shirts Life"/>
    <s v="Portland"/>
    <s v="Female"/>
    <x v="3"/>
    <n v="2016"/>
  </r>
  <r>
    <n v="2154"/>
    <n v="5"/>
    <n v="9"/>
    <x v="1217"/>
    <n v="32"/>
    <n v="25"/>
    <n v="0"/>
    <n v="800"/>
    <s v="Rags to Riches"/>
    <s v="Las Vegas"/>
    <s v="Male"/>
    <x v="3"/>
    <n v="2016"/>
  </r>
  <r>
    <n v="2155"/>
    <n v="1"/>
    <n v="6"/>
    <x v="1218"/>
    <n v="72"/>
    <n v="28"/>
    <n v="0"/>
    <n v="2016"/>
    <s v="Threads"/>
    <s v="Seattle"/>
    <s v="Female"/>
    <x v="5"/>
    <n v="2016"/>
  </r>
  <r>
    <n v="2156"/>
    <n v="1"/>
    <n v="3"/>
    <x v="1219"/>
    <n v="135"/>
    <n v="22"/>
    <n v="0"/>
    <n v="2970"/>
    <s v="Threads"/>
    <s v="Seattle"/>
    <s v="Both"/>
    <x v="6"/>
    <n v="2016"/>
  </r>
  <r>
    <n v="2157"/>
    <n v="3"/>
    <n v="2"/>
    <x v="1219"/>
    <n v="141"/>
    <n v="30"/>
    <n v="0"/>
    <n v="4230"/>
    <s v="Shirts R Us"/>
    <s v="Los Angeles"/>
    <s v="Both"/>
    <x v="6"/>
    <n v="2016"/>
  </r>
  <r>
    <n v="2158"/>
    <n v="3"/>
    <n v="4"/>
    <x v="1219"/>
    <n v="27"/>
    <n v="30"/>
    <n v="0"/>
    <n v="810"/>
    <s v="Shirts R Us"/>
    <s v="Los Angeles"/>
    <s v="Both"/>
    <x v="6"/>
    <n v="2016"/>
  </r>
  <r>
    <n v="2159"/>
    <n v="4"/>
    <n v="10"/>
    <x v="1220"/>
    <n v="72"/>
    <n v="35"/>
    <n v="0.15000000599999999"/>
    <n v="2141.9999848799998"/>
    <s v="Tshirt Unlimited"/>
    <s v="Phoenix"/>
    <s v="Male"/>
    <x v="30"/>
    <n v="2016"/>
  </r>
  <r>
    <n v="2160"/>
    <n v="6"/>
    <n v="6"/>
    <x v="1220"/>
    <n v="124"/>
    <n v="28"/>
    <n v="0"/>
    <n v="3472"/>
    <s v="Abracadaba Ink"/>
    <s v="Salt Lake City"/>
    <s v="Female"/>
    <x v="30"/>
    <n v="2016"/>
  </r>
  <r>
    <n v="2161"/>
    <n v="7"/>
    <n v="1"/>
    <x v="1220"/>
    <n v="132"/>
    <n v="20"/>
    <n v="0"/>
    <n v="2640"/>
    <s v="The Shirt on Your Back"/>
    <s v="Bonners Ferry"/>
    <s v="Both"/>
    <x v="30"/>
    <n v="2016"/>
  </r>
  <r>
    <n v="2162"/>
    <n v="7"/>
    <n v="3"/>
    <x v="1220"/>
    <n v="48"/>
    <n v="22"/>
    <n v="5.0000001000000002E-2"/>
    <n v="1003.199998944"/>
    <s v="The Shirt on Your Back"/>
    <s v="Bonners Ferry"/>
    <s v="Both"/>
    <x v="30"/>
    <n v="2016"/>
  </r>
  <r>
    <n v="2163"/>
    <n v="2"/>
    <n v="10"/>
    <x v="1221"/>
    <n v="91"/>
    <n v="35"/>
    <n v="0.15000000599999999"/>
    <n v="2707.2499808900002"/>
    <s v="A Shirts Life"/>
    <s v="Portland"/>
    <s v="Male"/>
    <x v="25"/>
    <n v="2016"/>
  </r>
  <r>
    <n v="2164"/>
    <n v="4"/>
    <n v="3"/>
    <x v="1221"/>
    <n v="137"/>
    <n v="22"/>
    <n v="0"/>
    <n v="3014"/>
    <s v="Tshirt Unlimited"/>
    <s v="Phoenix"/>
    <s v="Both"/>
    <x v="25"/>
    <n v="2016"/>
  </r>
  <r>
    <n v="2165"/>
    <n v="2"/>
    <n v="10"/>
    <x v="1222"/>
    <n v="43"/>
    <n v="35"/>
    <n v="0"/>
    <n v="1505"/>
    <s v="A Shirts Life"/>
    <s v="Portland"/>
    <s v="Male"/>
    <x v="8"/>
    <n v="2016"/>
  </r>
  <r>
    <n v="2166"/>
    <n v="3"/>
    <n v="8"/>
    <x v="1223"/>
    <n v="109"/>
    <n v="27"/>
    <n v="0"/>
    <n v="2943"/>
    <s v="Shirts R Us"/>
    <s v="Los Angeles"/>
    <s v="Female"/>
    <x v="9"/>
    <n v="2016"/>
  </r>
  <r>
    <n v="2167"/>
    <n v="5"/>
    <n v="4"/>
    <x v="1223"/>
    <n v="86"/>
    <n v="30"/>
    <n v="0"/>
    <n v="2580"/>
    <s v="Rags to Riches"/>
    <s v="Las Vegas"/>
    <s v="Both"/>
    <x v="9"/>
    <n v="2016"/>
  </r>
  <r>
    <n v="2168"/>
    <n v="6"/>
    <n v="8"/>
    <x v="1223"/>
    <n v="127"/>
    <n v="27"/>
    <n v="5.0000001000000002E-2"/>
    <n v="3257.5499965710001"/>
    <s v="Abracadaba Ink"/>
    <s v="Salt Lake City"/>
    <s v="Female"/>
    <x v="9"/>
    <n v="2016"/>
  </r>
  <r>
    <n v="2169"/>
    <n v="2"/>
    <n v="1"/>
    <x v="1224"/>
    <n v="71"/>
    <n v="20"/>
    <n v="0"/>
    <n v="1420"/>
    <s v="A Shirts Life"/>
    <s v="Portland"/>
    <s v="Both"/>
    <x v="10"/>
    <n v="2016"/>
  </r>
  <r>
    <n v="2170"/>
    <n v="2"/>
    <n v="4"/>
    <x v="1224"/>
    <n v="132"/>
    <n v="30"/>
    <n v="0"/>
    <n v="3960"/>
    <s v="A Shirts Life"/>
    <s v="Portland"/>
    <s v="Both"/>
    <x v="10"/>
    <n v="2016"/>
  </r>
  <r>
    <n v="2171"/>
    <n v="2"/>
    <n v="7"/>
    <x v="1224"/>
    <n v="100"/>
    <n v="38"/>
    <n v="0"/>
    <n v="3800"/>
    <s v="A Shirts Life"/>
    <s v="Portland"/>
    <s v="Female"/>
    <x v="10"/>
    <n v="2016"/>
  </r>
  <r>
    <n v="2172"/>
    <n v="5"/>
    <n v="3"/>
    <x v="1224"/>
    <n v="59"/>
    <n v="22"/>
    <n v="0"/>
    <n v="1298"/>
    <s v="Rags to Riches"/>
    <s v="Las Vegas"/>
    <s v="Both"/>
    <x v="10"/>
    <n v="2016"/>
  </r>
  <r>
    <n v="2173"/>
    <n v="5"/>
    <n v="5"/>
    <x v="1225"/>
    <n v="52"/>
    <n v="16"/>
    <n v="0"/>
    <n v="832"/>
    <s v="Rags to Riches"/>
    <s v="Las Vegas"/>
    <s v="Female"/>
    <x v="26"/>
    <n v="2016"/>
  </r>
  <r>
    <n v="2174"/>
    <n v="7"/>
    <n v="2"/>
    <x v="1226"/>
    <n v="70"/>
    <n v="30"/>
    <n v="0"/>
    <n v="2100"/>
    <s v="The Shirt on Your Back"/>
    <s v="Bonners Ferry"/>
    <s v="Both"/>
    <x v="11"/>
    <n v="2016"/>
  </r>
  <r>
    <n v="2175"/>
    <n v="1"/>
    <n v="1"/>
    <x v="1227"/>
    <n v="37"/>
    <n v="20"/>
    <n v="0"/>
    <n v="740"/>
    <s v="Threads"/>
    <s v="Seattle"/>
    <s v="Both"/>
    <x v="12"/>
    <n v="2016"/>
  </r>
  <r>
    <n v="2176"/>
    <n v="6"/>
    <n v="3"/>
    <x v="1228"/>
    <n v="123"/>
    <n v="22"/>
    <n v="0"/>
    <n v="2706"/>
    <s v="Abracadaba Ink"/>
    <s v="Salt Lake City"/>
    <s v="Both"/>
    <x v="13"/>
    <n v="2016"/>
  </r>
  <r>
    <n v="2177"/>
    <n v="2"/>
    <n v="1"/>
    <x v="1229"/>
    <n v="67"/>
    <n v="20"/>
    <n v="0"/>
    <n v="1340"/>
    <s v="A Shirts Life"/>
    <s v="Portland"/>
    <s v="Both"/>
    <x v="27"/>
    <n v="2016"/>
  </r>
  <r>
    <n v="2178"/>
    <n v="2"/>
    <n v="9"/>
    <x v="1229"/>
    <n v="70"/>
    <n v="25"/>
    <n v="0"/>
    <n v="1750"/>
    <s v="A Shirts Life"/>
    <s v="Portland"/>
    <s v="Male"/>
    <x v="27"/>
    <n v="2016"/>
  </r>
  <r>
    <n v="2179"/>
    <n v="1"/>
    <n v="2"/>
    <x v="1230"/>
    <n v="87"/>
    <n v="30"/>
    <n v="0"/>
    <n v="2610"/>
    <s v="Threads"/>
    <s v="Seattle"/>
    <s v="Both"/>
    <x v="16"/>
    <n v="2016"/>
  </r>
  <r>
    <n v="2180"/>
    <n v="1"/>
    <n v="5"/>
    <x v="1231"/>
    <n v="62"/>
    <n v="16"/>
    <n v="0"/>
    <n v="992"/>
    <s v="Threads"/>
    <s v="Seattle"/>
    <s v="Female"/>
    <x v="17"/>
    <n v="2016"/>
  </r>
  <r>
    <n v="2181"/>
    <n v="6"/>
    <n v="9"/>
    <x v="1232"/>
    <n v="65"/>
    <n v="25"/>
    <n v="0"/>
    <n v="1625"/>
    <s v="Abracadaba Ink"/>
    <s v="Salt Lake City"/>
    <s v="Male"/>
    <x v="22"/>
    <n v="2016"/>
  </r>
  <r>
    <n v="2182"/>
    <n v="4"/>
    <n v="9"/>
    <x v="1233"/>
    <n v="77"/>
    <n v="25"/>
    <n v="0"/>
    <n v="1925"/>
    <s v="Tshirt Unlimited"/>
    <s v="Phoenix"/>
    <s v="Male"/>
    <x v="29"/>
    <n v="2016"/>
  </r>
  <r>
    <n v="2183"/>
    <n v="6"/>
    <n v="4"/>
    <x v="1233"/>
    <n v="56"/>
    <n v="30"/>
    <n v="0"/>
    <n v="1680"/>
    <s v="Abracadaba Ink"/>
    <s v="Salt Lake City"/>
    <s v="Both"/>
    <x v="29"/>
    <n v="2016"/>
  </r>
  <r>
    <n v="2184"/>
    <n v="6"/>
    <n v="10"/>
    <x v="1234"/>
    <n v="54"/>
    <n v="35"/>
    <n v="0"/>
    <n v="1890"/>
    <s v="Abracadaba Ink"/>
    <s v="Salt Lake City"/>
    <s v="Male"/>
    <x v="0"/>
    <n v="2016"/>
  </r>
  <r>
    <n v="2185"/>
    <n v="7"/>
    <n v="1"/>
    <x v="1234"/>
    <n v="71"/>
    <n v="20"/>
    <n v="0"/>
    <n v="1420"/>
    <s v="The Shirt on Your Back"/>
    <s v="Bonners Ferry"/>
    <s v="Both"/>
    <x v="0"/>
    <n v="2016"/>
  </r>
  <r>
    <n v="2186"/>
    <n v="1"/>
    <n v="9"/>
    <x v="1235"/>
    <n v="130"/>
    <n v="25"/>
    <n v="0.15000000599999999"/>
    <n v="2762.4999805000002"/>
    <s v="Threads"/>
    <s v="Seattle"/>
    <s v="Male"/>
    <x v="23"/>
    <n v="2016"/>
  </r>
  <r>
    <n v="2187"/>
    <n v="2"/>
    <n v="6"/>
    <x v="1235"/>
    <n v="76"/>
    <n v="28"/>
    <n v="0"/>
    <n v="2128"/>
    <s v="A Shirts Life"/>
    <s v="Portland"/>
    <s v="Female"/>
    <x v="23"/>
    <n v="2016"/>
  </r>
  <r>
    <n v="2188"/>
    <n v="7"/>
    <n v="9"/>
    <x v="1235"/>
    <n v="80"/>
    <n v="25"/>
    <n v="0"/>
    <n v="2000"/>
    <s v="The Shirt on Your Back"/>
    <s v="Bonners Ferry"/>
    <s v="Male"/>
    <x v="23"/>
    <n v="2016"/>
  </r>
  <r>
    <n v="2189"/>
    <n v="1"/>
    <n v="4"/>
    <x v="1236"/>
    <n v="123"/>
    <n v="30"/>
    <n v="0"/>
    <n v="3690"/>
    <s v="Threads"/>
    <s v="Seattle"/>
    <s v="Both"/>
    <x v="24"/>
    <n v="2016"/>
  </r>
  <r>
    <n v="2190"/>
    <n v="1"/>
    <n v="8"/>
    <x v="1237"/>
    <n v="142"/>
    <n v="27"/>
    <n v="0.10000000100000001"/>
    <n v="3450.599996166"/>
    <s v="Threads"/>
    <s v="Seattle"/>
    <s v="Female"/>
    <x v="4"/>
    <n v="2016"/>
  </r>
  <r>
    <n v="2191"/>
    <n v="3"/>
    <n v="8"/>
    <x v="1238"/>
    <n v="139"/>
    <n v="27"/>
    <n v="0.15000000599999999"/>
    <n v="3190.049977482"/>
    <s v="Shirts R Us"/>
    <s v="Los Angeles"/>
    <s v="Female"/>
    <x v="5"/>
    <n v="2016"/>
  </r>
  <r>
    <n v="2192"/>
    <n v="4"/>
    <n v="1"/>
    <x v="1238"/>
    <n v="50"/>
    <n v="20"/>
    <n v="0"/>
    <n v="1000"/>
    <s v="Tshirt Unlimited"/>
    <s v="Phoenix"/>
    <s v="Both"/>
    <x v="5"/>
    <n v="2016"/>
  </r>
  <r>
    <n v="2193"/>
    <n v="7"/>
    <n v="7"/>
    <x v="1238"/>
    <n v="61"/>
    <n v="38"/>
    <n v="0"/>
    <n v="2318"/>
    <s v="The Shirt on Your Back"/>
    <s v="Bonners Ferry"/>
    <s v="Female"/>
    <x v="5"/>
    <n v="2016"/>
  </r>
  <r>
    <n v="2194"/>
    <n v="2"/>
    <n v="10"/>
    <x v="1239"/>
    <n v="128"/>
    <n v="35"/>
    <n v="0"/>
    <n v="4480"/>
    <s v="A Shirts Life"/>
    <s v="Portland"/>
    <s v="Male"/>
    <x v="30"/>
    <n v="2016"/>
  </r>
  <r>
    <n v="2195"/>
    <n v="5"/>
    <n v="10"/>
    <x v="1239"/>
    <n v="119"/>
    <n v="35"/>
    <n v="0"/>
    <n v="4165"/>
    <s v="Rags to Riches"/>
    <s v="Las Vegas"/>
    <s v="Male"/>
    <x v="30"/>
    <n v="2016"/>
  </r>
  <r>
    <n v="2196"/>
    <n v="7"/>
    <n v="10"/>
    <x v="1240"/>
    <n v="132"/>
    <n v="35"/>
    <n v="0"/>
    <n v="4620"/>
    <s v="The Shirt on Your Back"/>
    <s v="Bonners Ferry"/>
    <s v="Male"/>
    <x v="7"/>
    <n v="2016"/>
  </r>
  <r>
    <n v="2197"/>
    <n v="4"/>
    <n v="1"/>
    <x v="1241"/>
    <n v="57"/>
    <n v="20"/>
    <n v="0"/>
    <n v="1140"/>
    <s v="Tshirt Unlimited"/>
    <s v="Phoenix"/>
    <s v="Both"/>
    <x v="25"/>
    <n v="2016"/>
  </r>
  <r>
    <n v="2198"/>
    <n v="2"/>
    <n v="5"/>
    <x v="1242"/>
    <n v="71"/>
    <n v="16"/>
    <n v="0"/>
    <n v="1136"/>
    <s v="A Shirts Life"/>
    <s v="Portland"/>
    <s v="Female"/>
    <x v="8"/>
    <n v="2016"/>
  </r>
  <r>
    <n v="2199"/>
    <n v="5"/>
    <n v="7"/>
    <x v="1242"/>
    <n v="62"/>
    <n v="38"/>
    <n v="0"/>
    <n v="2356"/>
    <s v="Rags to Riches"/>
    <s v="Las Vegas"/>
    <s v="Female"/>
    <x v="8"/>
    <n v="2016"/>
  </r>
  <r>
    <n v="2200"/>
    <n v="6"/>
    <n v="5"/>
    <x v="1243"/>
    <n v="54"/>
    <n v="16"/>
    <n v="5.0000001000000002E-2"/>
    <n v="820.799999136"/>
    <s v="Abracadaba Ink"/>
    <s v="Salt Lake City"/>
    <s v="Female"/>
    <x v="11"/>
    <n v="2016"/>
  </r>
  <r>
    <n v="2201"/>
    <n v="5"/>
    <n v="2"/>
    <x v="1244"/>
    <n v="43"/>
    <n v="30"/>
    <n v="5.0000001000000002E-2"/>
    <n v="1225.49999871"/>
    <s v="Rags to Riches"/>
    <s v="Las Vegas"/>
    <s v="Both"/>
    <x v="12"/>
    <n v="2016"/>
  </r>
  <r>
    <n v="2202"/>
    <n v="3"/>
    <n v="1"/>
    <x v="1245"/>
    <n v="137"/>
    <n v="20"/>
    <n v="0"/>
    <n v="2740"/>
    <s v="Shirts R Us"/>
    <s v="Los Angeles"/>
    <s v="Both"/>
    <x v="13"/>
    <n v="2016"/>
  </r>
  <r>
    <n v="2203"/>
    <n v="3"/>
    <n v="4"/>
    <x v="1246"/>
    <n v="97"/>
    <n v="30"/>
    <n v="0"/>
    <n v="2910"/>
    <s v="Shirts R Us"/>
    <s v="Los Angeles"/>
    <s v="Both"/>
    <x v="14"/>
    <n v="2016"/>
  </r>
  <r>
    <n v="2204"/>
    <n v="7"/>
    <n v="1"/>
    <x v="1246"/>
    <n v="143"/>
    <n v="20"/>
    <n v="0"/>
    <n v="2860"/>
    <s v="The Shirt on Your Back"/>
    <s v="Bonners Ferry"/>
    <s v="Both"/>
    <x v="14"/>
    <n v="2016"/>
  </r>
  <r>
    <n v="2205"/>
    <n v="3"/>
    <n v="5"/>
    <x v="1247"/>
    <n v="86"/>
    <n v="16"/>
    <n v="0.10000000100000001"/>
    <n v="1238.3999986240001"/>
    <s v="Shirts R Us"/>
    <s v="Los Angeles"/>
    <s v="Female"/>
    <x v="15"/>
    <n v="2016"/>
  </r>
  <r>
    <n v="2206"/>
    <n v="5"/>
    <n v="6"/>
    <x v="1247"/>
    <n v="29"/>
    <n v="28"/>
    <n v="0"/>
    <n v="812"/>
    <s v="Rags to Riches"/>
    <s v="Las Vegas"/>
    <s v="Female"/>
    <x v="15"/>
    <n v="2016"/>
  </r>
  <r>
    <n v="2207"/>
    <n v="5"/>
    <n v="9"/>
    <x v="1247"/>
    <n v="39"/>
    <n v="25"/>
    <n v="0"/>
    <n v="975"/>
    <s v="Rags to Riches"/>
    <s v="Las Vegas"/>
    <s v="Male"/>
    <x v="15"/>
    <n v="2016"/>
  </r>
  <r>
    <n v="2208"/>
    <n v="3"/>
    <n v="3"/>
    <x v="1248"/>
    <n v="86"/>
    <n v="22"/>
    <n v="0"/>
    <n v="1892"/>
    <s v="Shirts R Us"/>
    <s v="Los Angeles"/>
    <s v="Both"/>
    <x v="16"/>
    <n v="2016"/>
  </r>
  <r>
    <n v="2209"/>
    <n v="4"/>
    <n v="3"/>
    <x v="1248"/>
    <n v="62"/>
    <n v="22"/>
    <n v="0"/>
    <n v="1364"/>
    <s v="Tshirt Unlimited"/>
    <s v="Phoenix"/>
    <s v="Both"/>
    <x v="16"/>
    <n v="2016"/>
  </r>
  <r>
    <n v="2210"/>
    <n v="4"/>
    <n v="8"/>
    <x v="1249"/>
    <n v="37"/>
    <n v="27"/>
    <n v="0"/>
    <n v="999"/>
    <s v="Tshirt Unlimited"/>
    <s v="Phoenix"/>
    <s v="Female"/>
    <x v="18"/>
    <n v="2016"/>
  </r>
  <r>
    <n v="2211"/>
    <n v="7"/>
    <n v="9"/>
    <x v="1249"/>
    <n v="36"/>
    <n v="25"/>
    <n v="0"/>
    <n v="900"/>
    <s v="The Shirt on Your Back"/>
    <s v="Bonners Ferry"/>
    <s v="Male"/>
    <x v="18"/>
    <n v="2016"/>
  </r>
  <r>
    <n v="2212"/>
    <n v="1"/>
    <n v="5"/>
    <x v="1250"/>
    <n v="63"/>
    <n v="16"/>
    <n v="0"/>
    <n v="1008"/>
    <s v="Threads"/>
    <s v="Seattle"/>
    <s v="Female"/>
    <x v="19"/>
    <n v="2016"/>
  </r>
  <r>
    <n v="2213"/>
    <n v="1"/>
    <n v="3"/>
    <x v="1251"/>
    <n v="84"/>
    <n v="22"/>
    <n v="0"/>
    <n v="1848"/>
    <s v="Threads"/>
    <s v="Seattle"/>
    <s v="Both"/>
    <x v="21"/>
    <n v="2016"/>
  </r>
  <r>
    <n v="2214"/>
    <n v="6"/>
    <n v="4"/>
    <x v="1251"/>
    <n v="30"/>
    <n v="30"/>
    <n v="0"/>
    <n v="900"/>
    <s v="Abracadaba Ink"/>
    <s v="Salt Lake City"/>
    <s v="Both"/>
    <x v="21"/>
    <n v="2016"/>
  </r>
  <r>
    <n v="2215"/>
    <n v="6"/>
    <n v="2"/>
    <x v="1252"/>
    <n v="29"/>
    <n v="30"/>
    <n v="5.0000001000000002E-2"/>
    <n v="826.49999912999999"/>
    <s v="Abracadaba Ink"/>
    <s v="Salt Lake City"/>
    <s v="Both"/>
    <x v="22"/>
    <n v="2016"/>
  </r>
  <r>
    <n v="2216"/>
    <n v="1"/>
    <n v="3"/>
    <x v="1253"/>
    <n v="57"/>
    <n v="22"/>
    <n v="0"/>
    <n v="1254"/>
    <s v="Threads"/>
    <s v="Seattle"/>
    <s v="Both"/>
    <x v="0"/>
    <n v="2016"/>
  </r>
  <r>
    <n v="2217"/>
    <n v="5"/>
    <n v="9"/>
    <x v="1253"/>
    <n v="83"/>
    <n v="25"/>
    <n v="0"/>
    <n v="2075"/>
    <s v="Rags to Riches"/>
    <s v="Las Vegas"/>
    <s v="Male"/>
    <x v="0"/>
    <n v="2016"/>
  </r>
  <r>
    <n v="2218"/>
    <n v="7"/>
    <n v="10"/>
    <x v="1253"/>
    <n v="61"/>
    <n v="35"/>
    <n v="0"/>
    <n v="2135"/>
    <s v="The Shirt on Your Back"/>
    <s v="Bonners Ferry"/>
    <s v="Male"/>
    <x v="0"/>
    <n v="2016"/>
  </r>
  <r>
    <n v="2219"/>
    <n v="4"/>
    <n v="9"/>
    <x v="1254"/>
    <n v="45"/>
    <n v="25"/>
    <n v="0"/>
    <n v="1125"/>
    <s v="Tshirt Unlimited"/>
    <s v="Phoenix"/>
    <s v="Male"/>
    <x v="1"/>
    <n v="2016"/>
  </r>
  <r>
    <n v="2220"/>
    <n v="6"/>
    <n v="6"/>
    <x v="1254"/>
    <n v="145"/>
    <n v="28"/>
    <n v="0.10000000100000001"/>
    <n v="3653.9999959400002"/>
    <s v="Abracadaba Ink"/>
    <s v="Salt Lake City"/>
    <s v="Female"/>
    <x v="1"/>
    <n v="2016"/>
  </r>
  <r>
    <n v="2221"/>
    <n v="4"/>
    <n v="7"/>
    <x v="1255"/>
    <n v="89"/>
    <n v="38"/>
    <n v="0"/>
    <n v="3382"/>
    <s v="Tshirt Unlimited"/>
    <s v="Phoenix"/>
    <s v="Female"/>
    <x v="23"/>
    <n v="2016"/>
  </r>
  <r>
    <n v="2222"/>
    <n v="6"/>
    <n v="7"/>
    <x v="1256"/>
    <n v="100"/>
    <n v="38"/>
    <n v="0"/>
    <n v="3800"/>
    <s v="Abracadaba Ink"/>
    <s v="Salt Lake City"/>
    <s v="Female"/>
    <x v="2"/>
    <n v="2016"/>
  </r>
  <r>
    <n v="2223"/>
    <n v="4"/>
    <n v="10"/>
    <x v="1257"/>
    <n v="63"/>
    <n v="35"/>
    <n v="0"/>
    <n v="2205"/>
    <s v="Tshirt Unlimited"/>
    <s v="Phoenix"/>
    <s v="Male"/>
    <x v="24"/>
    <n v="2016"/>
  </r>
  <r>
    <n v="2224"/>
    <n v="3"/>
    <n v="7"/>
    <x v="1258"/>
    <n v="140"/>
    <n v="38"/>
    <n v="0"/>
    <n v="5320"/>
    <s v="Shirts R Us"/>
    <s v="Los Angeles"/>
    <s v="Female"/>
    <x v="4"/>
    <n v="2016"/>
  </r>
  <r>
    <n v="2225"/>
    <n v="7"/>
    <n v="4"/>
    <x v="1258"/>
    <n v="49"/>
    <n v="30"/>
    <n v="5.0000001000000002E-2"/>
    <n v="1396.4999985300001"/>
    <s v="The Shirt on Your Back"/>
    <s v="Bonners Ferry"/>
    <s v="Both"/>
    <x v="4"/>
    <n v="2016"/>
  </r>
  <r>
    <n v="2226"/>
    <n v="3"/>
    <n v="9"/>
    <x v="1259"/>
    <n v="146"/>
    <n v="25"/>
    <n v="0"/>
    <n v="3650"/>
    <s v="Shirts R Us"/>
    <s v="Los Angeles"/>
    <s v="Male"/>
    <x v="6"/>
    <n v="2016"/>
  </r>
  <r>
    <n v="2227"/>
    <n v="5"/>
    <n v="3"/>
    <x v="1260"/>
    <n v="86"/>
    <n v="22"/>
    <n v="5.0000001000000002E-2"/>
    <n v="1797.3999981080001"/>
    <s v="Rags to Riches"/>
    <s v="Las Vegas"/>
    <s v="Both"/>
    <x v="30"/>
    <n v="2016"/>
  </r>
  <r>
    <n v="2228"/>
    <n v="2"/>
    <n v="2"/>
    <x v="1261"/>
    <n v="71"/>
    <n v="30"/>
    <n v="0"/>
    <n v="2130"/>
    <s v="A Shirts Life"/>
    <s v="Portland"/>
    <s v="Both"/>
    <x v="7"/>
    <n v="2016"/>
  </r>
  <r>
    <n v="2229"/>
    <n v="7"/>
    <n v="4"/>
    <x v="1261"/>
    <n v="143"/>
    <n v="30"/>
    <n v="0"/>
    <n v="4290"/>
    <s v="The Shirt on Your Back"/>
    <s v="Bonners Ferry"/>
    <s v="Both"/>
    <x v="7"/>
    <n v="2016"/>
  </r>
  <r>
    <n v="2230"/>
    <n v="7"/>
    <n v="9"/>
    <x v="1261"/>
    <n v="41"/>
    <n v="25"/>
    <n v="0"/>
    <n v="1025"/>
    <s v="The Shirt on Your Back"/>
    <s v="Bonners Ferry"/>
    <s v="Male"/>
    <x v="7"/>
    <n v="2016"/>
  </r>
  <r>
    <n v="2231"/>
    <n v="1"/>
    <n v="10"/>
    <x v="1262"/>
    <n v="148"/>
    <n v="35"/>
    <n v="0.15000000599999999"/>
    <n v="4402.9999689200004"/>
    <s v="Threads"/>
    <s v="Seattle"/>
    <s v="Male"/>
    <x v="9"/>
    <n v="2016"/>
  </r>
  <r>
    <n v="2232"/>
    <n v="2"/>
    <n v="7"/>
    <x v="1262"/>
    <n v="118"/>
    <n v="38"/>
    <n v="0"/>
    <n v="4484"/>
    <s v="A Shirts Life"/>
    <s v="Portland"/>
    <s v="Female"/>
    <x v="9"/>
    <n v="2016"/>
  </r>
  <r>
    <n v="2233"/>
    <n v="3"/>
    <n v="5"/>
    <x v="1262"/>
    <n v="137"/>
    <n v="16"/>
    <n v="0"/>
    <n v="2192"/>
    <s v="Shirts R Us"/>
    <s v="Los Angeles"/>
    <s v="Female"/>
    <x v="9"/>
    <n v="2016"/>
  </r>
  <r>
    <n v="2234"/>
    <n v="5"/>
    <n v="7"/>
    <x v="1262"/>
    <n v="60"/>
    <n v="38"/>
    <n v="0.10000000100000001"/>
    <n v="2051.99999772"/>
    <s v="Rags to Riches"/>
    <s v="Las Vegas"/>
    <s v="Female"/>
    <x v="9"/>
    <n v="2016"/>
  </r>
  <r>
    <n v="2235"/>
    <n v="6"/>
    <n v="5"/>
    <x v="1262"/>
    <n v="116"/>
    <n v="16"/>
    <n v="0"/>
    <n v="1856"/>
    <s v="Abracadaba Ink"/>
    <s v="Salt Lake City"/>
    <s v="Female"/>
    <x v="9"/>
    <n v="2016"/>
  </r>
  <r>
    <n v="2236"/>
    <n v="3"/>
    <n v="1"/>
    <x v="1263"/>
    <n v="64"/>
    <n v="20"/>
    <n v="0"/>
    <n v="1280"/>
    <s v="Shirts R Us"/>
    <s v="Los Angeles"/>
    <s v="Both"/>
    <x v="10"/>
    <n v="2016"/>
  </r>
  <r>
    <n v="2237"/>
    <n v="4"/>
    <n v="9"/>
    <x v="1264"/>
    <n v="49"/>
    <n v="25"/>
    <n v="0"/>
    <n v="1225"/>
    <s v="Tshirt Unlimited"/>
    <s v="Phoenix"/>
    <s v="Male"/>
    <x v="11"/>
    <n v="2016"/>
  </r>
  <r>
    <n v="2238"/>
    <n v="6"/>
    <n v="6"/>
    <x v="1265"/>
    <n v="79"/>
    <n v="28"/>
    <n v="0"/>
    <n v="2212"/>
    <s v="Abracadaba Ink"/>
    <s v="Salt Lake City"/>
    <s v="Female"/>
    <x v="12"/>
    <n v="2016"/>
  </r>
  <r>
    <n v="2239"/>
    <n v="2"/>
    <n v="8"/>
    <x v="1266"/>
    <n v="101"/>
    <n v="27"/>
    <n v="0"/>
    <n v="2727"/>
    <s v="A Shirts Life"/>
    <s v="Portland"/>
    <s v="Female"/>
    <x v="13"/>
    <n v="2016"/>
  </r>
  <r>
    <n v="2240"/>
    <n v="5"/>
    <n v="6"/>
    <x v="1266"/>
    <n v="43"/>
    <n v="28"/>
    <n v="0"/>
    <n v="1204"/>
    <s v="Rags to Riches"/>
    <s v="Las Vegas"/>
    <s v="Female"/>
    <x v="13"/>
    <n v="2016"/>
  </r>
  <r>
    <n v="2241"/>
    <n v="5"/>
    <n v="10"/>
    <x v="1266"/>
    <n v="113"/>
    <n v="35"/>
    <n v="0"/>
    <n v="3955"/>
    <s v="Rags to Riches"/>
    <s v="Las Vegas"/>
    <s v="Male"/>
    <x v="13"/>
    <n v="2016"/>
  </r>
  <r>
    <n v="2242"/>
    <n v="3"/>
    <n v="8"/>
    <x v="1267"/>
    <n v="123"/>
    <n v="27"/>
    <n v="0"/>
    <n v="3321"/>
    <s v="Shirts R Us"/>
    <s v="Los Angeles"/>
    <s v="Female"/>
    <x v="16"/>
    <n v="2016"/>
  </r>
  <r>
    <n v="2243"/>
    <n v="2"/>
    <n v="1"/>
    <x v="1268"/>
    <n v="83"/>
    <n v="20"/>
    <n v="5.0000001000000002E-2"/>
    <n v="1576.99999834"/>
    <s v="A Shirts Life"/>
    <s v="Portland"/>
    <s v="Both"/>
    <x v="18"/>
    <n v="2016"/>
  </r>
  <r>
    <n v="2244"/>
    <n v="2"/>
    <n v="2"/>
    <x v="1269"/>
    <n v="87"/>
    <n v="30"/>
    <n v="0"/>
    <n v="2610"/>
    <s v="A Shirts Life"/>
    <s v="Portland"/>
    <s v="Both"/>
    <x v="20"/>
    <n v="2016"/>
  </r>
  <r>
    <n v="2245"/>
    <n v="7"/>
    <n v="6"/>
    <x v="1269"/>
    <n v="58"/>
    <n v="28"/>
    <n v="0"/>
    <n v="1624"/>
    <s v="The Shirt on Your Back"/>
    <s v="Bonners Ferry"/>
    <s v="Female"/>
    <x v="20"/>
    <n v="2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34C3D-8930-428A-B262-E3C6E9496921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1:L43" firstHeaderRow="1" firstDataRow="1" firstDataCol="1"/>
  <pivotFields count="16">
    <pivotField showAll="0"/>
    <pivotField showAll="0"/>
    <pivotField showAll="0"/>
    <pivotField numFmtId="14" showAll="0">
      <items count="1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2">
        <item x="28"/>
        <item x="0"/>
        <item x="1"/>
        <item x="23"/>
        <item x="2"/>
        <item x="24"/>
        <item x="3"/>
        <item x="4"/>
        <item x="5"/>
        <item x="6"/>
        <item x="30"/>
        <item x="7"/>
        <item x="25"/>
        <item x="8"/>
        <item x="9"/>
        <item x="10"/>
        <item x="26"/>
        <item x="11"/>
        <item x="12"/>
        <item x="13"/>
        <item x="27"/>
        <item x="14"/>
        <item x="15"/>
        <item x="16"/>
        <item x="17"/>
        <item x="18"/>
        <item x="19"/>
        <item x="20"/>
        <item x="21"/>
        <item x="22"/>
        <item x="29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evenue" fld="7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71DC1-2301-4880-9D8C-8E527C5774E7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Year">
  <location ref="F11:I17" firstHeaderRow="0" firstDataRow="1" firstDataCol="1"/>
  <pivotFields count="16">
    <pivotField dataField="1" showAll="0"/>
    <pivotField showAll="0"/>
    <pivotField showAll="0"/>
    <pivotField axis="axisRow" numFmtId="14" showAll="0">
      <items count="1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2">
    <field x="15"/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7" baseField="0" baseItem="0" numFmtId="166"/>
    <dataField name="Sum of UnitsOrdered" fld="4" baseField="0" baseItem="0"/>
    <dataField name="Count of OrderID" fld="0" subtotal="count" baseField="11" baseItem="1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89A4C-FFF2-4867-AE50-79B61C799BA8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">
  <location ref="A11:C28" firstHeaderRow="1" firstDataRow="1" firstDataCol="0"/>
  <pivotFields count="16">
    <pivotField showAll="0"/>
    <pivotField showAll="0"/>
    <pivotField showAll="0"/>
    <pivotField numFmtId="14" showAll="0">
      <items count="1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C1A9A-4D10-4583-B156-5360D0BA3D41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4" firstHeaderRow="1" firstDataRow="1" firstDataCol="0"/>
  <pivotFields count="16">
    <pivotField dataField="1" showAll="0"/>
    <pivotField showAll="0"/>
    <pivotField showAll="0"/>
    <pivotField numFmtId="14" showAll="0">
      <items count="1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Num of orders" fld="0" subtotal="count" baseField="0" baseItem="0" numFmtId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BDAE6-A61A-4F92-831D-847D9582F32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16">
    <pivotField showAll="0"/>
    <pivotField showAll="0"/>
    <pivotField showAll="0"/>
    <pivotField numFmtId="14" showAll="0">
      <items count="1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Average of Discount" fld="6" subtotal="average" baseField="0" baseItem="0" numFmtId="167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92A0E-37EC-411D-9680-2A22B1E8B1E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6">
    <pivotField showAll="0"/>
    <pivotField showAll="0"/>
    <pivotField showAll="0"/>
    <pivotField numFmtId="14" showAll="0">
      <items count="1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Total revenue" fld="7" baseField="0" baseItem="0" numFmtId="166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6A39C-A9A0-4E26-A108-B7E25CFA99A8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showAll="0"/>
    <pivotField numFmtId="14" showAll="0">
      <items count="1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Total of units order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423BC59-A979-4418-943C-CF6C92F54301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Description" tableColumnId="2"/>
      <queryTableField id="3" name="Gender" tableColumnId="3"/>
      <queryTableField id="4" name="Unit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280148A-E8FB-4763-97CC-E55506606D1E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Name" tableColumnId="2"/>
      <queryTableField id="3" name="Street" tableColumnId="3"/>
      <queryTableField id="4" name="City" tableColumnId="4"/>
      <queryTableField id="5" name="State" tableColumnId="5"/>
      <queryTableField id="6" name="Zip" tableColumnId="6"/>
      <queryTableField id="7" name="Phon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3B4BEA-BFB2-4E2E-8B1B-0D80BA7F6042}" autoFormatId="16" applyNumberFormats="0" applyBorderFormats="0" applyFontFormats="0" applyPatternFormats="0" applyAlignmentFormats="0" applyWidthHeightFormats="0">
  <queryTableRefresh nextId="15" unboundColumnsRight="6">
    <queryTableFields count="13">
      <queryTableField id="1" name="OrderID" tableColumnId="1"/>
      <queryTableField id="2" name="CustomerID" tableColumnId="2"/>
      <queryTableField id="3" name="ProductID" tableColumnId="3"/>
      <queryTableField id="4" name="OrderDate" tableColumnId="4"/>
      <queryTableField id="6" name="UnitsOrdered" tableColumnId="6"/>
      <queryTableField id="8" dataBound="0" tableColumnId="8"/>
      <queryTableField id="7" name="Discount" tableColumnId="7"/>
      <queryTableField id="9" dataBound="0" tableColumnId="9"/>
      <queryTableField id="10" dataBound="0" tableColumnId="5"/>
      <queryTableField id="11" dataBound="0" tableColumnId="10"/>
      <queryTableField id="12" dataBound="0" tableColumnId="11"/>
      <queryTableField id="13" dataBound="0" tableColumnId="12"/>
      <queryTableField id="14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E0F237-EB04-4D4B-9944-6F4B01E9A858}" name="Products" displayName="Products" ref="A1:D11" tableType="queryTable" totalsRowShown="0">
  <autoFilter ref="A1:D11" xr:uid="{32E0F237-EB04-4D4B-9944-6F4B01E9A858}"/>
  <tableColumns count="4">
    <tableColumn id="1" xr3:uid="{97A3F56C-872D-42C4-90DC-A6FE15B2AE74}" uniqueName="1" name="ProductID" queryTableFieldId="1"/>
    <tableColumn id="2" xr3:uid="{D959FBCA-D0EB-4E90-8038-41EEF879E1B3}" uniqueName="2" name="Description" queryTableFieldId="2" dataDxfId="19"/>
    <tableColumn id="3" xr3:uid="{C8FBFB7A-FBF2-4147-8336-46BC07718067}" uniqueName="3" name="Gender" queryTableFieldId="3" dataDxfId="18"/>
    <tableColumn id="4" xr3:uid="{1CC8FFCF-FA2C-4E6E-A911-33B07665BBCF}" uniqueName="4" name="Unit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FFDE15-EBD0-4FA5-8316-2B4985D76669}" name="customers" displayName="customers" ref="A1:G8" tableType="queryTable" totalsRowShown="0">
  <autoFilter ref="A1:G8" xr:uid="{C3FFDE15-EBD0-4FA5-8316-2B4985D76669}"/>
  <tableColumns count="7">
    <tableColumn id="1" xr3:uid="{CC92D39E-18DA-4F87-83E8-E3B6B258EB00}" uniqueName="1" name="CustomerID" queryTableFieldId="1"/>
    <tableColumn id="2" xr3:uid="{01F3AABE-C336-4577-905A-E3DBDBD16D98}" uniqueName="2" name="Name" queryTableFieldId="2" dataDxfId="17"/>
    <tableColumn id="3" xr3:uid="{EEFFBAB4-CB53-4956-AFD5-286AA898F337}" uniqueName="3" name="Street" queryTableFieldId="3" dataDxfId="16"/>
    <tableColumn id="4" xr3:uid="{6DC83F99-8446-42B4-AEBF-63626BB5907A}" uniqueName="4" name="City" queryTableFieldId="4" dataDxfId="15"/>
    <tableColumn id="5" xr3:uid="{10CE0BE2-E611-4A87-B3B2-632DA0EACA79}" uniqueName="5" name="State" queryTableFieldId="5" dataDxfId="14"/>
    <tableColumn id="6" xr3:uid="{1FA443AF-06D0-4228-A365-3EC84BCE4F29}" uniqueName="6" name="Zip" queryTableFieldId="6"/>
    <tableColumn id="7" xr3:uid="{0059A4CC-C7FA-4D90-B41E-D9A8A71A02F8}" uniqueName="7" name="Phone" queryTableFieldId="7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1E3AF-3BB9-4560-944F-EF552ED2B2CC}" name="ORDERS" displayName="ORDERS" ref="A1:M2246" tableType="queryTable" totalsRowShown="0">
  <autoFilter ref="A1:M2246" xr:uid="{3761E3AF-3BB9-4560-944F-EF552ED2B2CC}"/>
  <tableColumns count="13">
    <tableColumn id="1" xr3:uid="{41116456-204D-4EC0-B8F4-EEB8B047A032}" uniqueName="1" name="OrderID" queryTableFieldId="1"/>
    <tableColumn id="2" xr3:uid="{0EDEE1A2-CC0B-4498-B615-C0C0FC74838C}" uniqueName="2" name="CustomerID" queryTableFieldId="2"/>
    <tableColumn id="3" xr3:uid="{79D34334-E633-4EAE-83E0-5EDA4F6804DC}" uniqueName="3" name="ProductID" queryTableFieldId="3"/>
    <tableColumn id="4" xr3:uid="{53FC539F-D310-41AF-88C4-EB37AB703B50}" uniqueName="4" name="OrderDate" queryTableFieldId="4" dataDxfId="12"/>
    <tableColumn id="6" xr3:uid="{5391ABC6-DB5D-493C-8352-8BFDD9D32096}" uniqueName="6" name="UnitsOrdered" queryTableFieldId="6"/>
    <tableColumn id="8" xr3:uid="{B77069D5-A754-4D86-BA8F-8773319AC98E}" uniqueName="8" name="unit price" queryTableFieldId="8" dataDxfId="11">
      <calculatedColumnFormula>VLOOKUP(ORDERS[[#This Row],[ProductID]],Products[],4,FALSE)</calculatedColumnFormula>
    </tableColumn>
    <tableColumn id="7" xr3:uid="{FE1CADD7-2E60-4D1B-AA67-92873CD1D468}" uniqueName="7" name="Discount" queryTableFieldId="7"/>
    <tableColumn id="9" xr3:uid="{6AEBEEEB-567C-47A8-9DA0-6B14518DB11E}" uniqueName="9" name="revenue" queryTableFieldId="9" dataDxfId="10">
      <calculatedColumnFormula>(ORDERS[[#This Row],[UnitsOrdered]]*ORDERS[[#This Row],[unit price]])-(ORDERS[[#This Row],[UnitsOrdered]]*ORDERS[[#This Row],[unit price]]*ORDERS[[#This Row],[Discount]])</calculatedColumnFormula>
    </tableColumn>
    <tableColumn id="5" xr3:uid="{98B19561-B2E8-49DA-981A-571047D40D24}" uniqueName="5" name="customername" queryTableFieldId="10" dataDxfId="9">
      <calculatedColumnFormula>VLOOKUP(ORDERS[[#This Row],[CustomerID]],customers[],2,FALSE)</calculatedColumnFormula>
    </tableColumn>
    <tableColumn id="10" xr3:uid="{B5363620-2A3A-4817-BADC-ACDCBC738B0E}" uniqueName="10" name="customerCity" queryTableFieldId="11" dataDxfId="8">
      <calculatedColumnFormula>VLOOKUP(ORDERS[[#This Row],[CustomerID]],customers[],4,FALSE)</calculatedColumnFormula>
    </tableColumn>
    <tableColumn id="11" xr3:uid="{9BDAC9C2-09FE-4EAB-AB0C-FB010E83F677}" uniqueName="11" name="productGender" queryTableFieldId="12" dataDxfId="7">
      <calculatedColumnFormula>VLOOKUP(ORDERS[[#This Row],[ProductID]],Products[],3,FALSE)</calculatedColumnFormula>
    </tableColumn>
    <tableColumn id="12" xr3:uid="{FF13A065-BB5F-4097-B49B-5EBB35B08D7D}" uniqueName="12" name="Day" queryTableFieldId="13" dataDxfId="3">
      <calculatedColumnFormula>DAY(ORDERS[[#This Row],[OrderDate]])</calculatedColumnFormula>
    </tableColumn>
    <tableColumn id="13" xr3:uid="{36A195F3-DA1C-45B2-A038-B407C3D39E48}" uniqueName="13" name="years" queryTableFieldId="14" dataDxfId="2">
      <calculatedColumnFormula>YEAR(ORDERS[[#This Row],[OrderDate]])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8F1D-2E99-4417-971B-E8160E60A268}">
  <dimension ref="A1:D11"/>
  <sheetViews>
    <sheetView workbookViewId="0">
      <selection activeCell="D24" sqref="D24"/>
    </sheetView>
  </sheetViews>
  <sheetFormatPr defaultRowHeight="14.4" x14ac:dyDescent="0.3"/>
  <cols>
    <col min="1" max="1" width="11.6640625" bestFit="1" customWidth="1"/>
    <col min="2" max="2" width="22.88671875" bestFit="1" customWidth="1"/>
    <col min="3" max="3" width="9.33203125" bestFit="1" customWidth="1"/>
    <col min="4" max="4" width="10.88671875" bestFit="1" customWidth="1"/>
  </cols>
  <sheetData>
    <row r="1" spans="1:4" x14ac:dyDescent="0.3">
      <c r="A1" t="s">
        <v>2</v>
      </c>
      <c r="B1" t="s">
        <v>47</v>
      </c>
      <c r="C1" t="s">
        <v>48</v>
      </c>
      <c r="D1" t="s">
        <v>49</v>
      </c>
    </row>
    <row r="2" spans="1:4" x14ac:dyDescent="0.3">
      <c r="A2">
        <v>1</v>
      </c>
      <c r="B2" t="s">
        <v>50</v>
      </c>
      <c r="C2" t="s">
        <v>51</v>
      </c>
      <c r="D2">
        <v>20</v>
      </c>
    </row>
    <row r="3" spans="1:4" x14ac:dyDescent="0.3">
      <c r="A3">
        <v>2</v>
      </c>
      <c r="B3" t="s">
        <v>52</v>
      </c>
      <c r="C3" t="s">
        <v>51</v>
      </c>
      <c r="D3">
        <v>30</v>
      </c>
    </row>
    <row r="4" spans="1:4" x14ac:dyDescent="0.3">
      <c r="A4">
        <v>3</v>
      </c>
      <c r="B4" t="s">
        <v>53</v>
      </c>
      <c r="C4" t="s">
        <v>51</v>
      </c>
      <c r="D4">
        <v>22</v>
      </c>
    </row>
    <row r="5" spans="1:4" x14ac:dyDescent="0.3">
      <c r="A5">
        <v>4</v>
      </c>
      <c r="B5" t="s">
        <v>54</v>
      </c>
      <c r="C5" t="s">
        <v>51</v>
      </c>
      <c r="D5">
        <v>30</v>
      </c>
    </row>
    <row r="6" spans="1:4" x14ac:dyDescent="0.3">
      <c r="A6">
        <v>5</v>
      </c>
      <c r="B6" t="s">
        <v>55</v>
      </c>
      <c r="C6" t="s">
        <v>56</v>
      </c>
      <c r="D6">
        <v>16</v>
      </c>
    </row>
    <row r="7" spans="1:4" x14ac:dyDescent="0.3">
      <c r="A7">
        <v>6</v>
      </c>
      <c r="B7" t="s">
        <v>57</v>
      </c>
      <c r="C7" t="s">
        <v>56</v>
      </c>
      <c r="D7">
        <v>28</v>
      </c>
    </row>
    <row r="8" spans="1:4" x14ac:dyDescent="0.3">
      <c r="A8">
        <v>7</v>
      </c>
      <c r="B8" t="s">
        <v>58</v>
      </c>
      <c r="C8" t="s">
        <v>56</v>
      </c>
      <c r="D8">
        <v>38</v>
      </c>
    </row>
    <row r="9" spans="1:4" x14ac:dyDescent="0.3">
      <c r="A9">
        <v>8</v>
      </c>
      <c r="B9" t="s">
        <v>59</v>
      </c>
      <c r="C9" t="s">
        <v>56</v>
      </c>
      <c r="D9">
        <v>27</v>
      </c>
    </row>
    <row r="10" spans="1:4" x14ac:dyDescent="0.3">
      <c r="A10">
        <v>9</v>
      </c>
      <c r="B10" t="s">
        <v>60</v>
      </c>
      <c r="C10" t="s">
        <v>61</v>
      </c>
      <c r="D10">
        <v>25</v>
      </c>
    </row>
    <row r="11" spans="1:4" x14ac:dyDescent="0.3">
      <c r="A11">
        <v>10</v>
      </c>
      <c r="B11" t="s">
        <v>62</v>
      </c>
      <c r="C11" t="s">
        <v>61</v>
      </c>
      <c r="D11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44FF-55F1-4938-A7E2-91ADB300A790}">
  <dimension ref="A1:G8"/>
  <sheetViews>
    <sheetView workbookViewId="0">
      <selection activeCell="C20" sqref="C20"/>
    </sheetView>
  </sheetViews>
  <sheetFormatPr defaultRowHeight="14.4" x14ac:dyDescent="0.3"/>
  <cols>
    <col min="1" max="1" width="13.109375" bestFit="1" customWidth="1"/>
    <col min="2" max="2" width="19.44140625" bestFit="1" customWidth="1"/>
    <col min="3" max="3" width="21.6640625" bestFit="1" customWidth="1"/>
    <col min="4" max="4" width="12.21875" bestFit="1" customWidth="1"/>
    <col min="5" max="5" width="7.5546875" bestFit="1" customWidth="1"/>
    <col min="6" max="6" width="6" bestFit="1" customWidth="1"/>
    <col min="7" max="7" width="13.77734375" bestFit="1" customWidth="1"/>
  </cols>
  <sheetData>
    <row r="1" spans="1:7" x14ac:dyDescent="0.3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97356</v>
      </c>
      <c r="G2" t="s">
        <v>16</v>
      </c>
    </row>
    <row r="3" spans="1:7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>
        <v>97332</v>
      </c>
      <c r="G3" t="s">
        <v>21</v>
      </c>
    </row>
    <row r="4" spans="1:7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>
        <v>33325</v>
      </c>
      <c r="G4" t="s">
        <v>26</v>
      </c>
    </row>
    <row r="5" spans="1:7" x14ac:dyDescent="0.3">
      <c r="A5">
        <v>4</v>
      </c>
      <c r="B5" t="s">
        <v>27</v>
      </c>
      <c r="C5" t="s">
        <v>28</v>
      </c>
      <c r="D5" t="s">
        <v>29</v>
      </c>
      <c r="E5" t="s">
        <v>30</v>
      </c>
      <c r="F5">
        <v>33302</v>
      </c>
      <c r="G5" t="s">
        <v>31</v>
      </c>
    </row>
    <row r="6" spans="1:7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>
        <v>48653</v>
      </c>
      <c r="G6" t="s">
        <v>36</v>
      </c>
    </row>
    <row r="7" spans="1:7" x14ac:dyDescent="0.3">
      <c r="A7">
        <v>6</v>
      </c>
      <c r="B7" t="s">
        <v>37</v>
      </c>
      <c r="C7" t="s">
        <v>38</v>
      </c>
      <c r="D7" t="s">
        <v>39</v>
      </c>
      <c r="E7" t="s">
        <v>40</v>
      </c>
      <c r="F7">
        <v>22287</v>
      </c>
      <c r="G7" t="s">
        <v>41</v>
      </c>
    </row>
    <row r="8" spans="1:7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>
        <v>83805</v>
      </c>
      <c r="G8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9A67-D078-49B6-98EC-32635054AC15}">
  <dimension ref="A1:M2246"/>
  <sheetViews>
    <sheetView topLeftCell="A2103" workbookViewId="0">
      <selection activeCell="M3" sqref="M3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1.6640625" bestFit="1" customWidth="1"/>
    <col min="4" max="4" width="11.88671875" bestFit="1" customWidth="1"/>
    <col min="5" max="5" width="14.44140625" bestFit="1" customWidth="1"/>
    <col min="6" max="8" width="12" bestFit="1" customWidth="1"/>
    <col min="9" max="9" width="19.44140625" bestFit="1" customWidth="1"/>
    <col min="10" max="10" width="14.33203125" bestFit="1" customWidth="1"/>
    <col min="11" max="11" width="16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</v>
      </c>
      <c r="G1" t="s">
        <v>5</v>
      </c>
      <c r="H1" t="s">
        <v>64</v>
      </c>
      <c r="I1" t="s">
        <v>65</v>
      </c>
      <c r="J1" t="s">
        <v>66</v>
      </c>
      <c r="K1" t="s">
        <v>67</v>
      </c>
      <c r="L1" t="s">
        <v>83</v>
      </c>
      <c r="M1" t="s">
        <v>84</v>
      </c>
    </row>
    <row r="2" spans="1:13" x14ac:dyDescent="0.3">
      <c r="A2">
        <v>1</v>
      </c>
      <c r="B2">
        <v>2</v>
      </c>
      <c r="C2">
        <v>9</v>
      </c>
      <c r="D2" s="1">
        <v>40910</v>
      </c>
      <c r="E2">
        <v>113</v>
      </c>
      <c r="F2">
        <f>VLOOKUP(ORDERS[[#This Row],[ProductID]],Products[],4,FALSE)</f>
        <v>25</v>
      </c>
      <c r="G2">
        <v>0</v>
      </c>
      <c r="H2">
        <f>(ORDERS[[#This Row],[UnitsOrdered]]*ORDERS[[#This Row],[unit price]])-(ORDERS[[#This Row],[UnitsOrdered]]*ORDERS[[#This Row],[unit price]]*ORDERS[[#This Row],[Discount]])</f>
        <v>2825</v>
      </c>
      <c r="I2" t="str">
        <f>VLOOKUP(ORDERS[[#This Row],[CustomerID]],customers[],2,FALSE)</f>
        <v>A Shirts Life</v>
      </c>
      <c r="J2" s="2" t="str">
        <f>VLOOKUP(ORDERS[[#This Row],[CustomerID]],customers[],4,FALSE)</f>
        <v>Portland</v>
      </c>
      <c r="K2" s="2" t="str">
        <f>VLOOKUP(ORDERS[[#This Row],[ProductID]],Products[],3,FALSE)</f>
        <v>Male</v>
      </c>
      <c r="L2" s="2">
        <f>DAY(ORDERS[[#This Row],[OrderDate]])</f>
        <v>2</v>
      </c>
      <c r="M2" s="2">
        <f>YEAR(ORDERS[[#This Row],[OrderDate]])</f>
        <v>2012</v>
      </c>
    </row>
    <row r="3" spans="1:13" x14ac:dyDescent="0.3">
      <c r="A3">
        <v>2</v>
      </c>
      <c r="B3">
        <v>3</v>
      </c>
      <c r="C3">
        <v>8</v>
      </c>
      <c r="D3" s="1">
        <v>40910</v>
      </c>
      <c r="E3">
        <v>38</v>
      </c>
      <c r="F3">
        <f>VLOOKUP(ORDERS[[#This Row],[ProductID]],Products[],4,FALSE)</f>
        <v>27</v>
      </c>
      <c r="G3">
        <v>0</v>
      </c>
      <c r="H3">
        <f>(ORDERS[[#This Row],[UnitsOrdered]]*ORDERS[[#This Row],[unit price]])-(ORDERS[[#This Row],[UnitsOrdered]]*ORDERS[[#This Row],[unit price]]*ORDERS[[#This Row],[Discount]])</f>
        <v>1026</v>
      </c>
      <c r="I3" t="str">
        <f>VLOOKUP(ORDERS[[#This Row],[CustomerID]],customers[],2,FALSE)</f>
        <v>Shirts R Us</v>
      </c>
      <c r="J3" s="2" t="str">
        <f>VLOOKUP(ORDERS[[#This Row],[CustomerID]],customers[],4,FALSE)</f>
        <v>Los Angeles</v>
      </c>
      <c r="K3" s="2" t="str">
        <f>VLOOKUP(ORDERS[[#This Row],[ProductID]],Products[],3,FALSE)</f>
        <v>Female</v>
      </c>
      <c r="L3" s="2">
        <f>DAY(ORDERS[[#This Row],[OrderDate]])</f>
        <v>2</v>
      </c>
      <c r="M3" s="2">
        <f>YEAR(ORDERS[[#This Row],[OrderDate]])</f>
        <v>2012</v>
      </c>
    </row>
    <row r="4" spans="1:13" x14ac:dyDescent="0.3">
      <c r="A4">
        <v>3</v>
      </c>
      <c r="B4">
        <v>3</v>
      </c>
      <c r="C4">
        <v>2</v>
      </c>
      <c r="D4" s="1">
        <v>40910</v>
      </c>
      <c r="E4">
        <v>65</v>
      </c>
      <c r="F4">
        <f>VLOOKUP(ORDERS[[#This Row],[ProductID]],Products[],4,FALSE)</f>
        <v>30</v>
      </c>
      <c r="G4">
        <v>0</v>
      </c>
      <c r="H4">
        <f>(ORDERS[[#This Row],[UnitsOrdered]]*ORDERS[[#This Row],[unit price]])-(ORDERS[[#This Row],[UnitsOrdered]]*ORDERS[[#This Row],[unit price]]*ORDERS[[#This Row],[Discount]])</f>
        <v>1950</v>
      </c>
      <c r="I4" t="str">
        <f>VLOOKUP(ORDERS[[#This Row],[CustomerID]],customers[],2,FALSE)</f>
        <v>Shirts R Us</v>
      </c>
      <c r="J4" s="2" t="str">
        <f>VLOOKUP(ORDERS[[#This Row],[CustomerID]],customers[],4,FALSE)</f>
        <v>Los Angeles</v>
      </c>
      <c r="K4" s="2" t="str">
        <f>VLOOKUP(ORDERS[[#This Row],[ProductID]],Products[],3,FALSE)</f>
        <v>Both</v>
      </c>
      <c r="L4" s="2">
        <f>DAY(ORDERS[[#This Row],[OrderDate]])</f>
        <v>2</v>
      </c>
      <c r="M4" s="2">
        <f>YEAR(ORDERS[[#This Row],[OrderDate]])</f>
        <v>2012</v>
      </c>
    </row>
    <row r="5" spans="1:13" x14ac:dyDescent="0.3">
      <c r="A5">
        <v>4</v>
      </c>
      <c r="B5">
        <v>2</v>
      </c>
      <c r="C5">
        <v>6</v>
      </c>
      <c r="D5" s="1">
        <v>40911</v>
      </c>
      <c r="E5">
        <v>99</v>
      </c>
      <c r="F5">
        <f>VLOOKUP(ORDERS[[#This Row],[ProductID]],Products[],4,FALSE)</f>
        <v>28</v>
      </c>
      <c r="G5">
        <v>0</v>
      </c>
      <c r="H5">
        <f>(ORDERS[[#This Row],[UnitsOrdered]]*ORDERS[[#This Row],[unit price]])-(ORDERS[[#This Row],[UnitsOrdered]]*ORDERS[[#This Row],[unit price]]*ORDERS[[#This Row],[Discount]])</f>
        <v>2772</v>
      </c>
      <c r="I5" t="str">
        <f>VLOOKUP(ORDERS[[#This Row],[CustomerID]],customers[],2,FALSE)</f>
        <v>A Shirts Life</v>
      </c>
      <c r="J5" s="2" t="str">
        <f>VLOOKUP(ORDERS[[#This Row],[CustomerID]],customers[],4,FALSE)</f>
        <v>Portland</v>
      </c>
      <c r="K5" s="2" t="str">
        <f>VLOOKUP(ORDERS[[#This Row],[ProductID]],Products[],3,FALSE)</f>
        <v>Female</v>
      </c>
      <c r="L5" s="2">
        <f>DAY(ORDERS[[#This Row],[OrderDate]])</f>
        <v>3</v>
      </c>
      <c r="M5" s="2">
        <f>YEAR(ORDERS[[#This Row],[OrderDate]])</f>
        <v>2012</v>
      </c>
    </row>
    <row r="6" spans="1:13" x14ac:dyDescent="0.3">
      <c r="A6">
        <v>5</v>
      </c>
      <c r="B6">
        <v>4</v>
      </c>
      <c r="C6">
        <v>5</v>
      </c>
      <c r="D6" s="1">
        <v>40911</v>
      </c>
      <c r="E6">
        <v>56</v>
      </c>
      <c r="F6">
        <f>VLOOKUP(ORDERS[[#This Row],[ProductID]],Products[],4,FALSE)</f>
        <v>16</v>
      </c>
      <c r="G6">
        <v>0</v>
      </c>
      <c r="H6">
        <f>(ORDERS[[#This Row],[UnitsOrdered]]*ORDERS[[#This Row],[unit price]])-(ORDERS[[#This Row],[UnitsOrdered]]*ORDERS[[#This Row],[unit price]]*ORDERS[[#This Row],[Discount]])</f>
        <v>896</v>
      </c>
      <c r="I6" t="str">
        <f>VLOOKUP(ORDERS[[#This Row],[CustomerID]],customers[],2,FALSE)</f>
        <v>Tshirt Unlimited</v>
      </c>
      <c r="J6" s="2" t="str">
        <f>VLOOKUP(ORDERS[[#This Row],[CustomerID]],customers[],4,FALSE)</f>
        <v>Phoenix</v>
      </c>
      <c r="K6" s="2" t="str">
        <f>VLOOKUP(ORDERS[[#This Row],[ProductID]],Products[],3,FALSE)</f>
        <v>Female</v>
      </c>
      <c r="L6" s="2">
        <f>DAY(ORDERS[[#This Row],[OrderDate]])</f>
        <v>3</v>
      </c>
      <c r="M6" s="2">
        <f>YEAR(ORDERS[[#This Row],[OrderDate]])</f>
        <v>2012</v>
      </c>
    </row>
    <row r="7" spans="1:13" x14ac:dyDescent="0.3">
      <c r="A7">
        <v>6</v>
      </c>
      <c r="B7">
        <v>2</v>
      </c>
      <c r="C7">
        <v>3</v>
      </c>
      <c r="D7" s="1">
        <v>40913</v>
      </c>
      <c r="E7">
        <v>41</v>
      </c>
      <c r="F7">
        <f>VLOOKUP(ORDERS[[#This Row],[ProductID]],Products[],4,FALSE)</f>
        <v>22</v>
      </c>
      <c r="G7">
        <v>0</v>
      </c>
      <c r="H7">
        <f>(ORDERS[[#This Row],[UnitsOrdered]]*ORDERS[[#This Row],[unit price]])-(ORDERS[[#This Row],[UnitsOrdered]]*ORDERS[[#This Row],[unit price]]*ORDERS[[#This Row],[Discount]])</f>
        <v>902</v>
      </c>
      <c r="I7" t="str">
        <f>VLOOKUP(ORDERS[[#This Row],[CustomerID]],customers[],2,FALSE)</f>
        <v>A Shirts Life</v>
      </c>
      <c r="J7" s="2" t="str">
        <f>VLOOKUP(ORDERS[[#This Row],[CustomerID]],customers[],4,FALSE)</f>
        <v>Portland</v>
      </c>
      <c r="K7" s="2" t="str">
        <f>VLOOKUP(ORDERS[[#This Row],[ProductID]],Products[],3,FALSE)</f>
        <v>Both</v>
      </c>
      <c r="L7" s="2">
        <f>DAY(ORDERS[[#This Row],[OrderDate]])</f>
        <v>5</v>
      </c>
      <c r="M7" s="2">
        <f>YEAR(ORDERS[[#This Row],[OrderDate]])</f>
        <v>2012</v>
      </c>
    </row>
    <row r="8" spans="1:13" x14ac:dyDescent="0.3">
      <c r="A8">
        <v>7</v>
      </c>
      <c r="B8">
        <v>3</v>
      </c>
      <c r="C8">
        <v>10</v>
      </c>
      <c r="D8" s="1">
        <v>40913</v>
      </c>
      <c r="E8">
        <v>142</v>
      </c>
      <c r="F8">
        <f>VLOOKUP(ORDERS[[#This Row],[ProductID]],Products[],4,FALSE)</f>
        <v>35</v>
      </c>
      <c r="G8">
        <v>0.10000000100000001</v>
      </c>
      <c r="H8">
        <f>(ORDERS[[#This Row],[UnitsOrdered]]*ORDERS[[#This Row],[unit price]])-(ORDERS[[#This Row],[UnitsOrdered]]*ORDERS[[#This Row],[unit price]]*ORDERS[[#This Row],[Discount]])</f>
        <v>4472.9999950299998</v>
      </c>
      <c r="I8" t="str">
        <f>VLOOKUP(ORDERS[[#This Row],[CustomerID]],customers[],2,FALSE)</f>
        <v>Shirts R Us</v>
      </c>
      <c r="J8" s="2" t="str">
        <f>VLOOKUP(ORDERS[[#This Row],[CustomerID]],customers[],4,FALSE)</f>
        <v>Los Angeles</v>
      </c>
      <c r="K8" s="2" t="str">
        <f>VLOOKUP(ORDERS[[#This Row],[ProductID]],Products[],3,FALSE)</f>
        <v>Male</v>
      </c>
      <c r="L8" s="2">
        <f>DAY(ORDERS[[#This Row],[OrderDate]])</f>
        <v>5</v>
      </c>
      <c r="M8" s="2">
        <f>YEAR(ORDERS[[#This Row],[OrderDate]])</f>
        <v>2012</v>
      </c>
    </row>
    <row r="9" spans="1:13" x14ac:dyDescent="0.3">
      <c r="A9">
        <v>8</v>
      </c>
      <c r="B9">
        <v>6</v>
      </c>
      <c r="C9">
        <v>8</v>
      </c>
      <c r="D9" s="1">
        <v>40913</v>
      </c>
      <c r="E9">
        <v>95</v>
      </c>
      <c r="F9">
        <f>VLOOKUP(ORDERS[[#This Row],[ProductID]],Products[],4,FALSE)</f>
        <v>27</v>
      </c>
      <c r="G9">
        <v>0</v>
      </c>
      <c r="H9">
        <f>(ORDERS[[#This Row],[UnitsOrdered]]*ORDERS[[#This Row],[unit price]])-(ORDERS[[#This Row],[UnitsOrdered]]*ORDERS[[#This Row],[unit price]]*ORDERS[[#This Row],[Discount]])</f>
        <v>2565</v>
      </c>
      <c r="I9" t="str">
        <f>VLOOKUP(ORDERS[[#This Row],[CustomerID]],customers[],2,FALSE)</f>
        <v>Abracadaba Ink</v>
      </c>
      <c r="J9" s="2" t="str">
        <f>VLOOKUP(ORDERS[[#This Row],[CustomerID]],customers[],4,FALSE)</f>
        <v>Salt Lake City</v>
      </c>
      <c r="K9" s="2" t="str">
        <f>VLOOKUP(ORDERS[[#This Row],[ProductID]],Products[],3,FALSE)</f>
        <v>Female</v>
      </c>
      <c r="L9" s="2">
        <f>DAY(ORDERS[[#This Row],[OrderDate]])</f>
        <v>5</v>
      </c>
      <c r="M9" s="2">
        <f>YEAR(ORDERS[[#This Row],[OrderDate]])</f>
        <v>2012</v>
      </c>
    </row>
    <row r="10" spans="1:13" x14ac:dyDescent="0.3">
      <c r="A10">
        <v>9</v>
      </c>
      <c r="B10">
        <v>2</v>
      </c>
      <c r="C10">
        <v>9</v>
      </c>
      <c r="D10" s="1">
        <v>40915</v>
      </c>
      <c r="E10">
        <v>106</v>
      </c>
      <c r="F10">
        <f>VLOOKUP(ORDERS[[#This Row],[ProductID]],Products[],4,FALSE)</f>
        <v>25</v>
      </c>
      <c r="G10">
        <v>0.10000000100000001</v>
      </c>
      <c r="H10">
        <f>(ORDERS[[#This Row],[UnitsOrdered]]*ORDERS[[#This Row],[unit price]])-(ORDERS[[#This Row],[UnitsOrdered]]*ORDERS[[#This Row],[unit price]]*ORDERS[[#This Row],[Discount]])</f>
        <v>2384.9999973499998</v>
      </c>
      <c r="I10" t="str">
        <f>VLOOKUP(ORDERS[[#This Row],[CustomerID]],customers[],2,FALSE)</f>
        <v>A Shirts Life</v>
      </c>
      <c r="J10" s="2" t="str">
        <f>VLOOKUP(ORDERS[[#This Row],[CustomerID]],customers[],4,FALSE)</f>
        <v>Portland</v>
      </c>
      <c r="K10" s="2" t="str">
        <f>VLOOKUP(ORDERS[[#This Row],[ProductID]],Products[],3,FALSE)</f>
        <v>Male</v>
      </c>
      <c r="L10" s="2">
        <f>DAY(ORDERS[[#This Row],[OrderDate]])</f>
        <v>7</v>
      </c>
      <c r="M10" s="2">
        <f>YEAR(ORDERS[[#This Row],[OrderDate]])</f>
        <v>2012</v>
      </c>
    </row>
    <row r="11" spans="1:13" x14ac:dyDescent="0.3">
      <c r="A11">
        <v>10</v>
      </c>
      <c r="B11">
        <v>1</v>
      </c>
      <c r="C11">
        <v>9</v>
      </c>
      <c r="D11" s="1">
        <v>40916</v>
      </c>
      <c r="E11">
        <v>91</v>
      </c>
      <c r="F11">
        <f>VLOOKUP(ORDERS[[#This Row],[ProductID]],Products[],4,FALSE)</f>
        <v>25</v>
      </c>
      <c r="G11">
        <v>0</v>
      </c>
      <c r="H11">
        <f>(ORDERS[[#This Row],[UnitsOrdered]]*ORDERS[[#This Row],[unit price]])-(ORDERS[[#This Row],[UnitsOrdered]]*ORDERS[[#This Row],[unit price]]*ORDERS[[#This Row],[Discount]])</f>
        <v>2275</v>
      </c>
      <c r="I11" t="str">
        <f>VLOOKUP(ORDERS[[#This Row],[CustomerID]],customers[],2,FALSE)</f>
        <v>Threads</v>
      </c>
      <c r="J11" s="2" t="str">
        <f>VLOOKUP(ORDERS[[#This Row],[CustomerID]],customers[],4,FALSE)</f>
        <v>Seattle</v>
      </c>
      <c r="K11" s="2" t="str">
        <f>VLOOKUP(ORDERS[[#This Row],[ProductID]],Products[],3,FALSE)</f>
        <v>Male</v>
      </c>
      <c r="L11" s="2">
        <f>DAY(ORDERS[[#This Row],[OrderDate]])</f>
        <v>8</v>
      </c>
      <c r="M11" s="2">
        <f>YEAR(ORDERS[[#This Row],[OrderDate]])</f>
        <v>2012</v>
      </c>
    </row>
    <row r="12" spans="1:13" x14ac:dyDescent="0.3">
      <c r="A12">
        <v>11</v>
      </c>
      <c r="B12">
        <v>4</v>
      </c>
      <c r="C12">
        <v>6</v>
      </c>
      <c r="D12" s="1">
        <v>40917</v>
      </c>
      <c r="E12">
        <v>80</v>
      </c>
      <c r="F12">
        <f>VLOOKUP(ORDERS[[#This Row],[ProductID]],Products[],4,FALSE)</f>
        <v>28</v>
      </c>
      <c r="G12">
        <v>0</v>
      </c>
      <c r="H12">
        <f>(ORDERS[[#This Row],[UnitsOrdered]]*ORDERS[[#This Row],[unit price]])-(ORDERS[[#This Row],[UnitsOrdered]]*ORDERS[[#This Row],[unit price]]*ORDERS[[#This Row],[Discount]])</f>
        <v>2240</v>
      </c>
      <c r="I12" t="str">
        <f>VLOOKUP(ORDERS[[#This Row],[CustomerID]],customers[],2,FALSE)</f>
        <v>Tshirt Unlimited</v>
      </c>
      <c r="J12" s="2" t="str">
        <f>VLOOKUP(ORDERS[[#This Row],[CustomerID]],customers[],4,FALSE)</f>
        <v>Phoenix</v>
      </c>
      <c r="K12" s="2" t="str">
        <f>VLOOKUP(ORDERS[[#This Row],[ProductID]],Products[],3,FALSE)</f>
        <v>Female</v>
      </c>
      <c r="L12" s="2">
        <f>DAY(ORDERS[[#This Row],[OrderDate]])</f>
        <v>9</v>
      </c>
      <c r="M12" s="2">
        <f>YEAR(ORDERS[[#This Row],[OrderDate]])</f>
        <v>2012</v>
      </c>
    </row>
    <row r="13" spans="1:13" x14ac:dyDescent="0.3">
      <c r="A13">
        <v>12</v>
      </c>
      <c r="B13">
        <v>3</v>
      </c>
      <c r="C13">
        <v>6</v>
      </c>
      <c r="D13" s="1">
        <v>40918</v>
      </c>
      <c r="E13">
        <v>98</v>
      </c>
      <c r="F13">
        <f>VLOOKUP(ORDERS[[#This Row],[ProductID]],Products[],4,FALSE)</f>
        <v>28</v>
      </c>
      <c r="G13">
        <v>0.10000000100000001</v>
      </c>
      <c r="H13">
        <f>(ORDERS[[#This Row],[UnitsOrdered]]*ORDERS[[#This Row],[unit price]])-(ORDERS[[#This Row],[UnitsOrdered]]*ORDERS[[#This Row],[unit price]]*ORDERS[[#This Row],[Discount]])</f>
        <v>2469.5999972559998</v>
      </c>
      <c r="I13" t="str">
        <f>VLOOKUP(ORDERS[[#This Row],[CustomerID]],customers[],2,FALSE)</f>
        <v>Shirts R Us</v>
      </c>
      <c r="J13" s="2" t="str">
        <f>VLOOKUP(ORDERS[[#This Row],[CustomerID]],customers[],4,FALSE)</f>
        <v>Los Angeles</v>
      </c>
      <c r="K13" s="2" t="str">
        <f>VLOOKUP(ORDERS[[#This Row],[ProductID]],Products[],3,FALSE)</f>
        <v>Female</v>
      </c>
      <c r="L13" s="2">
        <f>DAY(ORDERS[[#This Row],[OrderDate]])</f>
        <v>10</v>
      </c>
      <c r="M13" s="2">
        <f>YEAR(ORDERS[[#This Row],[OrderDate]])</f>
        <v>2012</v>
      </c>
    </row>
    <row r="14" spans="1:13" x14ac:dyDescent="0.3">
      <c r="A14">
        <v>13</v>
      </c>
      <c r="B14">
        <v>1</v>
      </c>
      <c r="C14">
        <v>10</v>
      </c>
      <c r="D14" s="1">
        <v>40920</v>
      </c>
      <c r="E14">
        <v>150</v>
      </c>
      <c r="F14">
        <f>VLOOKUP(ORDERS[[#This Row],[ProductID]],Products[],4,FALSE)</f>
        <v>35</v>
      </c>
      <c r="G14">
        <v>0</v>
      </c>
      <c r="H14">
        <f>(ORDERS[[#This Row],[UnitsOrdered]]*ORDERS[[#This Row],[unit price]])-(ORDERS[[#This Row],[UnitsOrdered]]*ORDERS[[#This Row],[unit price]]*ORDERS[[#This Row],[Discount]])</f>
        <v>5250</v>
      </c>
      <c r="I14" t="str">
        <f>VLOOKUP(ORDERS[[#This Row],[CustomerID]],customers[],2,FALSE)</f>
        <v>Threads</v>
      </c>
      <c r="J14" s="2" t="str">
        <f>VLOOKUP(ORDERS[[#This Row],[CustomerID]],customers[],4,FALSE)</f>
        <v>Seattle</v>
      </c>
      <c r="K14" s="2" t="str">
        <f>VLOOKUP(ORDERS[[#This Row],[ProductID]],Products[],3,FALSE)</f>
        <v>Male</v>
      </c>
      <c r="L14" s="2">
        <f>DAY(ORDERS[[#This Row],[OrderDate]])</f>
        <v>12</v>
      </c>
      <c r="M14" s="2">
        <f>YEAR(ORDERS[[#This Row],[OrderDate]])</f>
        <v>2012</v>
      </c>
    </row>
    <row r="15" spans="1:13" x14ac:dyDescent="0.3">
      <c r="A15">
        <v>14</v>
      </c>
      <c r="B15">
        <v>1</v>
      </c>
      <c r="C15">
        <v>4</v>
      </c>
      <c r="D15" s="1">
        <v>40922</v>
      </c>
      <c r="E15">
        <v>75</v>
      </c>
      <c r="F15">
        <f>VLOOKUP(ORDERS[[#This Row],[ProductID]],Products[],4,FALSE)</f>
        <v>30</v>
      </c>
      <c r="G15">
        <v>5.0000001000000002E-2</v>
      </c>
      <c r="H15">
        <f>(ORDERS[[#This Row],[UnitsOrdered]]*ORDERS[[#This Row],[unit price]])-(ORDERS[[#This Row],[UnitsOrdered]]*ORDERS[[#This Row],[unit price]]*ORDERS[[#This Row],[Discount]])</f>
        <v>2137.4999977500001</v>
      </c>
      <c r="I15" t="str">
        <f>VLOOKUP(ORDERS[[#This Row],[CustomerID]],customers[],2,FALSE)</f>
        <v>Threads</v>
      </c>
      <c r="J15" s="2" t="str">
        <f>VLOOKUP(ORDERS[[#This Row],[CustomerID]],customers[],4,FALSE)</f>
        <v>Seattle</v>
      </c>
      <c r="K15" s="2" t="str">
        <f>VLOOKUP(ORDERS[[#This Row],[ProductID]],Products[],3,FALSE)</f>
        <v>Both</v>
      </c>
      <c r="L15" s="2">
        <f>DAY(ORDERS[[#This Row],[OrderDate]])</f>
        <v>14</v>
      </c>
      <c r="M15" s="2">
        <f>YEAR(ORDERS[[#This Row],[OrderDate]])</f>
        <v>2012</v>
      </c>
    </row>
    <row r="16" spans="1:13" x14ac:dyDescent="0.3">
      <c r="A16">
        <v>15</v>
      </c>
      <c r="B16">
        <v>1</v>
      </c>
      <c r="C16">
        <v>3</v>
      </c>
      <c r="D16" s="1">
        <v>40923</v>
      </c>
      <c r="E16">
        <v>150</v>
      </c>
      <c r="F16">
        <f>VLOOKUP(ORDERS[[#This Row],[ProductID]],Products[],4,FALSE)</f>
        <v>22</v>
      </c>
      <c r="G16">
        <v>0</v>
      </c>
      <c r="H16">
        <f>(ORDERS[[#This Row],[UnitsOrdered]]*ORDERS[[#This Row],[unit price]])-(ORDERS[[#This Row],[UnitsOrdered]]*ORDERS[[#This Row],[unit price]]*ORDERS[[#This Row],[Discount]])</f>
        <v>3300</v>
      </c>
      <c r="I16" t="str">
        <f>VLOOKUP(ORDERS[[#This Row],[CustomerID]],customers[],2,FALSE)</f>
        <v>Threads</v>
      </c>
      <c r="J16" s="2" t="str">
        <f>VLOOKUP(ORDERS[[#This Row],[CustomerID]],customers[],4,FALSE)</f>
        <v>Seattle</v>
      </c>
      <c r="K16" s="2" t="str">
        <f>VLOOKUP(ORDERS[[#This Row],[ProductID]],Products[],3,FALSE)</f>
        <v>Both</v>
      </c>
      <c r="L16" s="2">
        <f>DAY(ORDERS[[#This Row],[OrderDate]])</f>
        <v>15</v>
      </c>
      <c r="M16" s="2">
        <f>YEAR(ORDERS[[#This Row],[OrderDate]])</f>
        <v>2012</v>
      </c>
    </row>
    <row r="17" spans="1:13" x14ac:dyDescent="0.3">
      <c r="A17">
        <v>16</v>
      </c>
      <c r="B17">
        <v>1</v>
      </c>
      <c r="C17">
        <v>6</v>
      </c>
      <c r="D17" s="1">
        <v>40923</v>
      </c>
      <c r="E17">
        <v>103</v>
      </c>
      <c r="F17">
        <f>VLOOKUP(ORDERS[[#This Row],[ProductID]],Products[],4,FALSE)</f>
        <v>28</v>
      </c>
      <c r="G17">
        <v>0</v>
      </c>
      <c r="H17">
        <f>(ORDERS[[#This Row],[UnitsOrdered]]*ORDERS[[#This Row],[unit price]])-(ORDERS[[#This Row],[UnitsOrdered]]*ORDERS[[#This Row],[unit price]]*ORDERS[[#This Row],[Discount]])</f>
        <v>2884</v>
      </c>
      <c r="I17" t="str">
        <f>VLOOKUP(ORDERS[[#This Row],[CustomerID]],customers[],2,FALSE)</f>
        <v>Threads</v>
      </c>
      <c r="J17" s="2" t="str">
        <f>VLOOKUP(ORDERS[[#This Row],[CustomerID]],customers[],4,FALSE)</f>
        <v>Seattle</v>
      </c>
      <c r="K17" s="2" t="str">
        <f>VLOOKUP(ORDERS[[#This Row],[ProductID]],Products[],3,FALSE)</f>
        <v>Female</v>
      </c>
      <c r="L17" s="2">
        <f>DAY(ORDERS[[#This Row],[OrderDate]])</f>
        <v>15</v>
      </c>
      <c r="M17" s="2">
        <f>YEAR(ORDERS[[#This Row],[OrderDate]])</f>
        <v>2012</v>
      </c>
    </row>
    <row r="18" spans="1:13" x14ac:dyDescent="0.3">
      <c r="A18">
        <v>17</v>
      </c>
      <c r="B18">
        <v>2</v>
      </c>
      <c r="C18">
        <v>6</v>
      </c>
      <c r="D18" s="1">
        <v>40923</v>
      </c>
      <c r="E18">
        <v>147</v>
      </c>
      <c r="F18">
        <f>VLOOKUP(ORDERS[[#This Row],[ProductID]],Products[],4,FALSE)</f>
        <v>28</v>
      </c>
      <c r="G18">
        <v>0</v>
      </c>
      <c r="H18">
        <f>(ORDERS[[#This Row],[UnitsOrdered]]*ORDERS[[#This Row],[unit price]])-(ORDERS[[#This Row],[UnitsOrdered]]*ORDERS[[#This Row],[unit price]]*ORDERS[[#This Row],[Discount]])</f>
        <v>4116</v>
      </c>
      <c r="I18" t="str">
        <f>VLOOKUP(ORDERS[[#This Row],[CustomerID]],customers[],2,FALSE)</f>
        <v>A Shirts Life</v>
      </c>
      <c r="J18" s="2" t="str">
        <f>VLOOKUP(ORDERS[[#This Row],[CustomerID]],customers[],4,FALSE)</f>
        <v>Portland</v>
      </c>
      <c r="K18" s="2" t="str">
        <f>VLOOKUP(ORDERS[[#This Row],[ProductID]],Products[],3,FALSE)</f>
        <v>Female</v>
      </c>
      <c r="L18" s="2">
        <f>DAY(ORDERS[[#This Row],[OrderDate]])</f>
        <v>15</v>
      </c>
      <c r="M18" s="2">
        <f>YEAR(ORDERS[[#This Row],[OrderDate]])</f>
        <v>2012</v>
      </c>
    </row>
    <row r="19" spans="1:13" x14ac:dyDescent="0.3">
      <c r="A19">
        <v>18</v>
      </c>
      <c r="B19">
        <v>3</v>
      </c>
      <c r="C19">
        <v>8</v>
      </c>
      <c r="D19" s="1">
        <v>40923</v>
      </c>
      <c r="E19">
        <v>117</v>
      </c>
      <c r="F19">
        <f>VLOOKUP(ORDERS[[#This Row],[ProductID]],Products[],4,FALSE)</f>
        <v>27</v>
      </c>
      <c r="G19">
        <v>0</v>
      </c>
      <c r="H19">
        <f>(ORDERS[[#This Row],[UnitsOrdered]]*ORDERS[[#This Row],[unit price]])-(ORDERS[[#This Row],[UnitsOrdered]]*ORDERS[[#This Row],[unit price]]*ORDERS[[#This Row],[Discount]])</f>
        <v>3159</v>
      </c>
      <c r="I19" t="str">
        <f>VLOOKUP(ORDERS[[#This Row],[CustomerID]],customers[],2,FALSE)</f>
        <v>Shirts R Us</v>
      </c>
      <c r="J19" s="2" t="str">
        <f>VLOOKUP(ORDERS[[#This Row],[CustomerID]],customers[],4,FALSE)</f>
        <v>Los Angeles</v>
      </c>
      <c r="K19" s="2" t="str">
        <f>VLOOKUP(ORDERS[[#This Row],[ProductID]],Products[],3,FALSE)</f>
        <v>Female</v>
      </c>
      <c r="L19" s="2">
        <f>DAY(ORDERS[[#This Row],[OrderDate]])</f>
        <v>15</v>
      </c>
      <c r="M19" s="2">
        <f>YEAR(ORDERS[[#This Row],[OrderDate]])</f>
        <v>2012</v>
      </c>
    </row>
    <row r="20" spans="1:13" x14ac:dyDescent="0.3">
      <c r="A20">
        <v>19</v>
      </c>
      <c r="B20">
        <v>4</v>
      </c>
      <c r="C20">
        <v>1</v>
      </c>
      <c r="D20" s="1">
        <v>40923</v>
      </c>
      <c r="E20">
        <v>93</v>
      </c>
      <c r="F20">
        <f>VLOOKUP(ORDERS[[#This Row],[ProductID]],Products[],4,FALSE)</f>
        <v>20</v>
      </c>
      <c r="G20">
        <v>5.0000001000000002E-2</v>
      </c>
      <c r="H20">
        <f>(ORDERS[[#This Row],[UnitsOrdered]]*ORDERS[[#This Row],[unit price]])-(ORDERS[[#This Row],[UnitsOrdered]]*ORDERS[[#This Row],[unit price]]*ORDERS[[#This Row],[Discount]])</f>
        <v>1766.9999981400001</v>
      </c>
      <c r="I20" t="str">
        <f>VLOOKUP(ORDERS[[#This Row],[CustomerID]],customers[],2,FALSE)</f>
        <v>Tshirt Unlimited</v>
      </c>
      <c r="J20" s="2" t="str">
        <f>VLOOKUP(ORDERS[[#This Row],[CustomerID]],customers[],4,FALSE)</f>
        <v>Phoenix</v>
      </c>
      <c r="K20" s="2" t="str">
        <f>VLOOKUP(ORDERS[[#This Row],[ProductID]],Products[],3,FALSE)</f>
        <v>Both</v>
      </c>
      <c r="L20" s="2">
        <f>DAY(ORDERS[[#This Row],[OrderDate]])</f>
        <v>15</v>
      </c>
      <c r="M20" s="2">
        <f>YEAR(ORDERS[[#This Row],[OrderDate]])</f>
        <v>2012</v>
      </c>
    </row>
    <row r="21" spans="1:13" x14ac:dyDescent="0.3">
      <c r="A21">
        <v>20</v>
      </c>
      <c r="B21">
        <v>4</v>
      </c>
      <c r="C21">
        <v>4</v>
      </c>
      <c r="D21" s="1">
        <v>40923</v>
      </c>
      <c r="E21">
        <v>38</v>
      </c>
      <c r="F21">
        <f>VLOOKUP(ORDERS[[#This Row],[ProductID]],Products[],4,FALSE)</f>
        <v>30</v>
      </c>
      <c r="G21">
        <v>0</v>
      </c>
      <c r="H21">
        <f>(ORDERS[[#This Row],[UnitsOrdered]]*ORDERS[[#This Row],[unit price]])-(ORDERS[[#This Row],[UnitsOrdered]]*ORDERS[[#This Row],[unit price]]*ORDERS[[#This Row],[Discount]])</f>
        <v>1140</v>
      </c>
      <c r="I21" t="str">
        <f>VLOOKUP(ORDERS[[#This Row],[CustomerID]],customers[],2,FALSE)</f>
        <v>Tshirt Unlimited</v>
      </c>
      <c r="J21" s="2" t="str">
        <f>VLOOKUP(ORDERS[[#This Row],[CustomerID]],customers[],4,FALSE)</f>
        <v>Phoenix</v>
      </c>
      <c r="K21" s="2" t="str">
        <f>VLOOKUP(ORDERS[[#This Row],[ProductID]],Products[],3,FALSE)</f>
        <v>Both</v>
      </c>
      <c r="L21" s="2">
        <f>DAY(ORDERS[[#This Row],[OrderDate]])</f>
        <v>15</v>
      </c>
      <c r="M21" s="2">
        <f>YEAR(ORDERS[[#This Row],[OrderDate]])</f>
        <v>2012</v>
      </c>
    </row>
    <row r="22" spans="1:13" x14ac:dyDescent="0.3">
      <c r="A22">
        <v>21</v>
      </c>
      <c r="B22">
        <v>4</v>
      </c>
      <c r="C22">
        <v>6</v>
      </c>
      <c r="D22" s="1">
        <v>40923</v>
      </c>
      <c r="E22">
        <v>132</v>
      </c>
      <c r="F22">
        <f>VLOOKUP(ORDERS[[#This Row],[ProductID]],Products[],4,FALSE)</f>
        <v>28</v>
      </c>
      <c r="G22">
        <v>0</v>
      </c>
      <c r="H22">
        <f>(ORDERS[[#This Row],[UnitsOrdered]]*ORDERS[[#This Row],[unit price]])-(ORDERS[[#This Row],[UnitsOrdered]]*ORDERS[[#This Row],[unit price]]*ORDERS[[#This Row],[Discount]])</f>
        <v>3696</v>
      </c>
      <c r="I22" t="str">
        <f>VLOOKUP(ORDERS[[#This Row],[CustomerID]],customers[],2,FALSE)</f>
        <v>Tshirt Unlimited</v>
      </c>
      <c r="J22" s="2" t="str">
        <f>VLOOKUP(ORDERS[[#This Row],[CustomerID]],customers[],4,FALSE)</f>
        <v>Phoenix</v>
      </c>
      <c r="K22" s="2" t="str">
        <f>VLOOKUP(ORDERS[[#This Row],[ProductID]],Products[],3,FALSE)</f>
        <v>Female</v>
      </c>
      <c r="L22" s="2">
        <f>DAY(ORDERS[[#This Row],[OrderDate]])</f>
        <v>15</v>
      </c>
      <c r="M22" s="2">
        <f>YEAR(ORDERS[[#This Row],[OrderDate]])</f>
        <v>2012</v>
      </c>
    </row>
    <row r="23" spans="1:13" x14ac:dyDescent="0.3">
      <c r="A23">
        <v>22</v>
      </c>
      <c r="B23">
        <v>5</v>
      </c>
      <c r="C23">
        <v>7</v>
      </c>
      <c r="D23" s="1">
        <v>40923</v>
      </c>
      <c r="E23">
        <v>32</v>
      </c>
      <c r="F23">
        <f>VLOOKUP(ORDERS[[#This Row],[ProductID]],Products[],4,FALSE)</f>
        <v>38</v>
      </c>
      <c r="G23">
        <v>0</v>
      </c>
      <c r="H23">
        <f>(ORDERS[[#This Row],[UnitsOrdered]]*ORDERS[[#This Row],[unit price]])-(ORDERS[[#This Row],[UnitsOrdered]]*ORDERS[[#This Row],[unit price]]*ORDERS[[#This Row],[Discount]])</f>
        <v>1216</v>
      </c>
      <c r="I23" t="str">
        <f>VLOOKUP(ORDERS[[#This Row],[CustomerID]],customers[],2,FALSE)</f>
        <v>Rags to Riches</v>
      </c>
      <c r="J23" s="2" t="str">
        <f>VLOOKUP(ORDERS[[#This Row],[CustomerID]],customers[],4,FALSE)</f>
        <v>Las Vegas</v>
      </c>
      <c r="K23" s="2" t="str">
        <f>VLOOKUP(ORDERS[[#This Row],[ProductID]],Products[],3,FALSE)</f>
        <v>Female</v>
      </c>
      <c r="L23" s="2">
        <f>DAY(ORDERS[[#This Row],[OrderDate]])</f>
        <v>15</v>
      </c>
      <c r="M23" s="2">
        <f>YEAR(ORDERS[[#This Row],[OrderDate]])</f>
        <v>2012</v>
      </c>
    </row>
    <row r="24" spans="1:13" x14ac:dyDescent="0.3">
      <c r="A24">
        <v>23</v>
      </c>
      <c r="B24">
        <v>1</v>
      </c>
      <c r="C24">
        <v>7</v>
      </c>
      <c r="D24" s="1">
        <v>40924</v>
      </c>
      <c r="E24">
        <v>99</v>
      </c>
      <c r="F24">
        <f>VLOOKUP(ORDERS[[#This Row],[ProductID]],Products[],4,FALSE)</f>
        <v>38</v>
      </c>
      <c r="G24">
        <v>0</v>
      </c>
      <c r="H24">
        <f>(ORDERS[[#This Row],[UnitsOrdered]]*ORDERS[[#This Row],[unit price]])-(ORDERS[[#This Row],[UnitsOrdered]]*ORDERS[[#This Row],[unit price]]*ORDERS[[#This Row],[Discount]])</f>
        <v>3762</v>
      </c>
      <c r="I24" t="str">
        <f>VLOOKUP(ORDERS[[#This Row],[CustomerID]],customers[],2,FALSE)</f>
        <v>Threads</v>
      </c>
      <c r="J24" s="2" t="str">
        <f>VLOOKUP(ORDERS[[#This Row],[CustomerID]],customers[],4,FALSE)</f>
        <v>Seattle</v>
      </c>
      <c r="K24" s="2" t="str">
        <f>VLOOKUP(ORDERS[[#This Row],[ProductID]],Products[],3,FALSE)</f>
        <v>Female</v>
      </c>
      <c r="L24" s="2">
        <f>DAY(ORDERS[[#This Row],[OrderDate]])</f>
        <v>16</v>
      </c>
      <c r="M24" s="2">
        <f>YEAR(ORDERS[[#This Row],[OrderDate]])</f>
        <v>2012</v>
      </c>
    </row>
    <row r="25" spans="1:13" x14ac:dyDescent="0.3">
      <c r="A25">
        <v>24</v>
      </c>
      <c r="B25">
        <v>2</v>
      </c>
      <c r="C25">
        <v>8</v>
      </c>
      <c r="D25" s="1">
        <v>40924</v>
      </c>
      <c r="E25">
        <v>134</v>
      </c>
      <c r="F25">
        <f>VLOOKUP(ORDERS[[#This Row],[ProductID]],Products[],4,FALSE)</f>
        <v>27</v>
      </c>
      <c r="G25">
        <v>0</v>
      </c>
      <c r="H25">
        <f>(ORDERS[[#This Row],[UnitsOrdered]]*ORDERS[[#This Row],[unit price]])-(ORDERS[[#This Row],[UnitsOrdered]]*ORDERS[[#This Row],[unit price]]*ORDERS[[#This Row],[Discount]])</f>
        <v>3618</v>
      </c>
      <c r="I25" t="str">
        <f>VLOOKUP(ORDERS[[#This Row],[CustomerID]],customers[],2,FALSE)</f>
        <v>A Shirts Life</v>
      </c>
      <c r="J25" s="2" t="str">
        <f>VLOOKUP(ORDERS[[#This Row],[CustomerID]],customers[],4,FALSE)</f>
        <v>Portland</v>
      </c>
      <c r="K25" s="2" t="str">
        <f>VLOOKUP(ORDERS[[#This Row],[ProductID]],Products[],3,FALSE)</f>
        <v>Female</v>
      </c>
      <c r="L25" s="2">
        <f>DAY(ORDERS[[#This Row],[OrderDate]])</f>
        <v>16</v>
      </c>
      <c r="M25" s="2">
        <f>YEAR(ORDERS[[#This Row],[OrderDate]])</f>
        <v>2012</v>
      </c>
    </row>
    <row r="26" spans="1:13" x14ac:dyDescent="0.3">
      <c r="A26">
        <v>25</v>
      </c>
      <c r="B26">
        <v>3</v>
      </c>
      <c r="C26">
        <v>4</v>
      </c>
      <c r="D26" s="1">
        <v>40924</v>
      </c>
      <c r="E26">
        <v>78</v>
      </c>
      <c r="F26">
        <f>VLOOKUP(ORDERS[[#This Row],[ProductID]],Products[],4,FALSE)</f>
        <v>30</v>
      </c>
      <c r="G26">
        <v>0</v>
      </c>
      <c r="H26">
        <f>(ORDERS[[#This Row],[UnitsOrdered]]*ORDERS[[#This Row],[unit price]])-(ORDERS[[#This Row],[UnitsOrdered]]*ORDERS[[#This Row],[unit price]]*ORDERS[[#This Row],[Discount]])</f>
        <v>2340</v>
      </c>
      <c r="I26" t="str">
        <f>VLOOKUP(ORDERS[[#This Row],[CustomerID]],customers[],2,FALSE)</f>
        <v>Shirts R Us</v>
      </c>
      <c r="J26" s="2" t="str">
        <f>VLOOKUP(ORDERS[[#This Row],[CustomerID]],customers[],4,FALSE)</f>
        <v>Los Angeles</v>
      </c>
      <c r="K26" s="2" t="str">
        <f>VLOOKUP(ORDERS[[#This Row],[ProductID]],Products[],3,FALSE)</f>
        <v>Both</v>
      </c>
      <c r="L26" s="2">
        <f>DAY(ORDERS[[#This Row],[OrderDate]])</f>
        <v>16</v>
      </c>
      <c r="M26" s="2">
        <f>YEAR(ORDERS[[#This Row],[OrderDate]])</f>
        <v>2012</v>
      </c>
    </row>
    <row r="27" spans="1:13" x14ac:dyDescent="0.3">
      <c r="A27">
        <v>26</v>
      </c>
      <c r="B27">
        <v>4</v>
      </c>
      <c r="C27">
        <v>8</v>
      </c>
      <c r="D27" s="1">
        <v>40924</v>
      </c>
      <c r="E27">
        <v>90</v>
      </c>
      <c r="F27">
        <f>VLOOKUP(ORDERS[[#This Row],[ProductID]],Products[],4,FALSE)</f>
        <v>27</v>
      </c>
      <c r="G27">
        <v>0</v>
      </c>
      <c r="H27">
        <f>(ORDERS[[#This Row],[UnitsOrdered]]*ORDERS[[#This Row],[unit price]])-(ORDERS[[#This Row],[UnitsOrdered]]*ORDERS[[#This Row],[unit price]]*ORDERS[[#This Row],[Discount]])</f>
        <v>2430</v>
      </c>
      <c r="I27" t="str">
        <f>VLOOKUP(ORDERS[[#This Row],[CustomerID]],customers[],2,FALSE)</f>
        <v>Tshirt Unlimited</v>
      </c>
      <c r="J27" s="2" t="str">
        <f>VLOOKUP(ORDERS[[#This Row],[CustomerID]],customers[],4,FALSE)</f>
        <v>Phoenix</v>
      </c>
      <c r="K27" s="2" t="str">
        <f>VLOOKUP(ORDERS[[#This Row],[ProductID]],Products[],3,FALSE)</f>
        <v>Female</v>
      </c>
      <c r="L27" s="2">
        <f>DAY(ORDERS[[#This Row],[OrderDate]])</f>
        <v>16</v>
      </c>
      <c r="M27" s="2">
        <f>YEAR(ORDERS[[#This Row],[OrderDate]])</f>
        <v>2012</v>
      </c>
    </row>
    <row r="28" spans="1:13" x14ac:dyDescent="0.3">
      <c r="A28">
        <v>27</v>
      </c>
      <c r="B28">
        <v>6</v>
      </c>
      <c r="C28">
        <v>10</v>
      </c>
      <c r="D28" s="1">
        <v>40924</v>
      </c>
      <c r="E28">
        <v>93</v>
      </c>
      <c r="F28">
        <f>VLOOKUP(ORDERS[[#This Row],[ProductID]],Products[],4,FALSE)</f>
        <v>35</v>
      </c>
      <c r="G28">
        <v>0</v>
      </c>
      <c r="H28">
        <f>(ORDERS[[#This Row],[UnitsOrdered]]*ORDERS[[#This Row],[unit price]])-(ORDERS[[#This Row],[UnitsOrdered]]*ORDERS[[#This Row],[unit price]]*ORDERS[[#This Row],[Discount]])</f>
        <v>3255</v>
      </c>
      <c r="I28" t="str">
        <f>VLOOKUP(ORDERS[[#This Row],[CustomerID]],customers[],2,FALSE)</f>
        <v>Abracadaba Ink</v>
      </c>
      <c r="J28" s="2" t="str">
        <f>VLOOKUP(ORDERS[[#This Row],[CustomerID]],customers[],4,FALSE)</f>
        <v>Salt Lake City</v>
      </c>
      <c r="K28" s="2" t="str">
        <f>VLOOKUP(ORDERS[[#This Row],[ProductID]],Products[],3,FALSE)</f>
        <v>Male</v>
      </c>
      <c r="L28" s="2">
        <f>DAY(ORDERS[[#This Row],[OrderDate]])</f>
        <v>16</v>
      </c>
      <c r="M28" s="2">
        <f>YEAR(ORDERS[[#This Row],[OrderDate]])</f>
        <v>2012</v>
      </c>
    </row>
    <row r="29" spans="1:13" x14ac:dyDescent="0.3">
      <c r="A29">
        <v>28</v>
      </c>
      <c r="B29">
        <v>7</v>
      </c>
      <c r="C29">
        <v>9</v>
      </c>
      <c r="D29" s="1">
        <v>40924</v>
      </c>
      <c r="E29">
        <v>137</v>
      </c>
      <c r="F29">
        <f>VLOOKUP(ORDERS[[#This Row],[ProductID]],Products[],4,FALSE)</f>
        <v>25</v>
      </c>
      <c r="G29">
        <v>0</v>
      </c>
      <c r="H29">
        <f>(ORDERS[[#This Row],[UnitsOrdered]]*ORDERS[[#This Row],[unit price]])-(ORDERS[[#This Row],[UnitsOrdered]]*ORDERS[[#This Row],[unit price]]*ORDERS[[#This Row],[Discount]])</f>
        <v>3425</v>
      </c>
      <c r="I29" t="str">
        <f>VLOOKUP(ORDERS[[#This Row],[CustomerID]],customers[],2,FALSE)</f>
        <v>The Shirt on Your Back</v>
      </c>
      <c r="J29" s="2" t="str">
        <f>VLOOKUP(ORDERS[[#This Row],[CustomerID]],customers[],4,FALSE)</f>
        <v>Bonners Ferry</v>
      </c>
      <c r="K29" s="2" t="str">
        <f>VLOOKUP(ORDERS[[#This Row],[ProductID]],Products[],3,FALSE)</f>
        <v>Male</v>
      </c>
      <c r="L29" s="2">
        <f>DAY(ORDERS[[#This Row],[OrderDate]])</f>
        <v>16</v>
      </c>
      <c r="M29" s="2">
        <f>YEAR(ORDERS[[#This Row],[OrderDate]])</f>
        <v>2012</v>
      </c>
    </row>
    <row r="30" spans="1:13" x14ac:dyDescent="0.3">
      <c r="A30">
        <v>29</v>
      </c>
      <c r="B30">
        <v>4</v>
      </c>
      <c r="C30">
        <v>3</v>
      </c>
      <c r="D30" s="1">
        <v>40926</v>
      </c>
      <c r="E30">
        <v>98</v>
      </c>
      <c r="F30">
        <f>VLOOKUP(ORDERS[[#This Row],[ProductID]],Products[],4,FALSE)</f>
        <v>22</v>
      </c>
      <c r="G30">
        <v>0</v>
      </c>
      <c r="H30">
        <f>(ORDERS[[#This Row],[UnitsOrdered]]*ORDERS[[#This Row],[unit price]])-(ORDERS[[#This Row],[UnitsOrdered]]*ORDERS[[#This Row],[unit price]]*ORDERS[[#This Row],[Discount]])</f>
        <v>2156</v>
      </c>
      <c r="I30" t="str">
        <f>VLOOKUP(ORDERS[[#This Row],[CustomerID]],customers[],2,FALSE)</f>
        <v>Tshirt Unlimited</v>
      </c>
      <c r="J30" s="2" t="str">
        <f>VLOOKUP(ORDERS[[#This Row],[CustomerID]],customers[],4,FALSE)</f>
        <v>Phoenix</v>
      </c>
      <c r="K30" s="2" t="str">
        <f>VLOOKUP(ORDERS[[#This Row],[ProductID]],Products[],3,FALSE)</f>
        <v>Both</v>
      </c>
      <c r="L30" s="2">
        <f>DAY(ORDERS[[#This Row],[OrderDate]])</f>
        <v>18</v>
      </c>
      <c r="M30" s="2">
        <f>YEAR(ORDERS[[#This Row],[OrderDate]])</f>
        <v>2012</v>
      </c>
    </row>
    <row r="31" spans="1:13" x14ac:dyDescent="0.3">
      <c r="A31">
        <v>30</v>
      </c>
      <c r="B31">
        <v>6</v>
      </c>
      <c r="C31">
        <v>2</v>
      </c>
      <c r="D31" s="1">
        <v>40926</v>
      </c>
      <c r="E31">
        <v>94</v>
      </c>
      <c r="F31">
        <f>VLOOKUP(ORDERS[[#This Row],[ProductID]],Products[],4,FALSE)</f>
        <v>30</v>
      </c>
      <c r="G31">
        <v>0</v>
      </c>
      <c r="H31">
        <f>(ORDERS[[#This Row],[UnitsOrdered]]*ORDERS[[#This Row],[unit price]])-(ORDERS[[#This Row],[UnitsOrdered]]*ORDERS[[#This Row],[unit price]]*ORDERS[[#This Row],[Discount]])</f>
        <v>2820</v>
      </c>
      <c r="I31" t="str">
        <f>VLOOKUP(ORDERS[[#This Row],[CustomerID]],customers[],2,FALSE)</f>
        <v>Abracadaba Ink</v>
      </c>
      <c r="J31" s="2" t="str">
        <f>VLOOKUP(ORDERS[[#This Row],[CustomerID]],customers[],4,FALSE)</f>
        <v>Salt Lake City</v>
      </c>
      <c r="K31" s="2" t="str">
        <f>VLOOKUP(ORDERS[[#This Row],[ProductID]],Products[],3,FALSE)</f>
        <v>Both</v>
      </c>
      <c r="L31" s="2">
        <f>DAY(ORDERS[[#This Row],[OrderDate]])</f>
        <v>18</v>
      </c>
      <c r="M31" s="2">
        <f>YEAR(ORDERS[[#This Row],[OrderDate]])</f>
        <v>2012</v>
      </c>
    </row>
    <row r="32" spans="1:13" x14ac:dyDescent="0.3">
      <c r="A32">
        <v>31</v>
      </c>
      <c r="B32">
        <v>3</v>
      </c>
      <c r="C32">
        <v>6</v>
      </c>
      <c r="D32" s="1">
        <v>40927</v>
      </c>
      <c r="E32">
        <v>142</v>
      </c>
      <c r="F32">
        <f>VLOOKUP(ORDERS[[#This Row],[ProductID]],Products[],4,FALSE)</f>
        <v>28</v>
      </c>
      <c r="G32">
        <v>0</v>
      </c>
      <c r="H32">
        <f>(ORDERS[[#This Row],[UnitsOrdered]]*ORDERS[[#This Row],[unit price]])-(ORDERS[[#This Row],[UnitsOrdered]]*ORDERS[[#This Row],[unit price]]*ORDERS[[#This Row],[Discount]])</f>
        <v>3976</v>
      </c>
      <c r="I32" t="str">
        <f>VLOOKUP(ORDERS[[#This Row],[CustomerID]],customers[],2,FALSE)</f>
        <v>Shirts R Us</v>
      </c>
      <c r="J32" s="2" t="str">
        <f>VLOOKUP(ORDERS[[#This Row],[CustomerID]],customers[],4,FALSE)</f>
        <v>Los Angeles</v>
      </c>
      <c r="K32" s="2" t="str">
        <f>VLOOKUP(ORDERS[[#This Row],[ProductID]],Products[],3,FALSE)</f>
        <v>Female</v>
      </c>
      <c r="L32" s="2">
        <f>DAY(ORDERS[[#This Row],[OrderDate]])</f>
        <v>19</v>
      </c>
      <c r="M32" s="2">
        <f>YEAR(ORDERS[[#This Row],[OrderDate]])</f>
        <v>2012</v>
      </c>
    </row>
    <row r="33" spans="1:13" x14ac:dyDescent="0.3">
      <c r="A33">
        <v>32</v>
      </c>
      <c r="B33">
        <v>3</v>
      </c>
      <c r="C33">
        <v>8</v>
      </c>
      <c r="D33" s="1">
        <v>40927</v>
      </c>
      <c r="E33">
        <v>29</v>
      </c>
      <c r="F33">
        <f>VLOOKUP(ORDERS[[#This Row],[ProductID]],Products[],4,FALSE)</f>
        <v>27</v>
      </c>
      <c r="G33">
        <v>0</v>
      </c>
      <c r="H33">
        <f>(ORDERS[[#This Row],[UnitsOrdered]]*ORDERS[[#This Row],[unit price]])-(ORDERS[[#This Row],[UnitsOrdered]]*ORDERS[[#This Row],[unit price]]*ORDERS[[#This Row],[Discount]])</f>
        <v>783</v>
      </c>
      <c r="I33" t="str">
        <f>VLOOKUP(ORDERS[[#This Row],[CustomerID]],customers[],2,FALSE)</f>
        <v>Shirts R Us</v>
      </c>
      <c r="J33" s="2" t="str">
        <f>VLOOKUP(ORDERS[[#This Row],[CustomerID]],customers[],4,FALSE)</f>
        <v>Los Angeles</v>
      </c>
      <c r="K33" s="2" t="str">
        <f>VLOOKUP(ORDERS[[#This Row],[ProductID]],Products[],3,FALSE)</f>
        <v>Female</v>
      </c>
      <c r="L33" s="2">
        <f>DAY(ORDERS[[#This Row],[OrderDate]])</f>
        <v>19</v>
      </c>
      <c r="M33" s="2">
        <f>YEAR(ORDERS[[#This Row],[OrderDate]])</f>
        <v>2012</v>
      </c>
    </row>
    <row r="34" spans="1:13" x14ac:dyDescent="0.3">
      <c r="A34">
        <v>33</v>
      </c>
      <c r="B34">
        <v>2</v>
      </c>
      <c r="C34">
        <v>9</v>
      </c>
      <c r="D34" s="1">
        <v>40928</v>
      </c>
      <c r="E34">
        <v>142</v>
      </c>
      <c r="F34">
        <f>VLOOKUP(ORDERS[[#This Row],[ProductID]],Products[],4,FALSE)</f>
        <v>25</v>
      </c>
      <c r="G34">
        <v>0</v>
      </c>
      <c r="H34">
        <f>(ORDERS[[#This Row],[UnitsOrdered]]*ORDERS[[#This Row],[unit price]])-(ORDERS[[#This Row],[UnitsOrdered]]*ORDERS[[#This Row],[unit price]]*ORDERS[[#This Row],[Discount]])</f>
        <v>3550</v>
      </c>
      <c r="I34" t="str">
        <f>VLOOKUP(ORDERS[[#This Row],[CustomerID]],customers[],2,FALSE)</f>
        <v>A Shirts Life</v>
      </c>
      <c r="J34" s="2" t="str">
        <f>VLOOKUP(ORDERS[[#This Row],[CustomerID]],customers[],4,FALSE)</f>
        <v>Portland</v>
      </c>
      <c r="K34" s="2" t="str">
        <f>VLOOKUP(ORDERS[[#This Row],[ProductID]],Products[],3,FALSE)</f>
        <v>Male</v>
      </c>
      <c r="L34" s="2">
        <f>DAY(ORDERS[[#This Row],[OrderDate]])</f>
        <v>20</v>
      </c>
      <c r="M34" s="2">
        <f>YEAR(ORDERS[[#This Row],[OrderDate]])</f>
        <v>2012</v>
      </c>
    </row>
    <row r="35" spans="1:13" x14ac:dyDescent="0.3">
      <c r="A35">
        <v>34</v>
      </c>
      <c r="B35">
        <v>1</v>
      </c>
      <c r="C35">
        <v>5</v>
      </c>
      <c r="D35" s="1">
        <v>40930</v>
      </c>
      <c r="E35">
        <v>42</v>
      </c>
      <c r="F35">
        <f>VLOOKUP(ORDERS[[#This Row],[ProductID]],Products[],4,FALSE)</f>
        <v>16</v>
      </c>
      <c r="G35">
        <v>0</v>
      </c>
      <c r="H35">
        <f>(ORDERS[[#This Row],[UnitsOrdered]]*ORDERS[[#This Row],[unit price]])-(ORDERS[[#This Row],[UnitsOrdered]]*ORDERS[[#This Row],[unit price]]*ORDERS[[#This Row],[Discount]])</f>
        <v>672</v>
      </c>
      <c r="I35" t="str">
        <f>VLOOKUP(ORDERS[[#This Row],[CustomerID]],customers[],2,FALSE)</f>
        <v>Threads</v>
      </c>
      <c r="J35" s="2" t="str">
        <f>VLOOKUP(ORDERS[[#This Row],[CustomerID]],customers[],4,FALSE)</f>
        <v>Seattle</v>
      </c>
      <c r="K35" s="2" t="str">
        <f>VLOOKUP(ORDERS[[#This Row],[ProductID]],Products[],3,FALSE)</f>
        <v>Female</v>
      </c>
      <c r="L35" s="2">
        <f>DAY(ORDERS[[#This Row],[OrderDate]])</f>
        <v>22</v>
      </c>
      <c r="M35" s="2">
        <f>YEAR(ORDERS[[#This Row],[OrderDate]])</f>
        <v>2012</v>
      </c>
    </row>
    <row r="36" spans="1:13" x14ac:dyDescent="0.3">
      <c r="A36">
        <v>35</v>
      </c>
      <c r="B36">
        <v>3</v>
      </c>
      <c r="C36">
        <v>2</v>
      </c>
      <c r="D36" s="1">
        <v>40931</v>
      </c>
      <c r="E36">
        <v>102</v>
      </c>
      <c r="F36">
        <f>VLOOKUP(ORDERS[[#This Row],[ProductID]],Products[],4,FALSE)</f>
        <v>30</v>
      </c>
      <c r="G36">
        <v>5.0000001000000002E-2</v>
      </c>
      <c r="H36">
        <f>(ORDERS[[#This Row],[UnitsOrdered]]*ORDERS[[#This Row],[unit price]])-(ORDERS[[#This Row],[UnitsOrdered]]*ORDERS[[#This Row],[unit price]]*ORDERS[[#This Row],[Discount]])</f>
        <v>2906.9999969400001</v>
      </c>
      <c r="I36" t="str">
        <f>VLOOKUP(ORDERS[[#This Row],[CustomerID]],customers[],2,FALSE)</f>
        <v>Shirts R Us</v>
      </c>
      <c r="J36" s="2" t="str">
        <f>VLOOKUP(ORDERS[[#This Row],[CustomerID]],customers[],4,FALSE)</f>
        <v>Los Angeles</v>
      </c>
      <c r="K36" s="2" t="str">
        <f>VLOOKUP(ORDERS[[#This Row],[ProductID]],Products[],3,FALSE)</f>
        <v>Both</v>
      </c>
      <c r="L36" s="2">
        <f>DAY(ORDERS[[#This Row],[OrderDate]])</f>
        <v>23</v>
      </c>
      <c r="M36" s="2">
        <f>YEAR(ORDERS[[#This Row],[OrderDate]])</f>
        <v>2012</v>
      </c>
    </row>
    <row r="37" spans="1:13" x14ac:dyDescent="0.3">
      <c r="A37">
        <v>36</v>
      </c>
      <c r="B37">
        <v>7</v>
      </c>
      <c r="C37">
        <v>8</v>
      </c>
      <c r="D37" s="1">
        <v>40932</v>
      </c>
      <c r="E37">
        <v>51</v>
      </c>
      <c r="F37">
        <f>VLOOKUP(ORDERS[[#This Row],[ProductID]],Products[],4,FALSE)</f>
        <v>27</v>
      </c>
      <c r="G37">
        <v>0</v>
      </c>
      <c r="H37">
        <f>(ORDERS[[#This Row],[UnitsOrdered]]*ORDERS[[#This Row],[unit price]])-(ORDERS[[#This Row],[UnitsOrdered]]*ORDERS[[#This Row],[unit price]]*ORDERS[[#This Row],[Discount]])</f>
        <v>1377</v>
      </c>
      <c r="I37" t="str">
        <f>VLOOKUP(ORDERS[[#This Row],[CustomerID]],customers[],2,FALSE)</f>
        <v>The Shirt on Your Back</v>
      </c>
      <c r="J37" s="2" t="str">
        <f>VLOOKUP(ORDERS[[#This Row],[CustomerID]],customers[],4,FALSE)</f>
        <v>Bonners Ferry</v>
      </c>
      <c r="K37" s="2" t="str">
        <f>VLOOKUP(ORDERS[[#This Row],[ProductID]],Products[],3,FALSE)</f>
        <v>Female</v>
      </c>
      <c r="L37" s="2">
        <f>DAY(ORDERS[[#This Row],[OrderDate]])</f>
        <v>24</v>
      </c>
      <c r="M37" s="2">
        <f>YEAR(ORDERS[[#This Row],[OrderDate]])</f>
        <v>2012</v>
      </c>
    </row>
    <row r="38" spans="1:13" x14ac:dyDescent="0.3">
      <c r="A38">
        <v>37</v>
      </c>
      <c r="B38">
        <v>2</v>
      </c>
      <c r="C38">
        <v>6</v>
      </c>
      <c r="D38" s="1">
        <v>40933</v>
      </c>
      <c r="E38">
        <v>129</v>
      </c>
      <c r="F38">
        <f>VLOOKUP(ORDERS[[#This Row],[ProductID]],Products[],4,FALSE)</f>
        <v>28</v>
      </c>
      <c r="G38">
        <v>0</v>
      </c>
      <c r="H38">
        <f>(ORDERS[[#This Row],[UnitsOrdered]]*ORDERS[[#This Row],[unit price]])-(ORDERS[[#This Row],[UnitsOrdered]]*ORDERS[[#This Row],[unit price]]*ORDERS[[#This Row],[Discount]])</f>
        <v>3612</v>
      </c>
      <c r="I38" t="str">
        <f>VLOOKUP(ORDERS[[#This Row],[CustomerID]],customers[],2,FALSE)</f>
        <v>A Shirts Life</v>
      </c>
      <c r="J38" s="2" t="str">
        <f>VLOOKUP(ORDERS[[#This Row],[CustomerID]],customers[],4,FALSE)</f>
        <v>Portland</v>
      </c>
      <c r="K38" s="2" t="str">
        <f>VLOOKUP(ORDERS[[#This Row],[ProductID]],Products[],3,FALSE)</f>
        <v>Female</v>
      </c>
      <c r="L38" s="2">
        <f>DAY(ORDERS[[#This Row],[OrderDate]])</f>
        <v>25</v>
      </c>
      <c r="M38" s="2">
        <f>YEAR(ORDERS[[#This Row],[OrderDate]])</f>
        <v>2012</v>
      </c>
    </row>
    <row r="39" spans="1:13" x14ac:dyDescent="0.3">
      <c r="A39">
        <v>38</v>
      </c>
      <c r="B39">
        <v>7</v>
      </c>
      <c r="C39">
        <v>7</v>
      </c>
      <c r="D39" s="1">
        <v>40933</v>
      </c>
      <c r="E39">
        <v>87</v>
      </c>
      <c r="F39">
        <f>VLOOKUP(ORDERS[[#This Row],[ProductID]],Products[],4,FALSE)</f>
        <v>38</v>
      </c>
      <c r="G39">
        <v>0</v>
      </c>
      <c r="H39">
        <f>(ORDERS[[#This Row],[UnitsOrdered]]*ORDERS[[#This Row],[unit price]])-(ORDERS[[#This Row],[UnitsOrdered]]*ORDERS[[#This Row],[unit price]]*ORDERS[[#This Row],[Discount]])</f>
        <v>3306</v>
      </c>
      <c r="I39" t="str">
        <f>VLOOKUP(ORDERS[[#This Row],[CustomerID]],customers[],2,FALSE)</f>
        <v>The Shirt on Your Back</v>
      </c>
      <c r="J39" s="2" t="str">
        <f>VLOOKUP(ORDERS[[#This Row],[CustomerID]],customers[],4,FALSE)</f>
        <v>Bonners Ferry</v>
      </c>
      <c r="K39" s="2" t="str">
        <f>VLOOKUP(ORDERS[[#This Row],[ProductID]],Products[],3,FALSE)</f>
        <v>Female</v>
      </c>
      <c r="L39" s="2">
        <f>DAY(ORDERS[[#This Row],[OrderDate]])</f>
        <v>25</v>
      </c>
      <c r="M39" s="2">
        <f>YEAR(ORDERS[[#This Row],[OrderDate]])</f>
        <v>2012</v>
      </c>
    </row>
    <row r="40" spans="1:13" x14ac:dyDescent="0.3">
      <c r="A40">
        <v>39</v>
      </c>
      <c r="B40">
        <v>1</v>
      </c>
      <c r="C40">
        <v>8</v>
      </c>
      <c r="D40" s="1">
        <v>40934</v>
      </c>
      <c r="E40">
        <v>110</v>
      </c>
      <c r="F40">
        <f>VLOOKUP(ORDERS[[#This Row],[ProductID]],Products[],4,FALSE)</f>
        <v>27</v>
      </c>
      <c r="G40">
        <v>0</v>
      </c>
      <c r="H40">
        <f>(ORDERS[[#This Row],[UnitsOrdered]]*ORDERS[[#This Row],[unit price]])-(ORDERS[[#This Row],[UnitsOrdered]]*ORDERS[[#This Row],[unit price]]*ORDERS[[#This Row],[Discount]])</f>
        <v>2970</v>
      </c>
      <c r="I40" t="str">
        <f>VLOOKUP(ORDERS[[#This Row],[CustomerID]],customers[],2,FALSE)</f>
        <v>Threads</v>
      </c>
      <c r="J40" s="2" t="str">
        <f>VLOOKUP(ORDERS[[#This Row],[CustomerID]],customers[],4,FALSE)</f>
        <v>Seattle</v>
      </c>
      <c r="K40" s="2" t="str">
        <f>VLOOKUP(ORDERS[[#This Row],[ProductID]],Products[],3,FALSE)</f>
        <v>Female</v>
      </c>
      <c r="L40" s="2">
        <f>DAY(ORDERS[[#This Row],[OrderDate]])</f>
        <v>26</v>
      </c>
      <c r="M40" s="2">
        <f>YEAR(ORDERS[[#This Row],[OrderDate]])</f>
        <v>2012</v>
      </c>
    </row>
    <row r="41" spans="1:13" x14ac:dyDescent="0.3">
      <c r="A41">
        <v>40</v>
      </c>
      <c r="B41">
        <v>6</v>
      </c>
      <c r="C41">
        <v>4</v>
      </c>
      <c r="D41" s="1">
        <v>40934</v>
      </c>
      <c r="E41">
        <v>142</v>
      </c>
      <c r="F41">
        <f>VLOOKUP(ORDERS[[#This Row],[ProductID]],Products[],4,FALSE)</f>
        <v>30</v>
      </c>
      <c r="G41">
        <v>0</v>
      </c>
      <c r="H41">
        <f>(ORDERS[[#This Row],[UnitsOrdered]]*ORDERS[[#This Row],[unit price]])-(ORDERS[[#This Row],[UnitsOrdered]]*ORDERS[[#This Row],[unit price]]*ORDERS[[#This Row],[Discount]])</f>
        <v>4260</v>
      </c>
      <c r="I41" t="str">
        <f>VLOOKUP(ORDERS[[#This Row],[CustomerID]],customers[],2,FALSE)</f>
        <v>Abracadaba Ink</v>
      </c>
      <c r="J41" s="2" t="str">
        <f>VLOOKUP(ORDERS[[#This Row],[CustomerID]],customers[],4,FALSE)</f>
        <v>Salt Lake City</v>
      </c>
      <c r="K41" s="2" t="str">
        <f>VLOOKUP(ORDERS[[#This Row],[ProductID]],Products[],3,FALSE)</f>
        <v>Both</v>
      </c>
      <c r="L41" s="2">
        <f>DAY(ORDERS[[#This Row],[OrderDate]])</f>
        <v>26</v>
      </c>
      <c r="M41" s="2">
        <f>YEAR(ORDERS[[#This Row],[OrderDate]])</f>
        <v>2012</v>
      </c>
    </row>
    <row r="42" spans="1:13" x14ac:dyDescent="0.3">
      <c r="A42">
        <v>41</v>
      </c>
      <c r="B42">
        <v>3</v>
      </c>
      <c r="C42">
        <v>10</v>
      </c>
      <c r="D42" s="1">
        <v>40935</v>
      </c>
      <c r="E42">
        <v>49</v>
      </c>
      <c r="F42">
        <f>VLOOKUP(ORDERS[[#This Row],[ProductID]],Products[],4,FALSE)</f>
        <v>35</v>
      </c>
      <c r="G42">
        <v>0</v>
      </c>
      <c r="H42">
        <f>(ORDERS[[#This Row],[UnitsOrdered]]*ORDERS[[#This Row],[unit price]])-(ORDERS[[#This Row],[UnitsOrdered]]*ORDERS[[#This Row],[unit price]]*ORDERS[[#This Row],[Discount]])</f>
        <v>1715</v>
      </c>
      <c r="I42" t="str">
        <f>VLOOKUP(ORDERS[[#This Row],[CustomerID]],customers[],2,FALSE)</f>
        <v>Shirts R Us</v>
      </c>
      <c r="J42" s="2" t="str">
        <f>VLOOKUP(ORDERS[[#This Row],[CustomerID]],customers[],4,FALSE)</f>
        <v>Los Angeles</v>
      </c>
      <c r="K42" s="2" t="str">
        <f>VLOOKUP(ORDERS[[#This Row],[ProductID]],Products[],3,FALSE)</f>
        <v>Male</v>
      </c>
      <c r="L42" s="2">
        <f>DAY(ORDERS[[#This Row],[OrderDate]])</f>
        <v>27</v>
      </c>
      <c r="M42" s="2">
        <f>YEAR(ORDERS[[#This Row],[OrderDate]])</f>
        <v>2012</v>
      </c>
    </row>
    <row r="43" spans="1:13" x14ac:dyDescent="0.3">
      <c r="A43">
        <v>42</v>
      </c>
      <c r="B43">
        <v>6</v>
      </c>
      <c r="C43">
        <v>5</v>
      </c>
      <c r="D43" s="1">
        <v>40935</v>
      </c>
      <c r="E43">
        <v>56</v>
      </c>
      <c r="F43">
        <f>VLOOKUP(ORDERS[[#This Row],[ProductID]],Products[],4,FALSE)</f>
        <v>16</v>
      </c>
      <c r="G43">
        <v>0</v>
      </c>
      <c r="H43">
        <f>(ORDERS[[#This Row],[UnitsOrdered]]*ORDERS[[#This Row],[unit price]])-(ORDERS[[#This Row],[UnitsOrdered]]*ORDERS[[#This Row],[unit price]]*ORDERS[[#This Row],[Discount]])</f>
        <v>896</v>
      </c>
      <c r="I43" t="str">
        <f>VLOOKUP(ORDERS[[#This Row],[CustomerID]],customers[],2,FALSE)</f>
        <v>Abracadaba Ink</v>
      </c>
      <c r="J43" s="2" t="str">
        <f>VLOOKUP(ORDERS[[#This Row],[CustomerID]],customers[],4,FALSE)</f>
        <v>Salt Lake City</v>
      </c>
      <c r="K43" s="2" t="str">
        <f>VLOOKUP(ORDERS[[#This Row],[ProductID]],Products[],3,FALSE)</f>
        <v>Female</v>
      </c>
      <c r="L43" s="2">
        <f>DAY(ORDERS[[#This Row],[OrderDate]])</f>
        <v>27</v>
      </c>
      <c r="M43" s="2">
        <f>YEAR(ORDERS[[#This Row],[OrderDate]])</f>
        <v>2012</v>
      </c>
    </row>
    <row r="44" spans="1:13" x14ac:dyDescent="0.3">
      <c r="A44">
        <v>43</v>
      </c>
      <c r="B44">
        <v>4</v>
      </c>
      <c r="C44">
        <v>6</v>
      </c>
      <c r="D44" s="1">
        <v>40936</v>
      </c>
      <c r="E44">
        <v>48</v>
      </c>
      <c r="F44">
        <f>VLOOKUP(ORDERS[[#This Row],[ProductID]],Products[],4,FALSE)</f>
        <v>28</v>
      </c>
      <c r="G44">
        <v>0</v>
      </c>
      <c r="H44">
        <f>(ORDERS[[#This Row],[UnitsOrdered]]*ORDERS[[#This Row],[unit price]])-(ORDERS[[#This Row],[UnitsOrdered]]*ORDERS[[#This Row],[unit price]]*ORDERS[[#This Row],[Discount]])</f>
        <v>1344</v>
      </c>
      <c r="I44" t="str">
        <f>VLOOKUP(ORDERS[[#This Row],[CustomerID]],customers[],2,FALSE)</f>
        <v>Tshirt Unlimited</v>
      </c>
      <c r="J44" s="2" t="str">
        <f>VLOOKUP(ORDERS[[#This Row],[CustomerID]],customers[],4,FALSE)</f>
        <v>Phoenix</v>
      </c>
      <c r="K44" s="2" t="str">
        <f>VLOOKUP(ORDERS[[#This Row],[ProductID]],Products[],3,FALSE)</f>
        <v>Female</v>
      </c>
      <c r="L44" s="2">
        <f>DAY(ORDERS[[#This Row],[OrderDate]])</f>
        <v>28</v>
      </c>
      <c r="M44" s="2">
        <f>YEAR(ORDERS[[#This Row],[OrderDate]])</f>
        <v>2012</v>
      </c>
    </row>
    <row r="45" spans="1:13" x14ac:dyDescent="0.3">
      <c r="A45">
        <v>44</v>
      </c>
      <c r="B45">
        <v>7</v>
      </c>
      <c r="C45">
        <v>2</v>
      </c>
      <c r="D45" s="1">
        <v>40936</v>
      </c>
      <c r="E45">
        <v>42</v>
      </c>
      <c r="F45">
        <f>VLOOKUP(ORDERS[[#This Row],[ProductID]],Products[],4,FALSE)</f>
        <v>30</v>
      </c>
      <c r="G45">
        <v>0</v>
      </c>
      <c r="H45">
        <f>(ORDERS[[#This Row],[UnitsOrdered]]*ORDERS[[#This Row],[unit price]])-(ORDERS[[#This Row],[UnitsOrdered]]*ORDERS[[#This Row],[unit price]]*ORDERS[[#This Row],[Discount]])</f>
        <v>1260</v>
      </c>
      <c r="I45" t="str">
        <f>VLOOKUP(ORDERS[[#This Row],[CustomerID]],customers[],2,FALSE)</f>
        <v>The Shirt on Your Back</v>
      </c>
      <c r="J45" s="2" t="str">
        <f>VLOOKUP(ORDERS[[#This Row],[CustomerID]],customers[],4,FALSE)</f>
        <v>Bonners Ferry</v>
      </c>
      <c r="K45" s="2" t="str">
        <f>VLOOKUP(ORDERS[[#This Row],[ProductID]],Products[],3,FALSE)</f>
        <v>Both</v>
      </c>
      <c r="L45" s="2">
        <f>DAY(ORDERS[[#This Row],[OrderDate]])</f>
        <v>28</v>
      </c>
      <c r="M45" s="2">
        <f>YEAR(ORDERS[[#This Row],[OrderDate]])</f>
        <v>2012</v>
      </c>
    </row>
    <row r="46" spans="1:13" x14ac:dyDescent="0.3">
      <c r="A46">
        <v>45</v>
      </c>
      <c r="B46">
        <v>3</v>
      </c>
      <c r="C46">
        <v>3</v>
      </c>
      <c r="D46" s="1">
        <v>40937</v>
      </c>
      <c r="E46">
        <v>74</v>
      </c>
      <c r="F46">
        <f>VLOOKUP(ORDERS[[#This Row],[ProductID]],Products[],4,FALSE)</f>
        <v>22</v>
      </c>
      <c r="G46">
        <v>0</v>
      </c>
      <c r="H46">
        <f>(ORDERS[[#This Row],[UnitsOrdered]]*ORDERS[[#This Row],[unit price]])-(ORDERS[[#This Row],[UnitsOrdered]]*ORDERS[[#This Row],[unit price]]*ORDERS[[#This Row],[Discount]])</f>
        <v>1628</v>
      </c>
      <c r="I46" t="str">
        <f>VLOOKUP(ORDERS[[#This Row],[CustomerID]],customers[],2,FALSE)</f>
        <v>Shirts R Us</v>
      </c>
      <c r="J46" s="2" t="str">
        <f>VLOOKUP(ORDERS[[#This Row],[CustomerID]],customers[],4,FALSE)</f>
        <v>Los Angeles</v>
      </c>
      <c r="K46" s="2" t="str">
        <f>VLOOKUP(ORDERS[[#This Row],[ProductID]],Products[],3,FALSE)</f>
        <v>Both</v>
      </c>
      <c r="L46" s="2">
        <f>DAY(ORDERS[[#This Row],[OrderDate]])</f>
        <v>29</v>
      </c>
      <c r="M46" s="2">
        <f>YEAR(ORDERS[[#This Row],[OrderDate]])</f>
        <v>2012</v>
      </c>
    </row>
    <row r="47" spans="1:13" x14ac:dyDescent="0.3">
      <c r="A47">
        <v>46</v>
      </c>
      <c r="B47">
        <v>1</v>
      </c>
      <c r="C47">
        <v>1</v>
      </c>
      <c r="D47" s="1">
        <v>40938</v>
      </c>
      <c r="E47">
        <v>95</v>
      </c>
      <c r="F47">
        <f>VLOOKUP(ORDERS[[#This Row],[ProductID]],Products[],4,FALSE)</f>
        <v>20</v>
      </c>
      <c r="G47">
        <v>0</v>
      </c>
      <c r="H47">
        <f>(ORDERS[[#This Row],[UnitsOrdered]]*ORDERS[[#This Row],[unit price]])-(ORDERS[[#This Row],[UnitsOrdered]]*ORDERS[[#This Row],[unit price]]*ORDERS[[#This Row],[Discount]])</f>
        <v>1900</v>
      </c>
      <c r="I47" t="str">
        <f>VLOOKUP(ORDERS[[#This Row],[CustomerID]],customers[],2,FALSE)</f>
        <v>Threads</v>
      </c>
      <c r="J47" s="2" t="str">
        <f>VLOOKUP(ORDERS[[#This Row],[CustomerID]],customers[],4,FALSE)</f>
        <v>Seattle</v>
      </c>
      <c r="K47" s="2" t="str">
        <f>VLOOKUP(ORDERS[[#This Row],[ProductID]],Products[],3,FALSE)</f>
        <v>Both</v>
      </c>
      <c r="L47" s="2">
        <f>DAY(ORDERS[[#This Row],[OrderDate]])</f>
        <v>30</v>
      </c>
      <c r="M47" s="2">
        <f>YEAR(ORDERS[[#This Row],[OrderDate]])</f>
        <v>2012</v>
      </c>
    </row>
    <row r="48" spans="1:13" x14ac:dyDescent="0.3">
      <c r="A48">
        <v>47</v>
      </c>
      <c r="B48">
        <v>4</v>
      </c>
      <c r="C48">
        <v>6</v>
      </c>
      <c r="D48" s="1">
        <v>40943</v>
      </c>
      <c r="E48">
        <v>45</v>
      </c>
      <c r="F48">
        <f>VLOOKUP(ORDERS[[#This Row],[ProductID]],Products[],4,FALSE)</f>
        <v>28</v>
      </c>
      <c r="G48">
        <v>0</v>
      </c>
      <c r="H48">
        <f>(ORDERS[[#This Row],[UnitsOrdered]]*ORDERS[[#This Row],[unit price]])-(ORDERS[[#This Row],[UnitsOrdered]]*ORDERS[[#This Row],[unit price]]*ORDERS[[#This Row],[Discount]])</f>
        <v>1260</v>
      </c>
      <c r="I48" t="str">
        <f>VLOOKUP(ORDERS[[#This Row],[CustomerID]],customers[],2,FALSE)</f>
        <v>Tshirt Unlimited</v>
      </c>
      <c r="J48" s="2" t="str">
        <f>VLOOKUP(ORDERS[[#This Row],[CustomerID]],customers[],4,FALSE)</f>
        <v>Phoenix</v>
      </c>
      <c r="K48" s="2" t="str">
        <f>VLOOKUP(ORDERS[[#This Row],[ProductID]],Products[],3,FALSE)</f>
        <v>Female</v>
      </c>
      <c r="L48" s="2">
        <f>DAY(ORDERS[[#This Row],[OrderDate]])</f>
        <v>4</v>
      </c>
      <c r="M48" s="2">
        <f>YEAR(ORDERS[[#This Row],[OrderDate]])</f>
        <v>2012</v>
      </c>
    </row>
    <row r="49" spans="1:13" x14ac:dyDescent="0.3">
      <c r="A49">
        <v>48</v>
      </c>
      <c r="B49">
        <v>2</v>
      </c>
      <c r="C49">
        <v>1</v>
      </c>
      <c r="D49" s="1">
        <v>40944</v>
      </c>
      <c r="E49">
        <v>49</v>
      </c>
      <c r="F49">
        <f>VLOOKUP(ORDERS[[#This Row],[ProductID]],Products[],4,FALSE)</f>
        <v>20</v>
      </c>
      <c r="G49">
        <v>0</v>
      </c>
      <c r="H49">
        <f>(ORDERS[[#This Row],[UnitsOrdered]]*ORDERS[[#This Row],[unit price]])-(ORDERS[[#This Row],[UnitsOrdered]]*ORDERS[[#This Row],[unit price]]*ORDERS[[#This Row],[Discount]])</f>
        <v>980</v>
      </c>
      <c r="I49" t="str">
        <f>VLOOKUP(ORDERS[[#This Row],[CustomerID]],customers[],2,FALSE)</f>
        <v>A Shirts Life</v>
      </c>
      <c r="J49" s="2" t="str">
        <f>VLOOKUP(ORDERS[[#This Row],[CustomerID]],customers[],4,FALSE)</f>
        <v>Portland</v>
      </c>
      <c r="K49" s="2" t="str">
        <f>VLOOKUP(ORDERS[[#This Row],[ProductID]],Products[],3,FALSE)</f>
        <v>Both</v>
      </c>
      <c r="L49" s="2">
        <f>DAY(ORDERS[[#This Row],[OrderDate]])</f>
        <v>5</v>
      </c>
      <c r="M49" s="2">
        <f>YEAR(ORDERS[[#This Row],[OrderDate]])</f>
        <v>2012</v>
      </c>
    </row>
    <row r="50" spans="1:13" x14ac:dyDescent="0.3">
      <c r="A50">
        <v>49</v>
      </c>
      <c r="B50">
        <v>1</v>
      </c>
      <c r="C50">
        <v>10</v>
      </c>
      <c r="D50" s="1">
        <v>40945</v>
      </c>
      <c r="E50">
        <v>107</v>
      </c>
      <c r="F50">
        <f>VLOOKUP(ORDERS[[#This Row],[ProductID]],Products[],4,FALSE)</f>
        <v>35</v>
      </c>
      <c r="G50">
        <v>5.0000001000000002E-2</v>
      </c>
      <c r="H50">
        <f>(ORDERS[[#This Row],[UnitsOrdered]]*ORDERS[[#This Row],[unit price]])-(ORDERS[[#This Row],[UnitsOrdered]]*ORDERS[[#This Row],[unit price]]*ORDERS[[#This Row],[Discount]])</f>
        <v>3557.749996255</v>
      </c>
      <c r="I50" t="str">
        <f>VLOOKUP(ORDERS[[#This Row],[CustomerID]],customers[],2,FALSE)</f>
        <v>Threads</v>
      </c>
      <c r="J50" s="2" t="str">
        <f>VLOOKUP(ORDERS[[#This Row],[CustomerID]],customers[],4,FALSE)</f>
        <v>Seattle</v>
      </c>
      <c r="K50" s="2" t="str">
        <f>VLOOKUP(ORDERS[[#This Row],[ProductID]],Products[],3,FALSE)</f>
        <v>Male</v>
      </c>
      <c r="L50" s="2">
        <f>DAY(ORDERS[[#This Row],[OrderDate]])</f>
        <v>6</v>
      </c>
      <c r="M50" s="2">
        <f>YEAR(ORDERS[[#This Row],[OrderDate]])</f>
        <v>2012</v>
      </c>
    </row>
    <row r="51" spans="1:13" x14ac:dyDescent="0.3">
      <c r="A51">
        <v>50</v>
      </c>
      <c r="B51">
        <v>4</v>
      </c>
      <c r="C51">
        <v>3</v>
      </c>
      <c r="D51" s="1">
        <v>40945</v>
      </c>
      <c r="E51">
        <v>128</v>
      </c>
      <c r="F51">
        <f>VLOOKUP(ORDERS[[#This Row],[ProductID]],Products[],4,FALSE)</f>
        <v>22</v>
      </c>
      <c r="G51">
        <v>0.10000000100000001</v>
      </c>
      <c r="H51">
        <f>(ORDERS[[#This Row],[UnitsOrdered]]*ORDERS[[#This Row],[unit price]])-(ORDERS[[#This Row],[UnitsOrdered]]*ORDERS[[#This Row],[unit price]]*ORDERS[[#This Row],[Discount]])</f>
        <v>2534.3999971839999</v>
      </c>
      <c r="I51" t="str">
        <f>VLOOKUP(ORDERS[[#This Row],[CustomerID]],customers[],2,FALSE)</f>
        <v>Tshirt Unlimited</v>
      </c>
      <c r="J51" s="2" t="str">
        <f>VLOOKUP(ORDERS[[#This Row],[CustomerID]],customers[],4,FALSE)</f>
        <v>Phoenix</v>
      </c>
      <c r="K51" s="2" t="str">
        <f>VLOOKUP(ORDERS[[#This Row],[ProductID]],Products[],3,FALSE)</f>
        <v>Both</v>
      </c>
      <c r="L51" s="2">
        <f>DAY(ORDERS[[#This Row],[OrderDate]])</f>
        <v>6</v>
      </c>
      <c r="M51" s="2">
        <f>YEAR(ORDERS[[#This Row],[OrderDate]])</f>
        <v>2012</v>
      </c>
    </row>
    <row r="52" spans="1:13" x14ac:dyDescent="0.3">
      <c r="A52">
        <v>51</v>
      </c>
      <c r="B52">
        <v>4</v>
      </c>
      <c r="C52">
        <v>10</v>
      </c>
      <c r="D52" s="1">
        <v>40946</v>
      </c>
      <c r="E52">
        <v>124</v>
      </c>
      <c r="F52">
        <f>VLOOKUP(ORDERS[[#This Row],[ProductID]],Products[],4,FALSE)</f>
        <v>35</v>
      </c>
      <c r="G52">
        <v>0</v>
      </c>
      <c r="H52">
        <f>(ORDERS[[#This Row],[UnitsOrdered]]*ORDERS[[#This Row],[unit price]])-(ORDERS[[#This Row],[UnitsOrdered]]*ORDERS[[#This Row],[unit price]]*ORDERS[[#This Row],[Discount]])</f>
        <v>4340</v>
      </c>
      <c r="I52" t="str">
        <f>VLOOKUP(ORDERS[[#This Row],[CustomerID]],customers[],2,FALSE)</f>
        <v>Tshirt Unlimited</v>
      </c>
      <c r="J52" s="2" t="str">
        <f>VLOOKUP(ORDERS[[#This Row],[CustomerID]],customers[],4,FALSE)</f>
        <v>Phoenix</v>
      </c>
      <c r="K52" s="2" t="str">
        <f>VLOOKUP(ORDERS[[#This Row],[ProductID]],Products[],3,FALSE)</f>
        <v>Male</v>
      </c>
      <c r="L52" s="2">
        <f>DAY(ORDERS[[#This Row],[OrderDate]])</f>
        <v>7</v>
      </c>
      <c r="M52" s="2">
        <f>YEAR(ORDERS[[#This Row],[OrderDate]])</f>
        <v>2012</v>
      </c>
    </row>
    <row r="53" spans="1:13" x14ac:dyDescent="0.3">
      <c r="A53">
        <v>52</v>
      </c>
      <c r="B53">
        <v>1</v>
      </c>
      <c r="C53">
        <v>3</v>
      </c>
      <c r="D53" s="1">
        <v>40947</v>
      </c>
      <c r="E53">
        <v>44</v>
      </c>
      <c r="F53">
        <f>VLOOKUP(ORDERS[[#This Row],[ProductID]],Products[],4,FALSE)</f>
        <v>22</v>
      </c>
      <c r="G53">
        <v>0</v>
      </c>
      <c r="H53">
        <f>(ORDERS[[#This Row],[UnitsOrdered]]*ORDERS[[#This Row],[unit price]])-(ORDERS[[#This Row],[UnitsOrdered]]*ORDERS[[#This Row],[unit price]]*ORDERS[[#This Row],[Discount]])</f>
        <v>968</v>
      </c>
      <c r="I53" t="str">
        <f>VLOOKUP(ORDERS[[#This Row],[CustomerID]],customers[],2,FALSE)</f>
        <v>Threads</v>
      </c>
      <c r="J53" s="2" t="str">
        <f>VLOOKUP(ORDERS[[#This Row],[CustomerID]],customers[],4,FALSE)</f>
        <v>Seattle</v>
      </c>
      <c r="K53" s="2" t="str">
        <f>VLOOKUP(ORDERS[[#This Row],[ProductID]],Products[],3,FALSE)</f>
        <v>Both</v>
      </c>
      <c r="L53" s="2">
        <f>DAY(ORDERS[[#This Row],[OrderDate]])</f>
        <v>8</v>
      </c>
      <c r="M53" s="2">
        <f>YEAR(ORDERS[[#This Row],[OrderDate]])</f>
        <v>2012</v>
      </c>
    </row>
    <row r="54" spans="1:13" x14ac:dyDescent="0.3">
      <c r="A54">
        <v>53</v>
      </c>
      <c r="B54">
        <v>6</v>
      </c>
      <c r="C54">
        <v>8</v>
      </c>
      <c r="D54" s="1">
        <v>40948</v>
      </c>
      <c r="E54">
        <v>34</v>
      </c>
      <c r="F54">
        <f>VLOOKUP(ORDERS[[#This Row],[ProductID]],Products[],4,FALSE)</f>
        <v>27</v>
      </c>
      <c r="G54">
        <v>0.10000000100000001</v>
      </c>
      <c r="H54">
        <f>(ORDERS[[#This Row],[UnitsOrdered]]*ORDERS[[#This Row],[unit price]])-(ORDERS[[#This Row],[UnitsOrdered]]*ORDERS[[#This Row],[unit price]]*ORDERS[[#This Row],[Discount]])</f>
        <v>826.19999908199998</v>
      </c>
      <c r="I54" t="str">
        <f>VLOOKUP(ORDERS[[#This Row],[CustomerID]],customers[],2,FALSE)</f>
        <v>Abracadaba Ink</v>
      </c>
      <c r="J54" s="2" t="str">
        <f>VLOOKUP(ORDERS[[#This Row],[CustomerID]],customers[],4,FALSE)</f>
        <v>Salt Lake City</v>
      </c>
      <c r="K54" s="2" t="str">
        <f>VLOOKUP(ORDERS[[#This Row],[ProductID]],Products[],3,FALSE)</f>
        <v>Female</v>
      </c>
      <c r="L54" s="2">
        <f>DAY(ORDERS[[#This Row],[OrderDate]])</f>
        <v>9</v>
      </c>
      <c r="M54" s="2">
        <f>YEAR(ORDERS[[#This Row],[OrderDate]])</f>
        <v>2012</v>
      </c>
    </row>
    <row r="55" spans="1:13" x14ac:dyDescent="0.3">
      <c r="A55">
        <v>54</v>
      </c>
      <c r="B55">
        <v>1</v>
      </c>
      <c r="C55">
        <v>8</v>
      </c>
      <c r="D55" s="1">
        <v>40949</v>
      </c>
      <c r="E55">
        <v>130</v>
      </c>
      <c r="F55">
        <f>VLOOKUP(ORDERS[[#This Row],[ProductID]],Products[],4,FALSE)</f>
        <v>27</v>
      </c>
      <c r="G55">
        <v>0.10000000100000001</v>
      </c>
      <c r="H55">
        <f>(ORDERS[[#This Row],[UnitsOrdered]]*ORDERS[[#This Row],[unit price]])-(ORDERS[[#This Row],[UnitsOrdered]]*ORDERS[[#This Row],[unit price]]*ORDERS[[#This Row],[Discount]])</f>
        <v>3158.9999964899998</v>
      </c>
      <c r="I55" t="str">
        <f>VLOOKUP(ORDERS[[#This Row],[CustomerID]],customers[],2,FALSE)</f>
        <v>Threads</v>
      </c>
      <c r="J55" s="2" t="str">
        <f>VLOOKUP(ORDERS[[#This Row],[CustomerID]],customers[],4,FALSE)</f>
        <v>Seattle</v>
      </c>
      <c r="K55" s="2" t="str">
        <f>VLOOKUP(ORDERS[[#This Row],[ProductID]],Products[],3,FALSE)</f>
        <v>Female</v>
      </c>
      <c r="L55" s="2">
        <f>DAY(ORDERS[[#This Row],[OrderDate]])</f>
        <v>10</v>
      </c>
      <c r="M55" s="2">
        <f>YEAR(ORDERS[[#This Row],[OrderDate]])</f>
        <v>2012</v>
      </c>
    </row>
    <row r="56" spans="1:13" x14ac:dyDescent="0.3">
      <c r="A56">
        <v>55</v>
      </c>
      <c r="B56">
        <v>2</v>
      </c>
      <c r="C56">
        <v>4</v>
      </c>
      <c r="D56" s="1">
        <v>40951</v>
      </c>
      <c r="E56">
        <v>110</v>
      </c>
      <c r="F56">
        <f>VLOOKUP(ORDERS[[#This Row],[ProductID]],Products[],4,FALSE)</f>
        <v>30</v>
      </c>
      <c r="G56">
        <v>0</v>
      </c>
      <c r="H56">
        <f>(ORDERS[[#This Row],[UnitsOrdered]]*ORDERS[[#This Row],[unit price]])-(ORDERS[[#This Row],[UnitsOrdered]]*ORDERS[[#This Row],[unit price]]*ORDERS[[#This Row],[Discount]])</f>
        <v>3300</v>
      </c>
      <c r="I56" t="str">
        <f>VLOOKUP(ORDERS[[#This Row],[CustomerID]],customers[],2,FALSE)</f>
        <v>A Shirts Life</v>
      </c>
      <c r="J56" s="2" t="str">
        <f>VLOOKUP(ORDERS[[#This Row],[CustomerID]],customers[],4,FALSE)</f>
        <v>Portland</v>
      </c>
      <c r="K56" s="2" t="str">
        <f>VLOOKUP(ORDERS[[#This Row],[ProductID]],Products[],3,FALSE)</f>
        <v>Both</v>
      </c>
      <c r="L56" s="2">
        <f>DAY(ORDERS[[#This Row],[OrderDate]])</f>
        <v>12</v>
      </c>
      <c r="M56" s="2">
        <f>YEAR(ORDERS[[#This Row],[OrderDate]])</f>
        <v>2012</v>
      </c>
    </row>
    <row r="57" spans="1:13" x14ac:dyDescent="0.3">
      <c r="A57">
        <v>56</v>
      </c>
      <c r="B57">
        <v>6</v>
      </c>
      <c r="C57">
        <v>1</v>
      </c>
      <c r="D57" s="1">
        <v>40951</v>
      </c>
      <c r="E57">
        <v>77</v>
      </c>
      <c r="F57">
        <f>VLOOKUP(ORDERS[[#This Row],[ProductID]],Products[],4,FALSE)</f>
        <v>20</v>
      </c>
      <c r="G57">
        <v>0</v>
      </c>
      <c r="H57">
        <f>(ORDERS[[#This Row],[UnitsOrdered]]*ORDERS[[#This Row],[unit price]])-(ORDERS[[#This Row],[UnitsOrdered]]*ORDERS[[#This Row],[unit price]]*ORDERS[[#This Row],[Discount]])</f>
        <v>1540</v>
      </c>
      <c r="I57" t="str">
        <f>VLOOKUP(ORDERS[[#This Row],[CustomerID]],customers[],2,FALSE)</f>
        <v>Abracadaba Ink</v>
      </c>
      <c r="J57" s="2" t="str">
        <f>VLOOKUP(ORDERS[[#This Row],[CustomerID]],customers[],4,FALSE)</f>
        <v>Salt Lake City</v>
      </c>
      <c r="K57" s="2" t="str">
        <f>VLOOKUP(ORDERS[[#This Row],[ProductID]],Products[],3,FALSE)</f>
        <v>Both</v>
      </c>
      <c r="L57" s="2">
        <f>DAY(ORDERS[[#This Row],[OrderDate]])</f>
        <v>12</v>
      </c>
      <c r="M57" s="2">
        <f>YEAR(ORDERS[[#This Row],[OrderDate]])</f>
        <v>2012</v>
      </c>
    </row>
    <row r="58" spans="1:13" x14ac:dyDescent="0.3">
      <c r="A58">
        <v>57</v>
      </c>
      <c r="B58">
        <v>7</v>
      </c>
      <c r="C58">
        <v>9</v>
      </c>
      <c r="D58" s="1">
        <v>40951</v>
      </c>
      <c r="E58">
        <v>98</v>
      </c>
      <c r="F58">
        <f>VLOOKUP(ORDERS[[#This Row],[ProductID]],Products[],4,FALSE)</f>
        <v>25</v>
      </c>
      <c r="G58">
        <v>0</v>
      </c>
      <c r="H58">
        <f>(ORDERS[[#This Row],[UnitsOrdered]]*ORDERS[[#This Row],[unit price]])-(ORDERS[[#This Row],[UnitsOrdered]]*ORDERS[[#This Row],[unit price]]*ORDERS[[#This Row],[Discount]])</f>
        <v>2450</v>
      </c>
      <c r="I58" t="str">
        <f>VLOOKUP(ORDERS[[#This Row],[CustomerID]],customers[],2,FALSE)</f>
        <v>The Shirt on Your Back</v>
      </c>
      <c r="J58" s="2" t="str">
        <f>VLOOKUP(ORDERS[[#This Row],[CustomerID]],customers[],4,FALSE)</f>
        <v>Bonners Ferry</v>
      </c>
      <c r="K58" s="2" t="str">
        <f>VLOOKUP(ORDERS[[#This Row],[ProductID]],Products[],3,FALSE)</f>
        <v>Male</v>
      </c>
      <c r="L58" s="2">
        <f>DAY(ORDERS[[#This Row],[OrderDate]])</f>
        <v>12</v>
      </c>
      <c r="M58" s="2">
        <f>YEAR(ORDERS[[#This Row],[OrderDate]])</f>
        <v>2012</v>
      </c>
    </row>
    <row r="59" spans="1:13" x14ac:dyDescent="0.3">
      <c r="A59">
        <v>58</v>
      </c>
      <c r="B59">
        <v>3</v>
      </c>
      <c r="C59">
        <v>4</v>
      </c>
      <c r="D59" s="1">
        <v>40952</v>
      </c>
      <c r="E59">
        <v>59</v>
      </c>
      <c r="F59">
        <f>VLOOKUP(ORDERS[[#This Row],[ProductID]],Products[],4,FALSE)</f>
        <v>30</v>
      </c>
      <c r="G59">
        <v>0.10000000100000001</v>
      </c>
      <c r="H59">
        <f>(ORDERS[[#This Row],[UnitsOrdered]]*ORDERS[[#This Row],[unit price]])-(ORDERS[[#This Row],[UnitsOrdered]]*ORDERS[[#This Row],[unit price]]*ORDERS[[#This Row],[Discount]])</f>
        <v>1592.9999982300001</v>
      </c>
      <c r="I59" t="str">
        <f>VLOOKUP(ORDERS[[#This Row],[CustomerID]],customers[],2,FALSE)</f>
        <v>Shirts R Us</v>
      </c>
      <c r="J59" s="2" t="str">
        <f>VLOOKUP(ORDERS[[#This Row],[CustomerID]],customers[],4,FALSE)</f>
        <v>Los Angeles</v>
      </c>
      <c r="K59" s="2" t="str">
        <f>VLOOKUP(ORDERS[[#This Row],[ProductID]],Products[],3,FALSE)</f>
        <v>Both</v>
      </c>
      <c r="L59" s="2">
        <f>DAY(ORDERS[[#This Row],[OrderDate]])</f>
        <v>13</v>
      </c>
      <c r="M59" s="2">
        <f>YEAR(ORDERS[[#This Row],[OrderDate]])</f>
        <v>2012</v>
      </c>
    </row>
    <row r="60" spans="1:13" x14ac:dyDescent="0.3">
      <c r="A60">
        <v>59</v>
      </c>
      <c r="B60">
        <v>7</v>
      </c>
      <c r="C60">
        <v>1</v>
      </c>
      <c r="D60" s="1">
        <v>40954</v>
      </c>
      <c r="E60">
        <v>127</v>
      </c>
      <c r="F60">
        <f>VLOOKUP(ORDERS[[#This Row],[ProductID]],Products[],4,FALSE)</f>
        <v>20</v>
      </c>
      <c r="G60">
        <v>0</v>
      </c>
      <c r="H60">
        <f>(ORDERS[[#This Row],[UnitsOrdered]]*ORDERS[[#This Row],[unit price]])-(ORDERS[[#This Row],[UnitsOrdered]]*ORDERS[[#This Row],[unit price]]*ORDERS[[#This Row],[Discount]])</f>
        <v>2540</v>
      </c>
      <c r="I60" t="str">
        <f>VLOOKUP(ORDERS[[#This Row],[CustomerID]],customers[],2,FALSE)</f>
        <v>The Shirt on Your Back</v>
      </c>
      <c r="J60" s="2" t="str">
        <f>VLOOKUP(ORDERS[[#This Row],[CustomerID]],customers[],4,FALSE)</f>
        <v>Bonners Ferry</v>
      </c>
      <c r="K60" s="2" t="str">
        <f>VLOOKUP(ORDERS[[#This Row],[ProductID]],Products[],3,FALSE)</f>
        <v>Both</v>
      </c>
      <c r="L60" s="2">
        <f>DAY(ORDERS[[#This Row],[OrderDate]])</f>
        <v>15</v>
      </c>
      <c r="M60" s="2">
        <f>YEAR(ORDERS[[#This Row],[OrderDate]])</f>
        <v>2012</v>
      </c>
    </row>
    <row r="61" spans="1:13" x14ac:dyDescent="0.3">
      <c r="A61">
        <v>60</v>
      </c>
      <c r="B61">
        <v>6</v>
      </c>
      <c r="C61">
        <v>7</v>
      </c>
      <c r="D61" s="1">
        <v>40955</v>
      </c>
      <c r="E61">
        <v>93</v>
      </c>
      <c r="F61">
        <f>VLOOKUP(ORDERS[[#This Row],[ProductID]],Products[],4,FALSE)</f>
        <v>38</v>
      </c>
      <c r="G61">
        <v>0.10000000100000001</v>
      </c>
      <c r="H61">
        <f>(ORDERS[[#This Row],[UnitsOrdered]]*ORDERS[[#This Row],[unit price]])-(ORDERS[[#This Row],[UnitsOrdered]]*ORDERS[[#This Row],[unit price]]*ORDERS[[#This Row],[Discount]])</f>
        <v>3180.599996466</v>
      </c>
      <c r="I61" t="str">
        <f>VLOOKUP(ORDERS[[#This Row],[CustomerID]],customers[],2,FALSE)</f>
        <v>Abracadaba Ink</v>
      </c>
      <c r="J61" s="2" t="str">
        <f>VLOOKUP(ORDERS[[#This Row],[CustomerID]],customers[],4,FALSE)</f>
        <v>Salt Lake City</v>
      </c>
      <c r="K61" s="2" t="str">
        <f>VLOOKUP(ORDERS[[#This Row],[ProductID]],Products[],3,FALSE)</f>
        <v>Female</v>
      </c>
      <c r="L61" s="2">
        <f>DAY(ORDERS[[#This Row],[OrderDate]])</f>
        <v>16</v>
      </c>
      <c r="M61" s="2">
        <f>YEAR(ORDERS[[#This Row],[OrderDate]])</f>
        <v>2012</v>
      </c>
    </row>
    <row r="62" spans="1:13" x14ac:dyDescent="0.3">
      <c r="A62">
        <v>61</v>
      </c>
      <c r="B62">
        <v>2</v>
      </c>
      <c r="C62">
        <v>5</v>
      </c>
      <c r="D62" s="1">
        <v>40956</v>
      </c>
      <c r="E62">
        <v>135</v>
      </c>
      <c r="F62">
        <f>VLOOKUP(ORDERS[[#This Row],[ProductID]],Products[],4,FALSE)</f>
        <v>16</v>
      </c>
      <c r="G62">
        <v>0</v>
      </c>
      <c r="H62">
        <f>(ORDERS[[#This Row],[UnitsOrdered]]*ORDERS[[#This Row],[unit price]])-(ORDERS[[#This Row],[UnitsOrdered]]*ORDERS[[#This Row],[unit price]]*ORDERS[[#This Row],[Discount]])</f>
        <v>2160</v>
      </c>
      <c r="I62" t="str">
        <f>VLOOKUP(ORDERS[[#This Row],[CustomerID]],customers[],2,FALSE)</f>
        <v>A Shirts Life</v>
      </c>
      <c r="J62" s="2" t="str">
        <f>VLOOKUP(ORDERS[[#This Row],[CustomerID]],customers[],4,FALSE)</f>
        <v>Portland</v>
      </c>
      <c r="K62" s="2" t="str">
        <f>VLOOKUP(ORDERS[[#This Row],[ProductID]],Products[],3,FALSE)</f>
        <v>Female</v>
      </c>
      <c r="L62" s="2">
        <f>DAY(ORDERS[[#This Row],[OrderDate]])</f>
        <v>17</v>
      </c>
      <c r="M62" s="2">
        <f>YEAR(ORDERS[[#This Row],[OrderDate]])</f>
        <v>2012</v>
      </c>
    </row>
    <row r="63" spans="1:13" x14ac:dyDescent="0.3">
      <c r="A63">
        <v>62</v>
      </c>
      <c r="B63">
        <v>4</v>
      </c>
      <c r="C63">
        <v>3</v>
      </c>
      <c r="D63" s="1">
        <v>40958</v>
      </c>
      <c r="E63">
        <v>97</v>
      </c>
      <c r="F63">
        <f>VLOOKUP(ORDERS[[#This Row],[ProductID]],Products[],4,FALSE)</f>
        <v>22</v>
      </c>
      <c r="G63">
        <v>0</v>
      </c>
      <c r="H63">
        <f>(ORDERS[[#This Row],[UnitsOrdered]]*ORDERS[[#This Row],[unit price]])-(ORDERS[[#This Row],[UnitsOrdered]]*ORDERS[[#This Row],[unit price]]*ORDERS[[#This Row],[Discount]])</f>
        <v>2134</v>
      </c>
      <c r="I63" t="str">
        <f>VLOOKUP(ORDERS[[#This Row],[CustomerID]],customers[],2,FALSE)</f>
        <v>Tshirt Unlimited</v>
      </c>
      <c r="J63" s="2" t="str">
        <f>VLOOKUP(ORDERS[[#This Row],[CustomerID]],customers[],4,FALSE)</f>
        <v>Phoenix</v>
      </c>
      <c r="K63" s="2" t="str">
        <f>VLOOKUP(ORDERS[[#This Row],[ProductID]],Products[],3,FALSE)</f>
        <v>Both</v>
      </c>
      <c r="L63" s="2">
        <f>DAY(ORDERS[[#This Row],[OrderDate]])</f>
        <v>19</v>
      </c>
      <c r="M63" s="2">
        <f>YEAR(ORDERS[[#This Row],[OrderDate]])</f>
        <v>2012</v>
      </c>
    </row>
    <row r="64" spans="1:13" x14ac:dyDescent="0.3">
      <c r="A64">
        <v>63</v>
      </c>
      <c r="B64">
        <v>3</v>
      </c>
      <c r="C64">
        <v>6</v>
      </c>
      <c r="D64" s="1">
        <v>40959</v>
      </c>
      <c r="E64">
        <v>72</v>
      </c>
      <c r="F64">
        <f>VLOOKUP(ORDERS[[#This Row],[ProductID]],Products[],4,FALSE)</f>
        <v>28</v>
      </c>
      <c r="G64">
        <v>0.10000000100000001</v>
      </c>
      <c r="H64">
        <f>(ORDERS[[#This Row],[UnitsOrdered]]*ORDERS[[#This Row],[unit price]])-(ORDERS[[#This Row],[UnitsOrdered]]*ORDERS[[#This Row],[unit price]]*ORDERS[[#This Row],[Discount]])</f>
        <v>1814.399997984</v>
      </c>
      <c r="I64" t="str">
        <f>VLOOKUP(ORDERS[[#This Row],[CustomerID]],customers[],2,FALSE)</f>
        <v>Shirts R Us</v>
      </c>
      <c r="J64" s="2" t="str">
        <f>VLOOKUP(ORDERS[[#This Row],[CustomerID]],customers[],4,FALSE)</f>
        <v>Los Angeles</v>
      </c>
      <c r="K64" s="2" t="str">
        <f>VLOOKUP(ORDERS[[#This Row],[ProductID]],Products[],3,FALSE)</f>
        <v>Female</v>
      </c>
      <c r="L64" s="2">
        <f>DAY(ORDERS[[#This Row],[OrderDate]])</f>
        <v>20</v>
      </c>
      <c r="M64" s="2">
        <f>YEAR(ORDERS[[#This Row],[OrderDate]])</f>
        <v>2012</v>
      </c>
    </row>
    <row r="65" spans="1:13" x14ac:dyDescent="0.3">
      <c r="A65">
        <v>64</v>
      </c>
      <c r="B65">
        <v>5</v>
      </c>
      <c r="C65">
        <v>2</v>
      </c>
      <c r="D65" s="1">
        <v>40959</v>
      </c>
      <c r="E65">
        <v>84</v>
      </c>
      <c r="F65">
        <f>VLOOKUP(ORDERS[[#This Row],[ProductID]],Products[],4,FALSE)</f>
        <v>30</v>
      </c>
      <c r="G65">
        <v>0</v>
      </c>
      <c r="H65">
        <f>(ORDERS[[#This Row],[UnitsOrdered]]*ORDERS[[#This Row],[unit price]])-(ORDERS[[#This Row],[UnitsOrdered]]*ORDERS[[#This Row],[unit price]]*ORDERS[[#This Row],[Discount]])</f>
        <v>2520</v>
      </c>
      <c r="I65" t="str">
        <f>VLOOKUP(ORDERS[[#This Row],[CustomerID]],customers[],2,FALSE)</f>
        <v>Rags to Riches</v>
      </c>
      <c r="J65" s="2" t="str">
        <f>VLOOKUP(ORDERS[[#This Row],[CustomerID]],customers[],4,FALSE)</f>
        <v>Las Vegas</v>
      </c>
      <c r="K65" s="2" t="str">
        <f>VLOOKUP(ORDERS[[#This Row],[ProductID]],Products[],3,FALSE)</f>
        <v>Both</v>
      </c>
      <c r="L65" s="2">
        <f>DAY(ORDERS[[#This Row],[OrderDate]])</f>
        <v>20</v>
      </c>
      <c r="M65" s="2">
        <f>YEAR(ORDERS[[#This Row],[OrderDate]])</f>
        <v>2012</v>
      </c>
    </row>
    <row r="66" spans="1:13" x14ac:dyDescent="0.3">
      <c r="A66">
        <v>65</v>
      </c>
      <c r="B66">
        <v>1</v>
      </c>
      <c r="C66">
        <v>2</v>
      </c>
      <c r="D66" s="1">
        <v>40960</v>
      </c>
      <c r="E66">
        <v>121</v>
      </c>
      <c r="F66">
        <f>VLOOKUP(ORDERS[[#This Row],[ProductID]],Products[],4,FALSE)</f>
        <v>30</v>
      </c>
      <c r="G66">
        <v>0</v>
      </c>
      <c r="H66">
        <f>(ORDERS[[#This Row],[UnitsOrdered]]*ORDERS[[#This Row],[unit price]])-(ORDERS[[#This Row],[UnitsOrdered]]*ORDERS[[#This Row],[unit price]]*ORDERS[[#This Row],[Discount]])</f>
        <v>3630</v>
      </c>
      <c r="I66" t="str">
        <f>VLOOKUP(ORDERS[[#This Row],[CustomerID]],customers[],2,FALSE)</f>
        <v>Threads</v>
      </c>
      <c r="J66" s="2" t="str">
        <f>VLOOKUP(ORDERS[[#This Row],[CustomerID]],customers[],4,FALSE)</f>
        <v>Seattle</v>
      </c>
      <c r="K66" s="2" t="str">
        <f>VLOOKUP(ORDERS[[#This Row],[ProductID]],Products[],3,FALSE)</f>
        <v>Both</v>
      </c>
      <c r="L66" s="2">
        <f>DAY(ORDERS[[#This Row],[OrderDate]])</f>
        <v>21</v>
      </c>
      <c r="M66" s="2">
        <f>YEAR(ORDERS[[#This Row],[OrderDate]])</f>
        <v>2012</v>
      </c>
    </row>
    <row r="67" spans="1:13" x14ac:dyDescent="0.3">
      <c r="A67">
        <v>66</v>
      </c>
      <c r="B67">
        <v>7</v>
      </c>
      <c r="C67">
        <v>2</v>
      </c>
      <c r="D67" s="1">
        <v>40960</v>
      </c>
      <c r="E67">
        <v>101</v>
      </c>
      <c r="F67">
        <f>VLOOKUP(ORDERS[[#This Row],[ProductID]],Products[],4,FALSE)</f>
        <v>30</v>
      </c>
      <c r="G67">
        <v>0</v>
      </c>
      <c r="H67">
        <f>(ORDERS[[#This Row],[UnitsOrdered]]*ORDERS[[#This Row],[unit price]])-(ORDERS[[#This Row],[UnitsOrdered]]*ORDERS[[#This Row],[unit price]]*ORDERS[[#This Row],[Discount]])</f>
        <v>3030</v>
      </c>
      <c r="I67" t="str">
        <f>VLOOKUP(ORDERS[[#This Row],[CustomerID]],customers[],2,FALSE)</f>
        <v>The Shirt on Your Back</v>
      </c>
      <c r="J67" s="2" t="str">
        <f>VLOOKUP(ORDERS[[#This Row],[CustomerID]],customers[],4,FALSE)</f>
        <v>Bonners Ferry</v>
      </c>
      <c r="K67" s="2" t="str">
        <f>VLOOKUP(ORDERS[[#This Row],[ProductID]],Products[],3,FALSE)</f>
        <v>Both</v>
      </c>
      <c r="L67" s="2">
        <f>DAY(ORDERS[[#This Row],[OrderDate]])</f>
        <v>21</v>
      </c>
      <c r="M67" s="2">
        <f>YEAR(ORDERS[[#This Row],[OrderDate]])</f>
        <v>2012</v>
      </c>
    </row>
    <row r="68" spans="1:13" x14ac:dyDescent="0.3">
      <c r="A68">
        <v>67</v>
      </c>
      <c r="B68">
        <v>7</v>
      </c>
      <c r="C68">
        <v>5</v>
      </c>
      <c r="D68" s="1">
        <v>40963</v>
      </c>
      <c r="E68">
        <v>107</v>
      </c>
      <c r="F68">
        <f>VLOOKUP(ORDERS[[#This Row],[ProductID]],Products[],4,FALSE)</f>
        <v>16</v>
      </c>
      <c r="G68">
        <v>0.15000000599999999</v>
      </c>
      <c r="H68">
        <f>(ORDERS[[#This Row],[UnitsOrdered]]*ORDERS[[#This Row],[unit price]])-(ORDERS[[#This Row],[UnitsOrdered]]*ORDERS[[#This Row],[unit price]]*ORDERS[[#This Row],[Discount]])</f>
        <v>1455.199989728</v>
      </c>
      <c r="I68" t="str">
        <f>VLOOKUP(ORDERS[[#This Row],[CustomerID]],customers[],2,FALSE)</f>
        <v>The Shirt on Your Back</v>
      </c>
      <c r="J68" s="2" t="str">
        <f>VLOOKUP(ORDERS[[#This Row],[CustomerID]],customers[],4,FALSE)</f>
        <v>Bonners Ferry</v>
      </c>
      <c r="K68" s="2" t="str">
        <f>VLOOKUP(ORDERS[[#This Row],[ProductID]],Products[],3,FALSE)</f>
        <v>Female</v>
      </c>
      <c r="L68" s="2">
        <f>DAY(ORDERS[[#This Row],[OrderDate]])</f>
        <v>24</v>
      </c>
      <c r="M68" s="2">
        <f>YEAR(ORDERS[[#This Row],[OrderDate]])</f>
        <v>2012</v>
      </c>
    </row>
    <row r="69" spans="1:13" x14ac:dyDescent="0.3">
      <c r="A69">
        <v>68</v>
      </c>
      <c r="B69">
        <v>3</v>
      </c>
      <c r="C69">
        <v>2</v>
      </c>
      <c r="D69" s="1">
        <v>40966</v>
      </c>
      <c r="E69">
        <v>74</v>
      </c>
      <c r="F69">
        <f>VLOOKUP(ORDERS[[#This Row],[ProductID]],Products[],4,FALSE)</f>
        <v>30</v>
      </c>
      <c r="G69">
        <v>0</v>
      </c>
      <c r="H69">
        <f>(ORDERS[[#This Row],[UnitsOrdered]]*ORDERS[[#This Row],[unit price]])-(ORDERS[[#This Row],[UnitsOrdered]]*ORDERS[[#This Row],[unit price]]*ORDERS[[#This Row],[Discount]])</f>
        <v>2220</v>
      </c>
      <c r="I69" t="str">
        <f>VLOOKUP(ORDERS[[#This Row],[CustomerID]],customers[],2,FALSE)</f>
        <v>Shirts R Us</v>
      </c>
      <c r="J69" s="2" t="str">
        <f>VLOOKUP(ORDERS[[#This Row],[CustomerID]],customers[],4,FALSE)</f>
        <v>Los Angeles</v>
      </c>
      <c r="K69" s="2" t="str">
        <f>VLOOKUP(ORDERS[[#This Row],[ProductID]],Products[],3,FALSE)</f>
        <v>Both</v>
      </c>
      <c r="L69" s="2">
        <f>DAY(ORDERS[[#This Row],[OrderDate]])</f>
        <v>27</v>
      </c>
      <c r="M69" s="2">
        <f>YEAR(ORDERS[[#This Row],[OrderDate]])</f>
        <v>2012</v>
      </c>
    </row>
    <row r="70" spans="1:13" x14ac:dyDescent="0.3">
      <c r="A70">
        <v>69</v>
      </c>
      <c r="B70">
        <v>5</v>
      </c>
      <c r="C70">
        <v>7</v>
      </c>
      <c r="D70" s="1">
        <v>40966</v>
      </c>
      <c r="E70">
        <v>73</v>
      </c>
      <c r="F70">
        <f>VLOOKUP(ORDERS[[#This Row],[ProductID]],Products[],4,FALSE)</f>
        <v>38</v>
      </c>
      <c r="G70">
        <v>0</v>
      </c>
      <c r="H70">
        <f>(ORDERS[[#This Row],[UnitsOrdered]]*ORDERS[[#This Row],[unit price]])-(ORDERS[[#This Row],[UnitsOrdered]]*ORDERS[[#This Row],[unit price]]*ORDERS[[#This Row],[Discount]])</f>
        <v>2774</v>
      </c>
      <c r="I70" t="str">
        <f>VLOOKUP(ORDERS[[#This Row],[CustomerID]],customers[],2,FALSE)</f>
        <v>Rags to Riches</v>
      </c>
      <c r="J70" s="2" t="str">
        <f>VLOOKUP(ORDERS[[#This Row],[CustomerID]],customers[],4,FALSE)</f>
        <v>Las Vegas</v>
      </c>
      <c r="K70" s="2" t="str">
        <f>VLOOKUP(ORDERS[[#This Row],[ProductID]],Products[],3,FALSE)</f>
        <v>Female</v>
      </c>
      <c r="L70" s="2">
        <f>DAY(ORDERS[[#This Row],[OrderDate]])</f>
        <v>27</v>
      </c>
      <c r="M70" s="2">
        <f>YEAR(ORDERS[[#This Row],[OrderDate]])</f>
        <v>2012</v>
      </c>
    </row>
    <row r="71" spans="1:13" x14ac:dyDescent="0.3">
      <c r="A71">
        <v>70</v>
      </c>
      <c r="B71">
        <v>5</v>
      </c>
      <c r="C71">
        <v>10</v>
      </c>
      <c r="D71" s="1">
        <v>40966</v>
      </c>
      <c r="E71">
        <v>76</v>
      </c>
      <c r="F71">
        <f>VLOOKUP(ORDERS[[#This Row],[ProductID]],Products[],4,FALSE)</f>
        <v>35</v>
      </c>
      <c r="G71">
        <v>0</v>
      </c>
      <c r="H71">
        <f>(ORDERS[[#This Row],[UnitsOrdered]]*ORDERS[[#This Row],[unit price]])-(ORDERS[[#This Row],[UnitsOrdered]]*ORDERS[[#This Row],[unit price]]*ORDERS[[#This Row],[Discount]])</f>
        <v>2660</v>
      </c>
      <c r="I71" t="str">
        <f>VLOOKUP(ORDERS[[#This Row],[CustomerID]],customers[],2,FALSE)</f>
        <v>Rags to Riches</v>
      </c>
      <c r="J71" s="2" t="str">
        <f>VLOOKUP(ORDERS[[#This Row],[CustomerID]],customers[],4,FALSE)</f>
        <v>Las Vegas</v>
      </c>
      <c r="K71" s="2" t="str">
        <f>VLOOKUP(ORDERS[[#This Row],[ProductID]],Products[],3,FALSE)</f>
        <v>Male</v>
      </c>
      <c r="L71" s="2">
        <f>DAY(ORDERS[[#This Row],[OrderDate]])</f>
        <v>27</v>
      </c>
      <c r="M71" s="2">
        <f>YEAR(ORDERS[[#This Row],[OrderDate]])</f>
        <v>2012</v>
      </c>
    </row>
    <row r="72" spans="1:13" x14ac:dyDescent="0.3">
      <c r="A72">
        <v>71</v>
      </c>
      <c r="B72">
        <v>7</v>
      </c>
      <c r="C72">
        <v>8</v>
      </c>
      <c r="D72" s="1">
        <v>40966</v>
      </c>
      <c r="E72">
        <v>62</v>
      </c>
      <c r="F72">
        <f>VLOOKUP(ORDERS[[#This Row],[ProductID]],Products[],4,FALSE)</f>
        <v>27</v>
      </c>
      <c r="G72">
        <v>0</v>
      </c>
      <c r="H72">
        <f>(ORDERS[[#This Row],[UnitsOrdered]]*ORDERS[[#This Row],[unit price]])-(ORDERS[[#This Row],[UnitsOrdered]]*ORDERS[[#This Row],[unit price]]*ORDERS[[#This Row],[Discount]])</f>
        <v>1674</v>
      </c>
      <c r="I72" t="str">
        <f>VLOOKUP(ORDERS[[#This Row],[CustomerID]],customers[],2,FALSE)</f>
        <v>The Shirt on Your Back</v>
      </c>
      <c r="J72" s="2" t="str">
        <f>VLOOKUP(ORDERS[[#This Row],[CustomerID]],customers[],4,FALSE)</f>
        <v>Bonners Ferry</v>
      </c>
      <c r="K72" s="2" t="str">
        <f>VLOOKUP(ORDERS[[#This Row],[ProductID]],Products[],3,FALSE)</f>
        <v>Female</v>
      </c>
      <c r="L72" s="2">
        <f>DAY(ORDERS[[#This Row],[OrderDate]])</f>
        <v>27</v>
      </c>
      <c r="M72" s="2">
        <f>YEAR(ORDERS[[#This Row],[OrderDate]])</f>
        <v>2012</v>
      </c>
    </row>
    <row r="73" spans="1:13" x14ac:dyDescent="0.3">
      <c r="A73">
        <v>72</v>
      </c>
      <c r="B73">
        <v>6</v>
      </c>
      <c r="C73">
        <v>4</v>
      </c>
      <c r="D73" s="1">
        <v>40969</v>
      </c>
      <c r="E73">
        <v>43</v>
      </c>
      <c r="F73">
        <f>VLOOKUP(ORDERS[[#This Row],[ProductID]],Products[],4,FALSE)</f>
        <v>30</v>
      </c>
      <c r="G73">
        <v>5.0000001000000002E-2</v>
      </c>
      <c r="H73">
        <f>(ORDERS[[#This Row],[UnitsOrdered]]*ORDERS[[#This Row],[unit price]])-(ORDERS[[#This Row],[UnitsOrdered]]*ORDERS[[#This Row],[unit price]]*ORDERS[[#This Row],[Discount]])</f>
        <v>1225.49999871</v>
      </c>
      <c r="I73" t="str">
        <f>VLOOKUP(ORDERS[[#This Row],[CustomerID]],customers[],2,FALSE)</f>
        <v>Abracadaba Ink</v>
      </c>
      <c r="J73" s="2" t="str">
        <f>VLOOKUP(ORDERS[[#This Row],[CustomerID]],customers[],4,FALSE)</f>
        <v>Salt Lake City</v>
      </c>
      <c r="K73" s="2" t="str">
        <f>VLOOKUP(ORDERS[[#This Row],[ProductID]],Products[],3,FALSE)</f>
        <v>Both</v>
      </c>
      <c r="L73" s="2">
        <f>DAY(ORDERS[[#This Row],[OrderDate]])</f>
        <v>1</v>
      </c>
      <c r="M73" s="2">
        <f>YEAR(ORDERS[[#This Row],[OrderDate]])</f>
        <v>2012</v>
      </c>
    </row>
    <row r="74" spans="1:13" x14ac:dyDescent="0.3">
      <c r="A74">
        <v>73</v>
      </c>
      <c r="B74">
        <v>5</v>
      </c>
      <c r="C74">
        <v>3</v>
      </c>
      <c r="D74" s="1">
        <v>40971</v>
      </c>
      <c r="E74">
        <v>133</v>
      </c>
      <c r="F74">
        <f>VLOOKUP(ORDERS[[#This Row],[ProductID]],Products[],4,FALSE)</f>
        <v>22</v>
      </c>
      <c r="G74">
        <v>5.0000001000000002E-2</v>
      </c>
      <c r="H74">
        <f>(ORDERS[[#This Row],[UnitsOrdered]]*ORDERS[[#This Row],[unit price]])-(ORDERS[[#This Row],[UnitsOrdered]]*ORDERS[[#This Row],[unit price]]*ORDERS[[#This Row],[Discount]])</f>
        <v>2779.6999970739998</v>
      </c>
      <c r="I74" t="str">
        <f>VLOOKUP(ORDERS[[#This Row],[CustomerID]],customers[],2,FALSE)</f>
        <v>Rags to Riches</v>
      </c>
      <c r="J74" s="2" t="str">
        <f>VLOOKUP(ORDERS[[#This Row],[CustomerID]],customers[],4,FALSE)</f>
        <v>Las Vegas</v>
      </c>
      <c r="K74" s="2" t="str">
        <f>VLOOKUP(ORDERS[[#This Row],[ProductID]],Products[],3,FALSE)</f>
        <v>Both</v>
      </c>
      <c r="L74" s="2">
        <f>DAY(ORDERS[[#This Row],[OrderDate]])</f>
        <v>3</v>
      </c>
      <c r="M74" s="2">
        <f>YEAR(ORDERS[[#This Row],[OrderDate]])</f>
        <v>2012</v>
      </c>
    </row>
    <row r="75" spans="1:13" x14ac:dyDescent="0.3">
      <c r="A75">
        <v>74</v>
      </c>
      <c r="B75">
        <v>4</v>
      </c>
      <c r="C75">
        <v>2</v>
      </c>
      <c r="D75" s="1">
        <v>40972</v>
      </c>
      <c r="E75">
        <v>120</v>
      </c>
      <c r="F75">
        <f>VLOOKUP(ORDERS[[#This Row],[ProductID]],Products[],4,FALSE)</f>
        <v>30</v>
      </c>
      <c r="G75">
        <v>0</v>
      </c>
      <c r="H75">
        <f>(ORDERS[[#This Row],[UnitsOrdered]]*ORDERS[[#This Row],[unit price]])-(ORDERS[[#This Row],[UnitsOrdered]]*ORDERS[[#This Row],[unit price]]*ORDERS[[#This Row],[Discount]])</f>
        <v>3600</v>
      </c>
      <c r="I75" t="str">
        <f>VLOOKUP(ORDERS[[#This Row],[CustomerID]],customers[],2,FALSE)</f>
        <v>Tshirt Unlimited</v>
      </c>
      <c r="J75" s="2" t="str">
        <f>VLOOKUP(ORDERS[[#This Row],[CustomerID]],customers[],4,FALSE)</f>
        <v>Phoenix</v>
      </c>
      <c r="K75" s="2" t="str">
        <f>VLOOKUP(ORDERS[[#This Row],[ProductID]],Products[],3,FALSE)</f>
        <v>Both</v>
      </c>
      <c r="L75" s="2">
        <f>DAY(ORDERS[[#This Row],[OrderDate]])</f>
        <v>4</v>
      </c>
      <c r="M75" s="2">
        <f>YEAR(ORDERS[[#This Row],[OrderDate]])</f>
        <v>2012</v>
      </c>
    </row>
    <row r="76" spans="1:13" x14ac:dyDescent="0.3">
      <c r="A76">
        <v>75</v>
      </c>
      <c r="B76">
        <v>1</v>
      </c>
      <c r="C76">
        <v>9</v>
      </c>
      <c r="D76" s="1">
        <v>40973</v>
      </c>
      <c r="E76">
        <v>68</v>
      </c>
      <c r="F76">
        <f>VLOOKUP(ORDERS[[#This Row],[ProductID]],Products[],4,FALSE)</f>
        <v>25</v>
      </c>
      <c r="G76">
        <v>0</v>
      </c>
      <c r="H76">
        <f>(ORDERS[[#This Row],[UnitsOrdered]]*ORDERS[[#This Row],[unit price]])-(ORDERS[[#This Row],[UnitsOrdered]]*ORDERS[[#This Row],[unit price]]*ORDERS[[#This Row],[Discount]])</f>
        <v>1700</v>
      </c>
      <c r="I76" t="str">
        <f>VLOOKUP(ORDERS[[#This Row],[CustomerID]],customers[],2,FALSE)</f>
        <v>Threads</v>
      </c>
      <c r="J76" s="2" t="str">
        <f>VLOOKUP(ORDERS[[#This Row],[CustomerID]],customers[],4,FALSE)</f>
        <v>Seattle</v>
      </c>
      <c r="K76" s="2" t="str">
        <f>VLOOKUP(ORDERS[[#This Row],[ProductID]],Products[],3,FALSE)</f>
        <v>Male</v>
      </c>
      <c r="L76" s="2">
        <f>DAY(ORDERS[[#This Row],[OrderDate]])</f>
        <v>5</v>
      </c>
      <c r="M76" s="2">
        <f>YEAR(ORDERS[[#This Row],[OrderDate]])</f>
        <v>2012</v>
      </c>
    </row>
    <row r="77" spans="1:13" x14ac:dyDescent="0.3">
      <c r="A77">
        <v>76</v>
      </c>
      <c r="B77">
        <v>7</v>
      </c>
      <c r="C77">
        <v>9</v>
      </c>
      <c r="D77" s="1">
        <v>40973</v>
      </c>
      <c r="E77">
        <v>103</v>
      </c>
      <c r="F77">
        <f>VLOOKUP(ORDERS[[#This Row],[ProductID]],Products[],4,FALSE)</f>
        <v>25</v>
      </c>
      <c r="G77">
        <v>5.0000001000000002E-2</v>
      </c>
      <c r="H77">
        <f>(ORDERS[[#This Row],[UnitsOrdered]]*ORDERS[[#This Row],[unit price]])-(ORDERS[[#This Row],[UnitsOrdered]]*ORDERS[[#This Row],[unit price]]*ORDERS[[#This Row],[Discount]])</f>
        <v>2446.2499974249999</v>
      </c>
      <c r="I77" t="str">
        <f>VLOOKUP(ORDERS[[#This Row],[CustomerID]],customers[],2,FALSE)</f>
        <v>The Shirt on Your Back</v>
      </c>
      <c r="J77" s="2" t="str">
        <f>VLOOKUP(ORDERS[[#This Row],[CustomerID]],customers[],4,FALSE)</f>
        <v>Bonners Ferry</v>
      </c>
      <c r="K77" s="2" t="str">
        <f>VLOOKUP(ORDERS[[#This Row],[ProductID]],Products[],3,FALSE)</f>
        <v>Male</v>
      </c>
      <c r="L77" s="2">
        <f>DAY(ORDERS[[#This Row],[OrderDate]])</f>
        <v>5</v>
      </c>
      <c r="M77" s="2">
        <f>YEAR(ORDERS[[#This Row],[OrderDate]])</f>
        <v>2012</v>
      </c>
    </row>
    <row r="78" spans="1:13" x14ac:dyDescent="0.3">
      <c r="A78">
        <v>77</v>
      </c>
      <c r="B78">
        <v>1</v>
      </c>
      <c r="C78">
        <v>7</v>
      </c>
      <c r="D78" s="1">
        <v>40974</v>
      </c>
      <c r="E78">
        <v>46</v>
      </c>
      <c r="F78">
        <f>VLOOKUP(ORDERS[[#This Row],[ProductID]],Products[],4,FALSE)</f>
        <v>38</v>
      </c>
      <c r="G78">
        <v>0</v>
      </c>
      <c r="H78">
        <f>(ORDERS[[#This Row],[UnitsOrdered]]*ORDERS[[#This Row],[unit price]])-(ORDERS[[#This Row],[UnitsOrdered]]*ORDERS[[#This Row],[unit price]]*ORDERS[[#This Row],[Discount]])</f>
        <v>1748</v>
      </c>
      <c r="I78" t="str">
        <f>VLOOKUP(ORDERS[[#This Row],[CustomerID]],customers[],2,FALSE)</f>
        <v>Threads</v>
      </c>
      <c r="J78" s="2" t="str">
        <f>VLOOKUP(ORDERS[[#This Row],[CustomerID]],customers[],4,FALSE)</f>
        <v>Seattle</v>
      </c>
      <c r="K78" s="2" t="str">
        <f>VLOOKUP(ORDERS[[#This Row],[ProductID]],Products[],3,FALSE)</f>
        <v>Female</v>
      </c>
      <c r="L78" s="2">
        <f>DAY(ORDERS[[#This Row],[OrderDate]])</f>
        <v>6</v>
      </c>
      <c r="M78" s="2">
        <f>YEAR(ORDERS[[#This Row],[OrderDate]])</f>
        <v>2012</v>
      </c>
    </row>
    <row r="79" spans="1:13" x14ac:dyDescent="0.3">
      <c r="A79">
        <v>78</v>
      </c>
      <c r="B79">
        <v>6</v>
      </c>
      <c r="C79">
        <v>10</v>
      </c>
      <c r="D79" s="1">
        <v>40974</v>
      </c>
      <c r="E79">
        <v>130</v>
      </c>
      <c r="F79">
        <f>VLOOKUP(ORDERS[[#This Row],[ProductID]],Products[],4,FALSE)</f>
        <v>35</v>
      </c>
      <c r="G79">
        <v>0</v>
      </c>
      <c r="H79">
        <f>(ORDERS[[#This Row],[UnitsOrdered]]*ORDERS[[#This Row],[unit price]])-(ORDERS[[#This Row],[UnitsOrdered]]*ORDERS[[#This Row],[unit price]]*ORDERS[[#This Row],[Discount]])</f>
        <v>4550</v>
      </c>
      <c r="I79" t="str">
        <f>VLOOKUP(ORDERS[[#This Row],[CustomerID]],customers[],2,FALSE)</f>
        <v>Abracadaba Ink</v>
      </c>
      <c r="J79" s="2" t="str">
        <f>VLOOKUP(ORDERS[[#This Row],[CustomerID]],customers[],4,FALSE)</f>
        <v>Salt Lake City</v>
      </c>
      <c r="K79" s="2" t="str">
        <f>VLOOKUP(ORDERS[[#This Row],[ProductID]],Products[],3,FALSE)</f>
        <v>Male</v>
      </c>
      <c r="L79" s="2">
        <f>DAY(ORDERS[[#This Row],[OrderDate]])</f>
        <v>6</v>
      </c>
      <c r="M79" s="2">
        <f>YEAR(ORDERS[[#This Row],[OrderDate]])</f>
        <v>2012</v>
      </c>
    </row>
    <row r="80" spans="1:13" x14ac:dyDescent="0.3">
      <c r="A80">
        <v>79</v>
      </c>
      <c r="B80">
        <v>7</v>
      </c>
      <c r="C80">
        <v>1</v>
      </c>
      <c r="D80" s="1">
        <v>40974</v>
      </c>
      <c r="E80">
        <v>103</v>
      </c>
      <c r="F80">
        <f>VLOOKUP(ORDERS[[#This Row],[ProductID]],Products[],4,FALSE)</f>
        <v>20</v>
      </c>
      <c r="G80">
        <v>0</v>
      </c>
      <c r="H80">
        <f>(ORDERS[[#This Row],[UnitsOrdered]]*ORDERS[[#This Row],[unit price]])-(ORDERS[[#This Row],[UnitsOrdered]]*ORDERS[[#This Row],[unit price]]*ORDERS[[#This Row],[Discount]])</f>
        <v>2060</v>
      </c>
      <c r="I80" t="str">
        <f>VLOOKUP(ORDERS[[#This Row],[CustomerID]],customers[],2,FALSE)</f>
        <v>The Shirt on Your Back</v>
      </c>
      <c r="J80" s="2" t="str">
        <f>VLOOKUP(ORDERS[[#This Row],[CustomerID]],customers[],4,FALSE)</f>
        <v>Bonners Ferry</v>
      </c>
      <c r="K80" s="2" t="str">
        <f>VLOOKUP(ORDERS[[#This Row],[ProductID]],Products[],3,FALSE)</f>
        <v>Both</v>
      </c>
      <c r="L80" s="2">
        <f>DAY(ORDERS[[#This Row],[OrderDate]])</f>
        <v>6</v>
      </c>
      <c r="M80" s="2">
        <f>YEAR(ORDERS[[#This Row],[OrderDate]])</f>
        <v>2012</v>
      </c>
    </row>
    <row r="81" spans="1:13" x14ac:dyDescent="0.3">
      <c r="A81">
        <v>80</v>
      </c>
      <c r="B81">
        <v>2</v>
      </c>
      <c r="C81">
        <v>1</v>
      </c>
      <c r="D81" s="1">
        <v>40975</v>
      </c>
      <c r="E81">
        <v>96</v>
      </c>
      <c r="F81">
        <f>VLOOKUP(ORDERS[[#This Row],[ProductID]],Products[],4,FALSE)</f>
        <v>20</v>
      </c>
      <c r="G81">
        <v>0</v>
      </c>
      <c r="H81">
        <f>(ORDERS[[#This Row],[UnitsOrdered]]*ORDERS[[#This Row],[unit price]])-(ORDERS[[#This Row],[UnitsOrdered]]*ORDERS[[#This Row],[unit price]]*ORDERS[[#This Row],[Discount]])</f>
        <v>1920</v>
      </c>
      <c r="I81" t="str">
        <f>VLOOKUP(ORDERS[[#This Row],[CustomerID]],customers[],2,FALSE)</f>
        <v>A Shirts Life</v>
      </c>
      <c r="J81" s="2" t="str">
        <f>VLOOKUP(ORDERS[[#This Row],[CustomerID]],customers[],4,FALSE)</f>
        <v>Portland</v>
      </c>
      <c r="K81" s="2" t="str">
        <f>VLOOKUP(ORDERS[[#This Row],[ProductID]],Products[],3,FALSE)</f>
        <v>Both</v>
      </c>
      <c r="L81" s="2">
        <f>DAY(ORDERS[[#This Row],[OrderDate]])</f>
        <v>7</v>
      </c>
      <c r="M81" s="2">
        <f>YEAR(ORDERS[[#This Row],[OrderDate]])</f>
        <v>2012</v>
      </c>
    </row>
    <row r="82" spans="1:13" x14ac:dyDescent="0.3">
      <c r="A82">
        <v>81</v>
      </c>
      <c r="B82">
        <v>3</v>
      </c>
      <c r="C82">
        <v>4</v>
      </c>
      <c r="D82" s="1">
        <v>40975</v>
      </c>
      <c r="E82">
        <v>32</v>
      </c>
      <c r="F82">
        <f>VLOOKUP(ORDERS[[#This Row],[ProductID]],Products[],4,FALSE)</f>
        <v>30</v>
      </c>
      <c r="G82">
        <v>0</v>
      </c>
      <c r="H82">
        <f>(ORDERS[[#This Row],[UnitsOrdered]]*ORDERS[[#This Row],[unit price]])-(ORDERS[[#This Row],[UnitsOrdered]]*ORDERS[[#This Row],[unit price]]*ORDERS[[#This Row],[Discount]])</f>
        <v>960</v>
      </c>
      <c r="I82" t="str">
        <f>VLOOKUP(ORDERS[[#This Row],[CustomerID]],customers[],2,FALSE)</f>
        <v>Shirts R Us</v>
      </c>
      <c r="J82" s="2" t="str">
        <f>VLOOKUP(ORDERS[[#This Row],[CustomerID]],customers[],4,FALSE)</f>
        <v>Los Angeles</v>
      </c>
      <c r="K82" s="2" t="str">
        <f>VLOOKUP(ORDERS[[#This Row],[ProductID]],Products[],3,FALSE)</f>
        <v>Both</v>
      </c>
      <c r="L82" s="2">
        <f>DAY(ORDERS[[#This Row],[OrderDate]])</f>
        <v>7</v>
      </c>
      <c r="M82" s="2">
        <f>YEAR(ORDERS[[#This Row],[OrderDate]])</f>
        <v>2012</v>
      </c>
    </row>
    <row r="83" spans="1:13" x14ac:dyDescent="0.3">
      <c r="A83">
        <v>82</v>
      </c>
      <c r="B83">
        <v>2</v>
      </c>
      <c r="C83">
        <v>3</v>
      </c>
      <c r="D83" s="1">
        <v>40976</v>
      </c>
      <c r="E83">
        <v>50</v>
      </c>
      <c r="F83">
        <f>VLOOKUP(ORDERS[[#This Row],[ProductID]],Products[],4,FALSE)</f>
        <v>22</v>
      </c>
      <c r="G83">
        <v>0</v>
      </c>
      <c r="H83">
        <f>(ORDERS[[#This Row],[UnitsOrdered]]*ORDERS[[#This Row],[unit price]])-(ORDERS[[#This Row],[UnitsOrdered]]*ORDERS[[#This Row],[unit price]]*ORDERS[[#This Row],[Discount]])</f>
        <v>1100</v>
      </c>
      <c r="I83" t="str">
        <f>VLOOKUP(ORDERS[[#This Row],[CustomerID]],customers[],2,FALSE)</f>
        <v>A Shirts Life</v>
      </c>
      <c r="J83" s="2" t="str">
        <f>VLOOKUP(ORDERS[[#This Row],[CustomerID]],customers[],4,FALSE)</f>
        <v>Portland</v>
      </c>
      <c r="K83" s="2" t="str">
        <f>VLOOKUP(ORDERS[[#This Row],[ProductID]],Products[],3,FALSE)</f>
        <v>Both</v>
      </c>
      <c r="L83" s="2">
        <f>DAY(ORDERS[[#This Row],[OrderDate]])</f>
        <v>8</v>
      </c>
      <c r="M83" s="2">
        <f>YEAR(ORDERS[[#This Row],[OrderDate]])</f>
        <v>2012</v>
      </c>
    </row>
    <row r="84" spans="1:13" x14ac:dyDescent="0.3">
      <c r="A84">
        <v>83</v>
      </c>
      <c r="B84">
        <v>2</v>
      </c>
      <c r="C84">
        <v>3</v>
      </c>
      <c r="D84" s="1">
        <v>40978</v>
      </c>
      <c r="E84">
        <v>135</v>
      </c>
      <c r="F84">
        <f>VLOOKUP(ORDERS[[#This Row],[ProductID]],Products[],4,FALSE)</f>
        <v>22</v>
      </c>
      <c r="G84">
        <v>0</v>
      </c>
      <c r="H84">
        <f>(ORDERS[[#This Row],[UnitsOrdered]]*ORDERS[[#This Row],[unit price]])-(ORDERS[[#This Row],[UnitsOrdered]]*ORDERS[[#This Row],[unit price]]*ORDERS[[#This Row],[Discount]])</f>
        <v>2970</v>
      </c>
      <c r="I84" t="str">
        <f>VLOOKUP(ORDERS[[#This Row],[CustomerID]],customers[],2,FALSE)</f>
        <v>A Shirts Life</v>
      </c>
      <c r="J84" s="2" t="str">
        <f>VLOOKUP(ORDERS[[#This Row],[CustomerID]],customers[],4,FALSE)</f>
        <v>Portland</v>
      </c>
      <c r="K84" s="2" t="str">
        <f>VLOOKUP(ORDERS[[#This Row],[ProductID]],Products[],3,FALSE)</f>
        <v>Both</v>
      </c>
      <c r="L84" s="2">
        <f>DAY(ORDERS[[#This Row],[OrderDate]])</f>
        <v>10</v>
      </c>
      <c r="M84" s="2">
        <f>YEAR(ORDERS[[#This Row],[OrderDate]])</f>
        <v>2012</v>
      </c>
    </row>
    <row r="85" spans="1:13" x14ac:dyDescent="0.3">
      <c r="A85">
        <v>84</v>
      </c>
      <c r="B85">
        <v>6</v>
      </c>
      <c r="C85">
        <v>3</v>
      </c>
      <c r="D85" s="1">
        <v>40978</v>
      </c>
      <c r="E85">
        <v>69</v>
      </c>
      <c r="F85">
        <f>VLOOKUP(ORDERS[[#This Row],[ProductID]],Products[],4,FALSE)</f>
        <v>22</v>
      </c>
      <c r="G85">
        <v>0</v>
      </c>
      <c r="H85">
        <f>(ORDERS[[#This Row],[UnitsOrdered]]*ORDERS[[#This Row],[unit price]])-(ORDERS[[#This Row],[UnitsOrdered]]*ORDERS[[#This Row],[unit price]]*ORDERS[[#This Row],[Discount]])</f>
        <v>1518</v>
      </c>
      <c r="I85" t="str">
        <f>VLOOKUP(ORDERS[[#This Row],[CustomerID]],customers[],2,FALSE)</f>
        <v>Abracadaba Ink</v>
      </c>
      <c r="J85" s="2" t="str">
        <f>VLOOKUP(ORDERS[[#This Row],[CustomerID]],customers[],4,FALSE)</f>
        <v>Salt Lake City</v>
      </c>
      <c r="K85" s="2" t="str">
        <f>VLOOKUP(ORDERS[[#This Row],[ProductID]],Products[],3,FALSE)</f>
        <v>Both</v>
      </c>
      <c r="L85" s="2">
        <f>DAY(ORDERS[[#This Row],[OrderDate]])</f>
        <v>10</v>
      </c>
      <c r="M85" s="2">
        <f>YEAR(ORDERS[[#This Row],[OrderDate]])</f>
        <v>2012</v>
      </c>
    </row>
    <row r="86" spans="1:13" x14ac:dyDescent="0.3">
      <c r="A86">
        <v>85</v>
      </c>
      <c r="B86">
        <v>1</v>
      </c>
      <c r="C86">
        <v>1</v>
      </c>
      <c r="D86" s="1">
        <v>40980</v>
      </c>
      <c r="E86">
        <v>37</v>
      </c>
      <c r="F86">
        <f>VLOOKUP(ORDERS[[#This Row],[ProductID]],Products[],4,FALSE)</f>
        <v>20</v>
      </c>
      <c r="G86">
        <v>0</v>
      </c>
      <c r="H86">
        <f>(ORDERS[[#This Row],[UnitsOrdered]]*ORDERS[[#This Row],[unit price]])-(ORDERS[[#This Row],[UnitsOrdered]]*ORDERS[[#This Row],[unit price]]*ORDERS[[#This Row],[Discount]])</f>
        <v>740</v>
      </c>
      <c r="I86" t="str">
        <f>VLOOKUP(ORDERS[[#This Row],[CustomerID]],customers[],2,FALSE)</f>
        <v>Threads</v>
      </c>
      <c r="J86" s="2" t="str">
        <f>VLOOKUP(ORDERS[[#This Row],[CustomerID]],customers[],4,FALSE)</f>
        <v>Seattle</v>
      </c>
      <c r="K86" s="2" t="str">
        <f>VLOOKUP(ORDERS[[#This Row],[ProductID]],Products[],3,FALSE)</f>
        <v>Both</v>
      </c>
      <c r="L86" s="2">
        <f>DAY(ORDERS[[#This Row],[OrderDate]])</f>
        <v>12</v>
      </c>
      <c r="M86" s="2">
        <f>YEAR(ORDERS[[#This Row],[OrderDate]])</f>
        <v>2012</v>
      </c>
    </row>
    <row r="87" spans="1:13" x14ac:dyDescent="0.3">
      <c r="A87">
        <v>86</v>
      </c>
      <c r="B87">
        <v>1</v>
      </c>
      <c r="C87">
        <v>5</v>
      </c>
      <c r="D87" s="1">
        <v>40980</v>
      </c>
      <c r="E87">
        <v>28</v>
      </c>
      <c r="F87">
        <f>VLOOKUP(ORDERS[[#This Row],[ProductID]],Products[],4,FALSE)</f>
        <v>16</v>
      </c>
      <c r="G87">
        <v>0</v>
      </c>
      <c r="H87">
        <f>(ORDERS[[#This Row],[UnitsOrdered]]*ORDERS[[#This Row],[unit price]])-(ORDERS[[#This Row],[UnitsOrdered]]*ORDERS[[#This Row],[unit price]]*ORDERS[[#This Row],[Discount]])</f>
        <v>448</v>
      </c>
      <c r="I87" t="str">
        <f>VLOOKUP(ORDERS[[#This Row],[CustomerID]],customers[],2,FALSE)</f>
        <v>Threads</v>
      </c>
      <c r="J87" s="2" t="str">
        <f>VLOOKUP(ORDERS[[#This Row],[CustomerID]],customers[],4,FALSE)</f>
        <v>Seattle</v>
      </c>
      <c r="K87" s="2" t="str">
        <f>VLOOKUP(ORDERS[[#This Row],[ProductID]],Products[],3,FALSE)</f>
        <v>Female</v>
      </c>
      <c r="L87" s="2">
        <f>DAY(ORDERS[[#This Row],[OrderDate]])</f>
        <v>12</v>
      </c>
      <c r="M87" s="2">
        <f>YEAR(ORDERS[[#This Row],[OrderDate]])</f>
        <v>2012</v>
      </c>
    </row>
    <row r="88" spans="1:13" x14ac:dyDescent="0.3">
      <c r="A88">
        <v>87</v>
      </c>
      <c r="B88">
        <v>4</v>
      </c>
      <c r="C88">
        <v>7</v>
      </c>
      <c r="D88" s="1">
        <v>40981</v>
      </c>
      <c r="E88">
        <v>69</v>
      </c>
      <c r="F88">
        <f>VLOOKUP(ORDERS[[#This Row],[ProductID]],Products[],4,FALSE)</f>
        <v>38</v>
      </c>
      <c r="G88">
        <v>0</v>
      </c>
      <c r="H88">
        <f>(ORDERS[[#This Row],[UnitsOrdered]]*ORDERS[[#This Row],[unit price]])-(ORDERS[[#This Row],[UnitsOrdered]]*ORDERS[[#This Row],[unit price]]*ORDERS[[#This Row],[Discount]])</f>
        <v>2622</v>
      </c>
      <c r="I88" t="str">
        <f>VLOOKUP(ORDERS[[#This Row],[CustomerID]],customers[],2,FALSE)</f>
        <v>Tshirt Unlimited</v>
      </c>
      <c r="J88" s="2" t="str">
        <f>VLOOKUP(ORDERS[[#This Row],[CustomerID]],customers[],4,FALSE)</f>
        <v>Phoenix</v>
      </c>
      <c r="K88" s="2" t="str">
        <f>VLOOKUP(ORDERS[[#This Row],[ProductID]],Products[],3,FALSE)</f>
        <v>Female</v>
      </c>
      <c r="L88" s="2">
        <f>DAY(ORDERS[[#This Row],[OrderDate]])</f>
        <v>13</v>
      </c>
      <c r="M88" s="2">
        <f>YEAR(ORDERS[[#This Row],[OrderDate]])</f>
        <v>2012</v>
      </c>
    </row>
    <row r="89" spans="1:13" x14ac:dyDescent="0.3">
      <c r="A89">
        <v>88</v>
      </c>
      <c r="B89">
        <v>5</v>
      </c>
      <c r="C89">
        <v>9</v>
      </c>
      <c r="D89" s="1">
        <v>40981</v>
      </c>
      <c r="E89">
        <v>89</v>
      </c>
      <c r="F89">
        <f>VLOOKUP(ORDERS[[#This Row],[ProductID]],Products[],4,FALSE)</f>
        <v>25</v>
      </c>
      <c r="G89">
        <v>0.10000000100000001</v>
      </c>
      <c r="H89">
        <f>(ORDERS[[#This Row],[UnitsOrdered]]*ORDERS[[#This Row],[unit price]])-(ORDERS[[#This Row],[UnitsOrdered]]*ORDERS[[#This Row],[unit price]]*ORDERS[[#This Row],[Discount]])</f>
        <v>2002.4999977749999</v>
      </c>
      <c r="I89" t="str">
        <f>VLOOKUP(ORDERS[[#This Row],[CustomerID]],customers[],2,FALSE)</f>
        <v>Rags to Riches</v>
      </c>
      <c r="J89" s="2" t="str">
        <f>VLOOKUP(ORDERS[[#This Row],[CustomerID]],customers[],4,FALSE)</f>
        <v>Las Vegas</v>
      </c>
      <c r="K89" s="2" t="str">
        <f>VLOOKUP(ORDERS[[#This Row],[ProductID]],Products[],3,FALSE)</f>
        <v>Male</v>
      </c>
      <c r="L89" s="2">
        <f>DAY(ORDERS[[#This Row],[OrderDate]])</f>
        <v>13</v>
      </c>
      <c r="M89" s="2">
        <f>YEAR(ORDERS[[#This Row],[OrderDate]])</f>
        <v>2012</v>
      </c>
    </row>
    <row r="90" spans="1:13" x14ac:dyDescent="0.3">
      <c r="A90">
        <v>89</v>
      </c>
      <c r="B90">
        <v>1</v>
      </c>
      <c r="C90">
        <v>1</v>
      </c>
      <c r="D90" s="1">
        <v>40982</v>
      </c>
      <c r="E90">
        <v>130</v>
      </c>
      <c r="F90">
        <f>VLOOKUP(ORDERS[[#This Row],[ProductID]],Products[],4,FALSE)</f>
        <v>20</v>
      </c>
      <c r="G90">
        <v>5.0000001000000002E-2</v>
      </c>
      <c r="H90">
        <f>(ORDERS[[#This Row],[UnitsOrdered]]*ORDERS[[#This Row],[unit price]])-(ORDERS[[#This Row],[UnitsOrdered]]*ORDERS[[#This Row],[unit price]]*ORDERS[[#This Row],[Discount]])</f>
        <v>2469.9999974000002</v>
      </c>
      <c r="I90" t="str">
        <f>VLOOKUP(ORDERS[[#This Row],[CustomerID]],customers[],2,FALSE)</f>
        <v>Threads</v>
      </c>
      <c r="J90" s="2" t="str">
        <f>VLOOKUP(ORDERS[[#This Row],[CustomerID]],customers[],4,FALSE)</f>
        <v>Seattle</v>
      </c>
      <c r="K90" s="2" t="str">
        <f>VLOOKUP(ORDERS[[#This Row],[ProductID]],Products[],3,FALSE)</f>
        <v>Both</v>
      </c>
      <c r="L90" s="2">
        <f>DAY(ORDERS[[#This Row],[OrderDate]])</f>
        <v>14</v>
      </c>
      <c r="M90" s="2">
        <f>YEAR(ORDERS[[#This Row],[OrderDate]])</f>
        <v>2012</v>
      </c>
    </row>
    <row r="91" spans="1:13" x14ac:dyDescent="0.3">
      <c r="A91">
        <v>90</v>
      </c>
      <c r="B91">
        <v>2</v>
      </c>
      <c r="C91">
        <v>5</v>
      </c>
      <c r="D91" s="1">
        <v>40982</v>
      </c>
      <c r="E91">
        <v>76</v>
      </c>
      <c r="F91">
        <f>VLOOKUP(ORDERS[[#This Row],[ProductID]],Products[],4,FALSE)</f>
        <v>16</v>
      </c>
      <c r="G91">
        <v>0</v>
      </c>
      <c r="H91">
        <f>(ORDERS[[#This Row],[UnitsOrdered]]*ORDERS[[#This Row],[unit price]])-(ORDERS[[#This Row],[UnitsOrdered]]*ORDERS[[#This Row],[unit price]]*ORDERS[[#This Row],[Discount]])</f>
        <v>1216</v>
      </c>
      <c r="I91" t="str">
        <f>VLOOKUP(ORDERS[[#This Row],[CustomerID]],customers[],2,FALSE)</f>
        <v>A Shirts Life</v>
      </c>
      <c r="J91" s="2" t="str">
        <f>VLOOKUP(ORDERS[[#This Row],[CustomerID]],customers[],4,FALSE)</f>
        <v>Portland</v>
      </c>
      <c r="K91" s="2" t="str">
        <f>VLOOKUP(ORDERS[[#This Row],[ProductID]],Products[],3,FALSE)</f>
        <v>Female</v>
      </c>
      <c r="L91" s="2">
        <f>DAY(ORDERS[[#This Row],[OrderDate]])</f>
        <v>14</v>
      </c>
      <c r="M91" s="2">
        <f>YEAR(ORDERS[[#This Row],[OrderDate]])</f>
        <v>2012</v>
      </c>
    </row>
    <row r="92" spans="1:13" x14ac:dyDescent="0.3">
      <c r="A92">
        <v>91</v>
      </c>
      <c r="B92">
        <v>2</v>
      </c>
      <c r="C92">
        <v>7</v>
      </c>
      <c r="D92" s="1">
        <v>40983</v>
      </c>
      <c r="E92">
        <v>121</v>
      </c>
      <c r="F92">
        <f>VLOOKUP(ORDERS[[#This Row],[ProductID]],Products[],4,FALSE)</f>
        <v>38</v>
      </c>
      <c r="G92">
        <v>0.10000000100000001</v>
      </c>
      <c r="H92">
        <f>(ORDERS[[#This Row],[UnitsOrdered]]*ORDERS[[#This Row],[unit price]])-(ORDERS[[#This Row],[UnitsOrdered]]*ORDERS[[#This Row],[unit price]]*ORDERS[[#This Row],[Discount]])</f>
        <v>4138.1999954020002</v>
      </c>
      <c r="I92" t="str">
        <f>VLOOKUP(ORDERS[[#This Row],[CustomerID]],customers[],2,FALSE)</f>
        <v>A Shirts Life</v>
      </c>
      <c r="J92" s="2" t="str">
        <f>VLOOKUP(ORDERS[[#This Row],[CustomerID]],customers[],4,FALSE)</f>
        <v>Portland</v>
      </c>
      <c r="K92" s="2" t="str">
        <f>VLOOKUP(ORDERS[[#This Row],[ProductID]],Products[],3,FALSE)</f>
        <v>Female</v>
      </c>
      <c r="L92" s="2">
        <f>DAY(ORDERS[[#This Row],[OrderDate]])</f>
        <v>15</v>
      </c>
      <c r="M92" s="2">
        <f>YEAR(ORDERS[[#This Row],[OrderDate]])</f>
        <v>2012</v>
      </c>
    </row>
    <row r="93" spans="1:13" x14ac:dyDescent="0.3">
      <c r="A93">
        <v>92</v>
      </c>
      <c r="B93">
        <v>6</v>
      </c>
      <c r="C93">
        <v>4</v>
      </c>
      <c r="D93" s="1">
        <v>40983</v>
      </c>
      <c r="E93">
        <v>45</v>
      </c>
      <c r="F93">
        <f>VLOOKUP(ORDERS[[#This Row],[ProductID]],Products[],4,FALSE)</f>
        <v>30</v>
      </c>
      <c r="G93">
        <v>5.0000001000000002E-2</v>
      </c>
      <c r="H93">
        <f>(ORDERS[[#This Row],[UnitsOrdered]]*ORDERS[[#This Row],[unit price]])-(ORDERS[[#This Row],[UnitsOrdered]]*ORDERS[[#This Row],[unit price]]*ORDERS[[#This Row],[Discount]])</f>
        <v>1282.49999865</v>
      </c>
      <c r="I93" t="str">
        <f>VLOOKUP(ORDERS[[#This Row],[CustomerID]],customers[],2,FALSE)</f>
        <v>Abracadaba Ink</v>
      </c>
      <c r="J93" s="2" t="str">
        <f>VLOOKUP(ORDERS[[#This Row],[CustomerID]],customers[],4,FALSE)</f>
        <v>Salt Lake City</v>
      </c>
      <c r="K93" s="2" t="str">
        <f>VLOOKUP(ORDERS[[#This Row],[ProductID]],Products[],3,FALSE)</f>
        <v>Both</v>
      </c>
      <c r="L93" s="2">
        <f>DAY(ORDERS[[#This Row],[OrderDate]])</f>
        <v>15</v>
      </c>
      <c r="M93" s="2">
        <f>YEAR(ORDERS[[#This Row],[OrderDate]])</f>
        <v>2012</v>
      </c>
    </row>
    <row r="94" spans="1:13" x14ac:dyDescent="0.3">
      <c r="A94">
        <v>93</v>
      </c>
      <c r="B94">
        <v>7</v>
      </c>
      <c r="C94">
        <v>9</v>
      </c>
      <c r="D94" s="1">
        <v>40983</v>
      </c>
      <c r="E94">
        <v>57</v>
      </c>
      <c r="F94">
        <f>VLOOKUP(ORDERS[[#This Row],[ProductID]],Products[],4,FALSE)</f>
        <v>25</v>
      </c>
      <c r="G94">
        <v>0</v>
      </c>
      <c r="H94">
        <f>(ORDERS[[#This Row],[UnitsOrdered]]*ORDERS[[#This Row],[unit price]])-(ORDERS[[#This Row],[UnitsOrdered]]*ORDERS[[#This Row],[unit price]]*ORDERS[[#This Row],[Discount]])</f>
        <v>1425</v>
      </c>
      <c r="I94" t="str">
        <f>VLOOKUP(ORDERS[[#This Row],[CustomerID]],customers[],2,FALSE)</f>
        <v>The Shirt on Your Back</v>
      </c>
      <c r="J94" s="2" t="str">
        <f>VLOOKUP(ORDERS[[#This Row],[CustomerID]],customers[],4,FALSE)</f>
        <v>Bonners Ferry</v>
      </c>
      <c r="K94" s="2" t="str">
        <f>VLOOKUP(ORDERS[[#This Row],[ProductID]],Products[],3,FALSE)</f>
        <v>Male</v>
      </c>
      <c r="L94" s="2">
        <f>DAY(ORDERS[[#This Row],[OrderDate]])</f>
        <v>15</v>
      </c>
      <c r="M94" s="2">
        <f>YEAR(ORDERS[[#This Row],[OrderDate]])</f>
        <v>2012</v>
      </c>
    </row>
    <row r="95" spans="1:13" x14ac:dyDescent="0.3">
      <c r="A95">
        <v>94</v>
      </c>
      <c r="B95">
        <v>5</v>
      </c>
      <c r="C95">
        <v>10</v>
      </c>
      <c r="D95" s="1">
        <v>40984</v>
      </c>
      <c r="E95">
        <v>35</v>
      </c>
      <c r="F95">
        <f>VLOOKUP(ORDERS[[#This Row],[ProductID]],Products[],4,FALSE)</f>
        <v>35</v>
      </c>
      <c r="G95">
        <v>0</v>
      </c>
      <c r="H95">
        <f>(ORDERS[[#This Row],[UnitsOrdered]]*ORDERS[[#This Row],[unit price]])-(ORDERS[[#This Row],[UnitsOrdered]]*ORDERS[[#This Row],[unit price]]*ORDERS[[#This Row],[Discount]])</f>
        <v>1225</v>
      </c>
      <c r="I95" t="str">
        <f>VLOOKUP(ORDERS[[#This Row],[CustomerID]],customers[],2,FALSE)</f>
        <v>Rags to Riches</v>
      </c>
      <c r="J95" s="2" t="str">
        <f>VLOOKUP(ORDERS[[#This Row],[CustomerID]],customers[],4,FALSE)</f>
        <v>Las Vegas</v>
      </c>
      <c r="K95" s="2" t="str">
        <f>VLOOKUP(ORDERS[[#This Row],[ProductID]],Products[],3,FALSE)</f>
        <v>Male</v>
      </c>
      <c r="L95" s="2">
        <f>DAY(ORDERS[[#This Row],[OrderDate]])</f>
        <v>16</v>
      </c>
      <c r="M95" s="2">
        <f>YEAR(ORDERS[[#This Row],[OrderDate]])</f>
        <v>2012</v>
      </c>
    </row>
    <row r="96" spans="1:13" x14ac:dyDescent="0.3">
      <c r="A96">
        <v>95</v>
      </c>
      <c r="B96">
        <v>3</v>
      </c>
      <c r="C96">
        <v>8</v>
      </c>
      <c r="D96" s="1">
        <v>40985</v>
      </c>
      <c r="E96">
        <v>25</v>
      </c>
      <c r="F96">
        <f>VLOOKUP(ORDERS[[#This Row],[ProductID]],Products[],4,FALSE)</f>
        <v>27</v>
      </c>
      <c r="G96">
        <v>0</v>
      </c>
      <c r="H96">
        <f>(ORDERS[[#This Row],[UnitsOrdered]]*ORDERS[[#This Row],[unit price]])-(ORDERS[[#This Row],[UnitsOrdered]]*ORDERS[[#This Row],[unit price]]*ORDERS[[#This Row],[Discount]])</f>
        <v>675</v>
      </c>
      <c r="I96" t="str">
        <f>VLOOKUP(ORDERS[[#This Row],[CustomerID]],customers[],2,FALSE)</f>
        <v>Shirts R Us</v>
      </c>
      <c r="J96" s="2" t="str">
        <f>VLOOKUP(ORDERS[[#This Row],[CustomerID]],customers[],4,FALSE)</f>
        <v>Los Angeles</v>
      </c>
      <c r="K96" s="2" t="str">
        <f>VLOOKUP(ORDERS[[#This Row],[ProductID]],Products[],3,FALSE)</f>
        <v>Female</v>
      </c>
      <c r="L96" s="2">
        <f>DAY(ORDERS[[#This Row],[OrderDate]])</f>
        <v>17</v>
      </c>
      <c r="M96" s="2">
        <f>YEAR(ORDERS[[#This Row],[OrderDate]])</f>
        <v>2012</v>
      </c>
    </row>
    <row r="97" spans="1:13" x14ac:dyDescent="0.3">
      <c r="A97">
        <v>96</v>
      </c>
      <c r="B97">
        <v>4</v>
      </c>
      <c r="C97">
        <v>6</v>
      </c>
      <c r="D97" s="1">
        <v>40986</v>
      </c>
      <c r="E97">
        <v>117</v>
      </c>
      <c r="F97">
        <f>VLOOKUP(ORDERS[[#This Row],[ProductID]],Products[],4,FALSE)</f>
        <v>28</v>
      </c>
      <c r="G97">
        <v>5.0000001000000002E-2</v>
      </c>
      <c r="H97">
        <f>(ORDERS[[#This Row],[UnitsOrdered]]*ORDERS[[#This Row],[unit price]])-(ORDERS[[#This Row],[UnitsOrdered]]*ORDERS[[#This Row],[unit price]]*ORDERS[[#This Row],[Discount]])</f>
        <v>3112.1999967239999</v>
      </c>
      <c r="I97" t="str">
        <f>VLOOKUP(ORDERS[[#This Row],[CustomerID]],customers[],2,FALSE)</f>
        <v>Tshirt Unlimited</v>
      </c>
      <c r="J97" s="2" t="str">
        <f>VLOOKUP(ORDERS[[#This Row],[CustomerID]],customers[],4,FALSE)</f>
        <v>Phoenix</v>
      </c>
      <c r="K97" s="2" t="str">
        <f>VLOOKUP(ORDERS[[#This Row],[ProductID]],Products[],3,FALSE)</f>
        <v>Female</v>
      </c>
      <c r="L97" s="2">
        <f>DAY(ORDERS[[#This Row],[OrderDate]])</f>
        <v>18</v>
      </c>
      <c r="M97" s="2">
        <f>YEAR(ORDERS[[#This Row],[OrderDate]])</f>
        <v>2012</v>
      </c>
    </row>
    <row r="98" spans="1:13" x14ac:dyDescent="0.3">
      <c r="A98">
        <v>97</v>
      </c>
      <c r="B98">
        <v>2</v>
      </c>
      <c r="C98">
        <v>2</v>
      </c>
      <c r="D98" s="1">
        <v>40987</v>
      </c>
      <c r="E98">
        <v>145</v>
      </c>
      <c r="F98">
        <f>VLOOKUP(ORDERS[[#This Row],[ProductID]],Products[],4,FALSE)</f>
        <v>30</v>
      </c>
      <c r="G98">
        <v>0</v>
      </c>
      <c r="H98">
        <f>(ORDERS[[#This Row],[UnitsOrdered]]*ORDERS[[#This Row],[unit price]])-(ORDERS[[#This Row],[UnitsOrdered]]*ORDERS[[#This Row],[unit price]]*ORDERS[[#This Row],[Discount]])</f>
        <v>4350</v>
      </c>
      <c r="I98" t="str">
        <f>VLOOKUP(ORDERS[[#This Row],[CustomerID]],customers[],2,FALSE)</f>
        <v>A Shirts Life</v>
      </c>
      <c r="J98" s="2" t="str">
        <f>VLOOKUP(ORDERS[[#This Row],[CustomerID]],customers[],4,FALSE)</f>
        <v>Portland</v>
      </c>
      <c r="K98" s="2" t="str">
        <f>VLOOKUP(ORDERS[[#This Row],[ProductID]],Products[],3,FALSE)</f>
        <v>Both</v>
      </c>
      <c r="L98" s="2">
        <f>DAY(ORDERS[[#This Row],[OrderDate]])</f>
        <v>19</v>
      </c>
      <c r="M98" s="2">
        <f>YEAR(ORDERS[[#This Row],[OrderDate]])</f>
        <v>2012</v>
      </c>
    </row>
    <row r="99" spans="1:13" x14ac:dyDescent="0.3">
      <c r="A99">
        <v>98</v>
      </c>
      <c r="B99">
        <v>5</v>
      </c>
      <c r="C99">
        <v>6</v>
      </c>
      <c r="D99" s="1">
        <v>40987</v>
      </c>
      <c r="E99">
        <v>129</v>
      </c>
      <c r="F99">
        <f>VLOOKUP(ORDERS[[#This Row],[ProductID]],Products[],4,FALSE)</f>
        <v>28</v>
      </c>
      <c r="G99">
        <v>0.10000000100000001</v>
      </c>
      <c r="H99">
        <f>(ORDERS[[#This Row],[UnitsOrdered]]*ORDERS[[#This Row],[unit price]])-(ORDERS[[#This Row],[UnitsOrdered]]*ORDERS[[#This Row],[unit price]]*ORDERS[[#This Row],[Discount]])</f>
        <v>3250.7999963880002</v>
      </c>
      <c r="I99" t="str">
        <f>VLOOKUP(ORDERS[[#This Row],[CustomerID]],customers[],2,FALSE)</f>
        <v>Rags to Riches</v>
      </c>
      <c r="J99" s="2" t="str">
        <f>VLOOKUP(ORDERS[[#This Row],[CustomerID]],customers[],4,FALSE)</f>
        <v>Las Vegas</v>
      </c>
      <c r="K99" s="2" t="str">
        <f>VLOOKUP(ORDERS[[#This Row],[ProductID]],Products[],3,FALSE)</f>
        <v>Female</v>
      </c>
      <c r="L99" s="2">
        <f>DAY(ORDERS[[#This Row],[OrderDate]])</f>
        <v>19</v>
      </c>
      <c r="M99" s="2">
        <f>YEAR(ORDERS[[#This Row],[OrderDate]])</f>
        <v>2012</v>
      </c>
    </row>
    <row r="100" spans="1:13" x14ac:dyDescent="0.3">
      <c r="A100">
        <v>99</v>
      </c>
      <c r="B100">
        <v>3</v>
      </c>
      <c r="C100">
        <v>8</v>
      </c>
      <c r="D100" s="1">
        <v>40989</v>
      </c>
      <c r="E100">
        <v>42</v>
      </c>
      <c r="F100">
        <f>VLOOKUP(ORDERS[[#This Row],[ProductID]],Products[],4,FALSE)</f>
        <v>27</v>
      </c>
      <c r="G100">
        <v>0</v>
      </c>
      <c r="H100">
        <f>(ORDERS[[#This Row],[UnitsOrdered]]*ORDERS[[#This Row],[unit price]])-(ORDERS[[#This Row],[UnitsOrdered]]*ORDERS[[#This Row],[unit price]]*ORDERS[[#This Row],[Discount]])</f>
        <v>1134</v>
      </c>
      <c r="I100" t="str">
        <f>VLOOKUP(ORDERS[[#This Row],[CustomerID]],customers[],2,FALSE)</f>
        <v>Shirts R Us</v>
      </c>
      <c r="J100" s="2" t="str">
        <f>VLOOKUP(ORDERS[[#This Row],[CustomerID]],customers[],4,FALSE)</f>
        <v>Los Angeles</v>
      </c>
      <c r="K100" s="2" t="str">
        <f>VLOOKUP(ORDERS[[#This Row],[ProductID]],Products[],3,FALSE)</f>
        <v>Female</v>
      </c>
      <c r="L100" s="2">
        <f>DAY(ORDERS[[#This Row],[OrderDate]])</f>
        <v>21</v>
      </c>
      <c r="M100" s="2">
        <f>YEAR(ORDERS[[#This Row],[OrderDate]])</f>
        <v>2012</v>
      </c>
    </row>
    <row r="101" spans="1:13" x14ac:dyDescent="0.3">
      <c r="A101">
        <v>100</v>
      </c>
      <c r="B101">
        <v>3</v>
      </c>
      <c r="C101">
        <v>10</v>
      </c>
      <c r="D101" s="1">
        <v>40989</v>
      </c>
      <c r="E101">
        <v>149</v>
      </c>
      <c r="F101">
        <f>VLOOKUP(ORDERS[[#This Row],[ProductID]],Products[],4,FALSE)</f>
        <v>35</v>
      </c>
      <c r="G101">
        <v>0</v>
      </c>
      <c r="H101">
        <f>(ORDERS[[#This Row],[UnitsOrdered]]*ORDERS[[#This Row],[unit price]])-(ORDERS[[#This Row],[UnitsOrdered]]*ORDERS[[#This Row],[unit price]]*ORDERS[[#This Row],[Discount]])</f>
        <v>5215</v>
      </c>
      <c r="I101" t="str">
        <f>VLOOKUP(ORDERS[[#This Row],[CustomerID]],customers[],2,FALSE)</f>
        <v>Shirts R Us</v>
      </c>
      <c r="J101" s="2" t="str">
        <f>VLOOKUP(ORDERS[[#This Row],[CustomerID]],customers[],4,FALSE)</f>
        <v>Los Angeles</v>
      </c>
      <c r="K101" s="2" t="str">
        <f>VLOOKUP(ORDERS[[#This Row],[ProductID]],Products[],3,FALSE)</f>
        <v>Male</v>
      </c>
      <c r="L101" s="2">
        <f>DAY(ORDERS[[#This Row],[OrderDate]])</f>
        <v>21</v>
      </c>
      <c r="M101" s="2">
        <f>YEAR(ORDERS[[#This Row],[OrderDate]])</f>
        <v>2012</v>
      </c>
    </row>
    <row r="102" spans="1:13" x14ac:dyDescent="0.3">
      <c r="A102">
        <v>101</v>
      </c>
      <c r="B102">
        <v>6</v>
      </c>
      <c r="C102">
        <v>9</v>
      </c>
      <c r="D102" s="1">
        <v>40989</v>
      </c>
      <c r="E102">
        <v>102</v>
      </c>
      <c r="F102">
        <f>VLOOKUP(ORDERS[[#This Row],[ProductID]],Products[],4,FALSE)</f>
        <v>25</v>
      </c>
      <c r="G102">
        <v>0</v>
      </c>
      <c r="H102">
        <f>(ORDERS[[#This Row],[UnitsOrdered]]*ORDERS[[#This Row],[unit price]])-(ORDERS[[#This Row],[UnitsOrdered]]*ORDERS[[#This Row],[unit price]]*ORDERS[[#This Row],[Discount]])</f>
        <v>2550</v>
      </c>
      <c r="I102" t="str">
        <f>VLOOKUP(ORDERS[[#This Row],[CustomerID]],customers[],2,FALSE)</f>
        <v>Abracadaba Ink</v>
      </c>
      <c r="J102" s="2" t="str">
        <f>VLOOKUP(ORDERS[[#This Row],[CustomerID]],customers[],4,FALSE)</f>
        <v>Salt Lake City</v>
      </c>
      <c r="K102" s="2" t="str">
        <f>VLOOKUP(ORDERS[[#This Row],[ProductID]],Products[],3,FALSE)</f>
        <v>Male</v>
      </c>
      <c r="L102" s="2">
        <f>DAY(ORDERS[[#This Row],[OrderDate]])</f>
        <v>21</v>
      </c>
      <c r="M102" s="2">
        <f>YEAR(ORDERS[[#This Row],[OrderDate]])</f>
        <v>2012</v>
      </c>
    </row>
    <row r="103" spans="1:13" x14ac:dyDescent="0.3">
      <c r="A103">
        <v>102</v>
      </c>
      <c r="B103">
        <v>1</v>
      </c>
      <c r="C103">
        <v>1</v>
      </c>
      <c r="D103" s="1">
        <v>40990</v>
      </c>
      <c r="E103">
        <v>44</v>
      </c>
      <c r="F103">
        <f>VLOOKUP(ORDERS[[#This Row],[ProductID]],Products[],4,FALSE)</f>
        <v>20</v>
      </c>
      <c r="G103">
        <v>0</v>
      </c>
      <c r="H103">
        <f>(ORDERS[[#This Row],[UnitsOrdered]]*ORDERS[[#This Row],[unit price]])-(ORDERS[[#This Row],[UnitsOrdered]]*ORDERS[[#This Row],[unit price]]*ORDERS[[#This Row],[Discount]])</f>
        <v>880</v>
      </c>
      <c r="I103" t="str">
        <f>VLOOKUP(ORDERS[[#This Row],[CustomerID]],customers[],2,FALSE)</f>
        <v>Threads</v>
      </c>
      <c r="J103" s="2" t="str">
        <f>VLOOKUP(ORDERS[[#This Row],[CustomerID]],customers[],4,FALSE)</f>
        <v>Seattle</v>
      </c>
      <c r="K103" s="2" t="str">
        <f>VLOOKUP(ORDERS[[#This Row],[ProductID]],Products[],3,FALSE)</f>
        <v>Both</v>
      </c>
      <c r="L103" s="2">
        <f>DAY(ORDERS[[#This Row],[OrderDate]])</f>
        <v>22</v>
      </c>
      <c r="M103" s="2">
        <f>YEAR(ORDERS[[#This Row],[OrderDate]])</f>
        <v>2012</v>
      </c>
    </row>
    <row r="104" spans="1:13" x14ac:dyDescent="0.3">
      <c r="A104">
        <v>103</v>
      </c>
      <c r="B104">
        <v>1</v>
      </c>
      <c r="C104">
        <v>10</v>
      </c>
      <c r="D104" s="1">
        <v>40990</v>
      </c>
      <c r="E104">
        <v>112</v>
      </c>
      <c r="F104">
        <f>VLOOKUP(ORDERS[[#This Row],[ProductID]],Products[],4,FALSE)</f>
        <v>35</v>
      </c>
      <c r="G104">
        <v>0</v>
      </c>
      <c r="H104">
        <f>(ORDERS[[#This Row],[UnitsOrdered]]*ORDERS[[#This Row],[unit price]])-(ORDERS[[#This Row],[UnitsOrdered]]*ORDERS[[#This Row],[unit price]]*ORDERS[[#This Row],[Discount]])</f>
        <v>3920</v>
      </c>
      <c r="I104" t="str">
        <f>VLOOKUP(ORDERS[[#This Row],[CustomerID]],customers[],2,FALSE)</f>
        <v>Threads</v>
      </c>
      <c r="J104" s="2" t="str">
        <f>VLOOKUP(ORDERS[[#This Row],[CustomerID]],customers[],4,FALSE)</f>
        <v>Seattle</v>
      </c>
      <c r="K104" s="2" t="str">
        <f>VLOOKUP(ORDERS[[#This Row],[ProductID]],Products[],3,FALSE)</f>
        <v>Male</v>
      </c>
      <c r="L104" s="2">
        <f>DAY(ORDERS[[#This Row],[OrderDate]])</f>
        <v>22</v>
      </c>
      <c r="M104" s="2">
        <f>YEAR(ORDERS[[#This Row],[OrderDate]])</f>
        <v>2012</v>
      </c>
    </row>
    <row r="105" spans="1:13" x14ac:dyDescent="0.3">
      <c r="A105">
        <v>104</v>
      </c>
      <c r="B105">
        <v>7</v>
      </c>
      <c r="C105">
        <v>5</v>
      </c>
      <c r="D105" s="1">
        <v>40990</v>
      </c>
      <c r="E105">
        <v>35</v>
      </c>
      <c r="F105">
        <f>VLOOKUP(ORDERS[[#This Row],[ProductID]],Products[],4,FALSE)</f>
        <v>16</v>
      </c>
      <c r="G105">
        <v>0</v>
      </c>
      <c r="H105">
        <f>(ORDERS[[#This Row],[UnitsOrdered]]*ORDERS[[#This Row],[unit price]])-(ORDERS[[#This Row],[UnitsOrdered]]*ORDERS[[#This Row],[unit price]]*ORDERS[[#This Row],[Discount]])</f>
        <v>560</v>
      </c>
      <c r="I105" t="str">
        <f>VLOOKUP(ORDERS[[#This Row],[CustomerID]],customers[],2,FALSE)</f>
        <v>The Shirt on Your Back</v>
      </c>
      <c r="J105" s="2" t="str">
        <f>VLOOKUP(ORDERS[[#This Row],[CustomerID]],customers[],4,FALSE)</f>
        <v>Bonners Ferry</v>
      </c>
      <c r="K105" s="2" t="str">
        <f>VLOOKUP(ORDERS[[#This Row],[ProductID]],Products[],3,FALSE)</f>
        <v>Female</v>
      </c>
      <c r="L105" s="2">
        <f>DAY(ORDERS[[#This Row],[OrderDate]])</f>
        <v>22</v>
      </c>
      <c r="M105" s="2">
        <f>YEAR(ORDERS[[#This Row],[OrderDate]])</f>
        <v>2012</v>
      </c>
    </row>
    <row r="106" spans="1:13" x14ac:dyDescent="0.3">
      <c r="A106">
        <v>105</v>
      </c>
      <c r="B106">
        <v>3</v>
      </c>
      <c r="C106">
        <v>1</v>
      </c>
      <c r="D106" s="1">
        <v>40991</v>
      </c>
      <c r="E106">
        <v>124</v>
      </c>
      <c r="F106">
        <f>VLOOKUP(ORDERS[[#This Row],[ProductID]],Products[],4,FALSE)</f>
        <v>20</v>
      </c>
      <c r="G106">
        <v>0</v>
      </c>
      <c r="H106">
        <f>(ORDERS[[#This Row],[UnitsOrdered]]*ORDERS[[#This Row],[unit price]])-(ORDERS[[#This Row],[UnitsOrdered]]*ORDERS[[#This Row],[unit price]]*ORDERS[[#This Row],[Discount]])</f>
        <v>2480</v>
      </c>
      <c r="I106" t="str">
        <f>VLOOKUP(ORDERS[[#This Row],[CustomerID]],customers[],2,FALSE)</f>
        <v>Shirts R Us</v>
      </c>
      <c r="J106" s="2" t="str">
        <f>VLOOKUP(ORDERS[[#This Row],[CustomerID]],customers[],4,FALSE)</f>
        <v>Los Angeles</v>
      </c>
      <c r="K106" s="2" t="str">
        <f>VLOOKUP(ORDERS[[#This Row],[ProductID]],Products[],3,FALSE)</f>
        <v>Both</v>
      </c>
      <c r="L106" s="2">
        <f>DAY(ORDERS[[#This Row],[OrderDate]])</f>
        <v>23</v>
      </c>
      <c r="M106" s="2">
        <f>YEAR(ORDERS[[#This Row],[OrderDate]])</f>
        <v>2012</v>
      </c>
    </row>
    <row r="107" spans="1:13" x14ac:dyDescent="0.3">
      <c r="A107">
        <v>106</v>
      </c>
      <c r="B107">
        <v>7</v>
      </c>
      <c r="C107">
        <v>6</v>
      </c>
      <c r="D107" s="1">
        <v>40991</v>
      </c>
      <c r="E107">
        <v>105</v>
      </c>
      <c r="F107">
        <f>VLOOKUP(ORDERS[[#This Row],[ProductID]],Products[],4,FALSE)</f>
        <v>28</v>
      </c>
      <c r="G107">
        <v>0</v>
      </c>
      <c r="H107">
        <f>(ORDERS[[#This Row],[UnitsOrdered]]*ORDERS[[#This Row],[unit price]])-(ORDERS[[#This Row],[UnitsOrdered]]*ORDERS[[#This Row],[unit price]]*ORDERS[[#This Row],[Discount]])</f>
        <v>2940</v>
      </c>
      <c r="I107" t="str">
        <f>VLOOKUP(ORDERS[[#This Row],[CustomerID]],customers[],2,FALSE)</f>
        <v>The Shirt on Your Back</v>
      </c>
      <c r="J107" s="2" t="str">
        <f>VLOOKUP(ORDERS[[#This Row],[CustomerID]],customers[],4,FALSE)</f>
        <v>Bonners Ferry</v>
      </c>
      <c r="K107" s="2" t="str">
        <f>VLOOKUP(ORDERS[[#This Row],[ProductID]],Products[],3,FALSE)</f>
        <v>Female</v>
      </c>
      <c r="L107" s="2">
        <f>DAY(ORDERS[[#This Row],[OrderDate]])</f>
        <v>23</v>
      </c>
      <c r="M107" s="2">
        <f>YEAR(ORDERS[[#This Row],[OrderDate]])</f>
        <v>2012</v>
      </c>
    </row>
    <row r="108" spans="1:13" x14ac:dyDescent="0.3">
      <c r="A108">
        <v>107</v>
      </c>
      <c r="B108">
        <v>6</v>
      </c>
      <c r="C108">
        <v>7</v>
      </c>
      <c r="D108" s="1">
        <v>40993</v>
      </c>
      <c r="E108">
        <v>95</v>
      </c>
      <c r="F108">
        <f>VLOOKUP(ORDERS[[#This Row],[ProductID]],Products[],4,FALSE)</f>
        <v>38</v>
      </c>
      <c r="G108">
        <v>0</v>
      </c>
      <c r="H108">
        <f>(ORDERS[[#This Row],[UnitsOrdered]]*ORDERS[[#This Row],[unit price]])-(ORDERS[[#This Row],[UnitsOrdered]]*ORDERS[[#This Row],[unit price]]*ORDERS[[#This Row],[Discount]])</f>
        <v>3610</v>
      </c>
      <c r="I108" t="str">
        <f>VLOOKUP(ORDERS[[#This Row],[CustomerID]],customers[],2,FALSE)</f>
        <v>Abracadaba Ink</v>
      </c>
      <c r="J108" s="2" t="str">
        <f>VLOOKUP(ORDERS[[#This Row],[CustomerID]],customers[],4,FALSE)</f>
        <v>Salt Lake City</v>
      </c>
      <c r="K108" s="2" t="str">
        <f>VLOOKUP(ORDERS[[#This Row],[ProductID]],Products[],3,FALSE)</f>
        <v>Female</v>
      </c>
      <c r="L108" s="2">
        <f>DAY(ORDERS[[#This Row],[OrderDate]])</f>
        <v>25</v>
      </c>
      <c r="M108" s="2">
        <f>YEAR(ORDERS[[#This Row],[OrderDate]])</f>
        <v>2012</v>
      </c>
    </row>
    <row r="109" spans="1:13" x14ac:dyDescent="0.3">
      <c r="A109">
        <v>108</v>
      </c>
      <c r="B109">
        <v>1</v>
      </c>
      <c r="C109">
        <v>3</v>
      </c>
      <c r="D109" s="1">
        <v>40994</v>
      </c>
      <c r="E109">
        <v>70</v>
      </c>
      <c r="F109">
        <f>VLOOKUP(ORDERS[[#This Row],[ProductID]],Products[],4,FALSE)</f>
        <v>22</v>
      </c>
      <c r="G109">
        <v>0</v>
      </c>
      <c r="H109">
        <f>(ORDERS[[#This Row],[UnitsOrdered]]*ORDERS[[#This Row],[unit price]])-(ORDERS[[#This Row],[UnitsOrdered]]*ORDERS[[#This Row],[unit price]]*ORDERS[[#This Row],[Discount]])</f>
        <v>1540</v>
      </c>
      <c r="I109" t="str">
        <f>VLOOKUP(ORDERS[[#This Row],[CustomerID]],customers[],2,FALSE)</f>
        <v>Threads</v>
      </c>
      <c r="J109" s="2" t="str">
        <f>VLOOKUP(ORDERS[[#This Row],[CustomerID]],customers[],4,FALSE)</f>
        <v>Seattle</v>
      </c>
      <c r="K109" s="2" t="str">
        <f>VLOOKUP(ORDERS[[#This Row],[ProductID]],Products[],3,FALSE)</f>
        <v>Both</v>
      </c>
      <c r="L109" s="2">
        <f>DAY(ORDERS[[#This Row],[OrderDate]])</f>
        <v>26</v>
      </c>
      <c r="M109" s="2">
        <f>YEAR(ORDERS[[#This Row],[OrderDate]])</f>
        <v>2012</v>
      </c>
    </row>
    <row r="110" spans="1:13" x14ac:dyDescent="0.3">
      <c r="A110">
        <v>109</v>
      </c>
      <c r="B110">
        <v>6</v>
      </c>
      <c r="C110">
        <v>5</v>
      </c>
      <c r="D110" s="1">
        <v>40995</v>
      </c>
      <c r="E110">
        <v>79</v>
      </c>
      <c r="F110">
        <f>VLOOKUP(ORDERS[[#This Row],[ProductID]],Products[],4,FALSE)</f>
        <v>16</v>
      </c>
      <c r="G110">
        <v>0</v>
      </c>
      <c r="H110">
        <f>(ORDERS[[#This Row],[UnitsOrdered]]*ORDERS[[#This Row],[unit price]])-(ORDERS[[#This Row],[UnitsOrdered]]*ORDERS[[#This Row],[unit price]]*ORDERS[[#This Row],[Discount]])</f>
        <v>1264</v>
      </c>
      <c r="I110" t="str">
        <f>VLOOKUP(ORDERS[[#This Row],[CustomerID]],customers[],2,FALSE)</f>
        <v>Abracadaba Ink</v>
      </c>
      <c r="J110" s="2" t="str">
        <f>VLOOKUP(ORDERS[[#This Row],[CustomerID]],customers[],4,FALSE)</f>
        <v>Salt Lake City</v>
      </c>
      <c r="K110" s="2" t="str">
        <f>VLOOKUP(ORDERS[[#This Row],[ProductID]],Products[],3,FALSE)</f>
        <v>Female</v>
      </c>
      <c r="L110" s="2">
        <f>DAY(ORDERS[[#This Row],[OrderDate]])</f>
        <v>27</v>
      </c>
      <c r="M110" s="2">
        <f>YEAR(ORDERS[[#This Row],[OrderDate]])</f>
        <v>2012</v>
      </c>
    </row>
    <row r="111" spans="1:13" x14ac:dyDescent="0.3">
      <c r="A111">
        <v>110</v>
      </c>
      <c r="B111">
        <v>1</v>
      </c>
      <c r="C111">
        <v>5</v>
      </c>
      <c r="D111" s="1">
        <v>40996</v>
      </c>
      <c r="E111">
        <v>40</v>
      </c>
      <c r="F111">
        <f>VLOOKUP(ORDERS[[#This Row],[ProductID]],Products[],4,FALSE)</f>
        <v>16</v>
      </c>
      <c r="G111">
        <v>0</v>
      </c>
      <c r="H111">
        <f>(ORDERS[[#This Row],[UnitsOrdered]]*ORDERS[[#This Row],[unit price]])-(ORDERS[[#This Row],[UnitsOrdered]]*ORDERS[[#This Row],[unit price]]*ORDERS[[#This Row],[Discount]])</f>
        <v>640</v>
      </c>
      <c r="I111" t="str">
        <f>VLOOKUP(ORDERS[[#This Row],[CustomerID]],customers[],2,FALSE)</f>
        <v>Threads</v>
      </c>
      <c r="J111" s="2" t="str">
        <f>VLOOKUP(ORDERS[[#This Row],[CustomerID]],customers[],4,FALSE)</f>
        <v>Seattle</v>
      </c>
      <c r="K111" s="2" t="str">
        <f>VLOOKUP(ORDERS[[#This Row],[ProductID]],Products[],3,FALSE)</f>
        <v>Female</v>
      </c>
      <c r="L111" s="2">
        <f>DAY(ORDERS[[#This Row],[OrderDate]])</f>
        <v>28</v>
      </c>
      <c r="M111" s="2">
        <f>YEAR(ORDERS[[#This Row],[OrderDate]])</f>
        <v>2012</v>
      </c>
    </row>
    <row r="112" spans="1:13" x14ac:dyDescent="0.3">
      <c r="A112">
        <v>111</v>
      </c>
      <c r="B112">
        <v>5</v>
      </c>
      <c r="C112">
        <v>7</v>
      </c>
      <c r="D112" s="1">
        <v>40996</v>
      </c>
      <c r="E112">
        <v>50</v>
      </c>
      <c r="F112">
        <f>VLOOKUP(ORDERS[[#This Row],[ProductID]],Products[],4,FALSE)</f>
        <v>38</v>
      </c>
      <c r="G112">
        <v>0</v>
      </c>
      <c r="H112">
        <f>(ORDERS[[#This Row],[UnitsOrdered]]*ORDERS[[#This Row],[unit price]])-(ORDERS[[#This Row],[UnitsOrdered]]*ORDERS[[#This Row],[unit price]]*ORDERS[[#This Row],[Discount]])</f>
        <v>1900</v>
      </c>
      <c r="I112" t="str">
        <f>VLOOKUP(ORDERS[[#This Row],[CustomerID]],customers[],2,FALSE)</f>
        <v>Rags to Riches</v>
      </c>
      <c r="J112" s="2" t="str">
        <f>VLOOKUP(ORDERS[[#This Row],[CustomerID]],customers[],4,FALSE)</f>
        <v>Las Vegas</v>
      </c>
      <c r="K112" s="2" t="str">
        <f>VLOOKUP(ORDERS[[#This Row],[ProductID]],Products[],3,FALSE)</f>
        <v>Female</v>
      </c>
      <c r="L112" s="2">
        <f>DAY(ORDERS[[#This Row],[OrderDate]])</f>
        <v>28</v>
      </c>
      <c r="M112" s="2">
        <f>YEAR(ORDERS[[#This Row],[OrderDate]])</f>
        <v>2012</v>
      </c>
    </row>
    <row r="113" spans="1:13" x14ac:dyDescent="0.3">
      <c r="A113">
        <v>112</v>
      </c>
      <c r="B113">
        <v>2</v>
      </c>
      <c r="C113">
        <v>2</v>
      </c>
      <c r="D113" s="1">
        <v>40997</v>
      </c>
      <c r="E113">
        <v>75</v>
      </c>
      <c r="F113">
        <f>VLOOKUP(ORDERS[[#This Row],[ProductID]],Products[],4,FALSE)</f>
        <v>30</v>
      </c>
      <c r="G113">
        <v>0</v>
      </c>
      <c r="H113">
        <f>(ORDERS[[#This Row],[UnitsOrdered]]*ORDERS[[#This Row],[unit price]])-(ORDERS[[#This Row],[UnitsOrdered]]*ORDERS[[#This Row],[unit price]]*ORDERS[[#This Row],[Discount]])</f>
        <v>2250</v>
      </c>
      <c r="I113" t="str">
        <f>VLOOKUP(ORDERS[[#This Row],[CustomerID]],customers[],2,FALSE)</f>
        <v>A Shirts Life</v>
      </c>
      <c r="J113" s="2" t="str">
        <f>VLOOKUP(ORDERS[[#This Row],[CustomerID]],customers[],4,FALSE)</f>
        <v>Portland</v>
      </c>
      <c r="K113" s="2" t="str">
        <f>VLOOKUP(ORDERS[[#This Row],[ProductID]],Products[],3,FALSE)</f>
        <v>Both</v>
      </c>
      <c r="L113" s="2">
        <f>DAY(ORDERS[[#This Row],[OrderDate]])</f>
        <v>29</v>
      </c>
      <c r="M113" s="2">
        <f>YEAR(ORDERS[[#This Row],[OrderDate]])</f>
        <v>2012</v>
      </c>
    </row>
    <row r="114" spans="1:13" x14ac:dyDescent="0.3">
      <c r="A114">
        <v>113</v>
      </c>
      <c r="B114">
        <v>5</v>
      </c>
      <c r="C114">
        <v>2</v>
      </c>
      <c r="D114" s="1">
        <v>40997</v>
      </c>
      <c r="E114">
        <v>74</v>
      </c>
      <c r="F114">
        <f>VLOOKUP(ORDERS[[#This Row],[ProductID]],Products[],4,FALSE)</f>
        <v>30</v>
      </c>
      <c r="G114">
        <v>0</v>
      </c>
      <c r="H114">
        <f>(ORDERS[[#This Row],[UnitsOrdered]]*ORDERS[[#This Row],[unit price]])-(ORDERS[[#This Row],[UnitsOrdered]]*ORDERS[[#This Row],[unit price]]*ORDERS[[#This Row],[Discount]])</f>
        <v>2220</v>
      </c>
      <c r="I114" t="str">
        <f>VLOOKUP(ORDERS[[#This Row],[CustomerID]],customers[],2,FALSE)</f>
        <v>Rags to Riches</v>
      </c>
      <c r="J114" s="2" t="str">
        <f>VLOOKUP(ORDERS[[#This Row],[CustomerID]],customers[],4,FALSE)</f>
        <v>Las Vegas</v>
      </c>
      <c r="K114" s="2" t="str">
        <f>VLOOKUP(ORDERS[[#This Row],[ProductID]],Products[],3,FALSE)</f>
        <v>Both</v>
      </c>
      <c r="L114" s="2">
        <f>DAY(ORDERS[[#This Row],[OrderDate]])</f>
        <v>29</v>
      </c>
      <c r="M114" s="2">
        <f>YEAR(ORDERS[[#This Row],[OrderDate]])</f>
        <v>2012</v>
      </c>
    </row>
    <row r="115" spans="1:13" x14ac:dyDescent="0.3">
      <c r="A115">
        <v>114</v>
      </c>
      <c r="B115">
        <v>5</v>
      </c>
      <c r="C115">
        <v>4</v>
      </c>
      <c r="D115" s="1">
        <v>40998</v>
      </c>
      <c r="E115">
        <v>89</v>
      </c>
      <c r="F115">
        <f>VLOOKUP(ORDERS[[#This Row],[ProductID]],Products[],4,FALSE)</f>
        <v>30</v>
      </c>
      <c r="G115">
        <v>0</v>
      </c>
      <c r="H115">
        <f>(ORDERS[[#This Row],[UnitsOrdered]]*ORDERS[[#This Row],[unit price]])-(ORDERS[[#This Row],[UnitsOrdered]]*ORDERS[[#This Row],[unit price]]*ORDERS[[#This Row],[Discount]])</f>
        <v>2670</v>
      </c>
      <c r="I115" t="str">
        <f>VLOOKUP(ORDERS[[#This Row],[CustomerID]],customers[],2,FALSE)</f>
        <v>Rags to Riches</v>
      </c>
      <c r="J115" s="2" t="str">
        <f>VLOOKUP(ORDERS[[#This Row],[CustomerID]],customers[],4,FALSE)</f>
        <v>Las Vegas</v>
      </c>
      <c r="K115" s="2" t="str">
        <f>VLOOKUP(ORDERS[[#This Row],[ProductID]],Products[],3,FALSE)</f>
        <v>Both</v>
      </c>
      <c r="L115" s="2">
        <f>DAY(ORDERS[[#This Row],[OrderDate]])</f>
        <v>30</v>
      </c>
      <c r="M115" s="2">
        <f>YEAR(ORDERS[[#This Row],[OrderDate]])</f>
        <v>2012</v>
      </c>
    </row>
    <row r="116" spans="1:13" x14ac:dyDescent="0.3">
      <c r="A116">
        <v>115</v>
      </c>
      <c r="B116">
        <v>2</v>
      </c>
      <c r="C116">
        <v>5</v>
      </c>
      <c r="D116" s="1">
        <v>40999</v>
      </c>
      <c r="E116">
        <v>131</v>
      </c>
      <c r="F116">
        <f>VLOOKUP(ORDERS[[#This Row],[ProductID]],Products[],4,FALSE)</f>
        <v>16</v>
      </c>
      <c r="G116">
        <v>0</v>
      </c>
      <c r="H116">
        <f>(ORDERS[[#This Row],[UnitsOrdered]]*ORDERS[[#This Row],[unit price]])-(ORDERS[[#This Row],[UnitsOrdered]]*ORDERS[[#This Row],[unit price]]*ORDERS[[#This Row],[Discount]])</f>
        <v>2096</v>
      </c>
      <c r="I116" t="str">
        <f>VLOOKUP(ORDERS[[#This Row],[CustomerID]],customers[],2,FALSE)</f>
        <v>A Shirts Life</v>
      </c>
      <c r="J116" s="2" t="str">
        <f>VLOOKUP(ORDERS[[#This Row],[CustomerID]],customers[],4,FALSE)</f>
        <v>Portland</v>
      </c>
      <c r="K116" s="2" t="str">
        <f>VLOOKUP(ORDERS[[#This Row],[ProductID]],Products[],3,FALSE)</f>
        <v>Female</v>
      </c>
      <c r="L116" s="2">
        <f>DAY(ORDERS[[#This Row],[OrderDate]])</f>
        <v>31</v>
      </c>
      <c r="M116" s="2">
        <f>YEAR(ORDERS[[#This Row],[OrderDate]])</f>
        <v>2012</v>
      </c>
    </row>
    <row r="117" spans="1:13" x14ac:dyDescent="0.3">
      <c r="A117">
        <v>116</v>
      </c>
      <c r="B117">
        <v>7</v>
      </c>
      <c r="C117">
        <v>1</v>
      </c>
      <c r="D117" s="1">
        <v>40999</v>
      </c>
      <c r="E117">
        <v>66</v>
      </c>
      <c r="F117">
        <f>VLOOKUP(ORDERS[[#This Row],[ProductID]],Products[],4,FALSE)</f>
        <v>20</v>
      </c>
      <c r="G117">
        <v>0</v>
      </c>
      <c r="H117">
        <f>(ORDERS[[#This Row],[UnitsOrdered]]*ORDERS[[#This Row],[unit price]])-(ORDERS[[#This Row],[UnitsOrdered]]*ORDERS[[#This Row],[unit price]]*ORDERS[[#This Row],[Discount]])</f>
        <v>1320</v>
      </c>
      <c r="I117" t="str">
        <f>VLOOKUP(ORDERS[[#This Row],[CustomerID]],customers[],2,FALSE)</f>
        <v>The Shirt on Your Back</v>
      </c>
      <c r="J117" s="2" t="str">
        <f>VLOOKUP(ORDERS[[#This Row],[CustomerID]],customers[],4,FALSE)</f>
        <v>Bonners Ferry</v>
      </c>
      <c r="K117" s="2" t="str">
        <f>VLOOKUP(ORDERS[[#This Row],[ProductID]],Products[],3,FALSE)</f>
        <v>Both</v>
      </c>
      <c r="L117" s="2">
        <f>DAY(ORDERS[[#This Row],[OrderDate]])</f>
        <v>31</v>
      </c>
      <c r="M117" s="2">
        <f>YEAR(ORDERS[[#This Row],[OrderDate]])</f>
        <v>2012</v>
      </c>
    </row>
    <row r="118" spans="1:13" x14ac:dyDescent="0.3">
      <c r="A118">
        <v>117</v>
      </c>
      <c r="B118">
        <v>7</v>
      </c>
      <c r="C118">
        <v>2</v>
      </c>
      <c r="D118" s="1">
        <v>41001</v>
      </c>
      <c r="E118">
        <v>130</v>
      </c>
      <c r="F118">
        <f>VLOOKUP(ORDERS[[#This Row],[ProductID]],Products[],4,FALSE)</f>
        <v>30</v>
      </c>
      <c r="G118">
        <v>0</v>
      </c>
      <c r="H118">
        <f>(ORDERS[[#This Row],[UnitsOrdered]]*ORDERS[[#This Row],[unit price]])-(ORDERS[[#This Row],[UnitsOrdered]]*ORDERS[[#This Row],[unit price]]*ORDERS[[#This Row],[Discount]])</f>
        <v>3900</v>
      </c>
      <c r="I118" t="str">
        <f>VLOOKUP(ORDERS[[#This Row],[CustomerID]],customers[],2,FALSE)</f>
        <v>The Shirt on Your Back</v>
      </c>
      <c r="J118" s="2" t="str">
        <f>VLOOKUP(ORDERS[[#This Row],[CustomerID]],customers[],4,FALSE)</f>
        <v>Bonners Ferry</v>
      </c>
      <c r="K118" s="2" t="str">
        <f>VLOOKUP(ORDERS[[#This Row],[ProductID]],Products[],3,FALSE)</f>
        <v>Both</v>
      </c>
      <c r="L118" s="2">
        <f>DAY(ORDERS[[#This Row],[OrderDate]])</f>
        <v>2</v>
      </c>
      <c r="M118" s="2">
        <f>YEAR(ORDERS[[#This Row],[OrderDate]])</f>
        <v>2012</v>
      </c>
    </row>
    <row r="119" spans="1:13" x14ac:dyDescent="0.3">
      <c r="A119">
        <v>118</v>
      </c>
      <c r="B119">
        <v>4</v>
      </c>
      <c r="C119">
        <v>9</v>
      </c>
      <c r="D119" s="1">
        <v>41003</v>
      </c>
      <c r="E119">
        <v>128</v>
      </c>
      <c r="F119">
        <f>VLOOKUP(ORDERS[[#This Row],[ProductID]],Products[],4,FALSE)</f>
        <v>25</v>
      </c>
      <c r="G119">
        <v>0</v>
      </c>
      <c r="H119">
        <f>(ORDERS[[#This Row],[UnitsOrdered]]*ORDERS[[#This Row],[unit price]])-(ORDERS[[#This Row],[UnitsOrdered]]*ORDERS[[#This Row],[unit price]]*ORDERS[[#This Row],[Discount]])</f>
        <v>3200</v>
      </c>
      <c r="I119" t="str">
        <f>VLOOKUP(ORDERS[[#This Row],[CustomerID]],customers[],2,FALSE)</f>
        <v>Tshirt Unlimited</v>
      </c>
      <c r="J119" s="2" t="str">
        <f>VLOOKUP(ORDERS[[#This Row],[CustomerID]],customers[],4,FALSE)</f>
        <v>Phoenix</v>
      </c>
      <c r="K119" s="2" t="str">
        <f>VLOOKUP(ORDERS[[#This Row],[ProductID]],Products[],3,FALSE)</f>
        <v>Male</v>
      </c>
      <c r="L119" s="2">
        <f>DAY(ORDERS[[#This Row],[OrderDate]])</f>
        <v>4</v>
      </c>
      <c r="M119" s="2">
        <f>YEAR(ORDERS[[#This Row],[OrderDate]])</f>
        <v>2012</v>
      </c>
    </row>
    <row r="120" spans="1:13" x14ac:dyDescent="0.3">
      <c r="A120">
        <v>119</v>
      </c>
      <c r="B120">
        <v>3</v>
      </c>
      <c r="C120">
        <v>5</v>
      </c>
      <c r="D120" s="1">
        <v>41004</v>
      </c>
      <c r="E120">
        <v>84</v>
      </c>
      <c r="F120">
        <f>VLOOKUP(ORDERS[[#This Row],[ProductID]],Products[],4,FALSE)</f>
        <v>16</v>
      </c>
      <c r="G120">
        <v>0</v>
      </c>
      <c r="H120">
        <f>(ORDERS[[#This Row],[UnitsOrdered]]*ORDERS[[#This Row],[unit price]])-(ORDERS[[#This Row],[UnitsOrdered]]*ORDERS[[#This Row],[unit price]]*ORDERS[[#This Row],[Discount]])</f>
        <v>1344</v>
      </c>
      <c r="I120" t="str">
        <f>VLOOKUP(ORDERS[[#This Row],[CustomerID]],customers[],2,FALSE)</f>
        <v>Shirts R Us</v>
      </c>
      <c r="J120" s="2" t="str">
        <f>VLOOKUP(ORDERS[[#This Row],[CustomerID]],customers[],4,FALSE)</f>
        <v>Los Angeles</v>
      </c>
      <c r="K120" s="2" t="str">
        <f>VLOOKUP(ORDERS[[#This Row],[ProductID]],Products[],3,FALSE)</f>
        <v>Female</v>
      </c>
      <c r="L120" s="2">
        <f>DAY(ORDERS[[#This Row],[OrderDate]])</f>
        <v>5</v>
      </c>
      <c r="M120" s="2">
        <f>YEAR(ORDERS[[#This Row],[OrderDate]])</f>
        <v>2012</v>
      </c>
    </row>
    <row r="121" spans="1:13" x14ac:dyDescent="0.3">
      <c r="A121">
        <v>120</v>
      </c>
      <c r="B121">
        <v>1</v>
      </c>
      <c r="C121">
        <v>10</v>
      </c>
      <c r="D121" s="1">
        <v>41006</v>
      </c>
      <c r="E121">
        <v>145</v>
      </c>
      <c r="F121">
        <f>VLOOKUP(ORDERS[[#This Row],[ProductID]],Products[],4,FALSE)</f>
        <v>35</v>
      </c>
      <c r="G121">
        <v>0</v>
      </c>
      <c r="H121">
        <f>(ORDERS[[#This Row],[UnitsOrdered]]*ORDERS[[#This Row],[unit price]])-(ORDERS[[#This Row],[UnitsOrdered]]*ORDERS[[#This Row],[unit price]]*ORDERS[[#This Row],[Discount]])</f>
        <v>5075</v>
      </c>
      <c r="I121" t="str">
        <f>VLOOKUP(ORDERS[[#This Row],[CustomerID]],customers[],2,FALSE)</f>
        <v>Threads</v>
      </c>
      <c r="J121" s="2" t="str">
        <f>VLOOKUP(ORDERS[[#This Row],[CustomerID]],customers[],4,FALSE)</f>
        <v>Seattle</v>
      </c>
      <c r="K121" s="2" t="str">
        <f>VLOOKUP(ORDERS[[#This Row],[ProductID]],Products[],3,FALSE)</f>
        <v>Male</v>
      </c>
      <c r="L121" s="2">
        <f>DAY(ORDERS[[#This Row],[OrderDate]])</f>
        <v>7</v>
      </c>
      <c r="M121" s="2">
        <f>YEAR(ORDERS[[#This Row],[OrderDate]])</f>
        <v>2012</v>
      </c>
    </row>
    <row r="122" spans="1:13" x14ac:dyDescent="0.3">
      <c r="A122">
        <v>121</v>
      </c>
      <c r="B122">
        <v>3</v>
      </c>
      <c r="C122">
        <v>5</v>
      </c>
      <c r="D122" s="1">
        <v>41006</v>
      </c>
      <c r="E122">
        <v>86</v>
      </c>
      <c r="F122">
        <f>VLOOKUP(ORDERS[[#This Row],[ProductID]],Products[],4,FALSE)</f>
        <v>16</v>
      </c>
      <c r="G122">
        <v>0</v>
      </c>
      <c r="H122">
        <f>(ORDERS[[#This Row],[UnitsOrdered]]*ORDERS[[#This Row],[unit price]])-(ORDERS[[#This Row],[UnitsOrdered]]*ORDERS[[#This Row],[unit price]]*ORDERS[[#This Row],[Discount]])</f>
        <v>1376</v>
      </c>
      <c r="I122" t="str">
        <f>VLOOKUP(ORDERS[[#This Row],[CustomerID]],customers[],2,FALSE)</f>
        <v>Shirts R Us</v>
      </c>
      <c r="J122" s="2" t="str">
        <f>VLOOKUP(ORDERS[[#This Row],[CustomerID]],customers[],4,FALSE)</f>
        <v>Los Angeles</v>
      </c>
      <c r="K122" s="2" t="str">
        <f>VLOOKUP(ORDERS[[#This Row],[ProductID]],Products[],3,FALSE)</f>
        <v>Female</v>
      </c>
      <c r="L122" s="2">
        <f>DAY(ORDERS[[#This Row],[OrderDate]])</f>
        <v>7</v>
      </c>
      <c r="M122" s="2">
        <f>YEAR(ORDERS[[#This Row],[OrderDate]])</f>
        <v>2012</v>
      </c>
    </row>
    <row r="123" spans="1:13" x14ac:dyDescent="0.3">
      <c r="A123">
        <v>122</v>
      </c>
      <c r="B123">
        <v>7</v>
      </c>
      <c r="C123">
        <v>2</v>
      </c>
      <c r="D123" s="1">
        <v>41006</v>
      </c>
      <c r="E123">
        <v>135</v>
      </c>
      <c r="F123">
        <f>VLOOKUP(ORDERS[[#This Row],[ProductID]],Products[],4,FALSE)</f>
        <v>30</v>
      </c>
      <c r="G123">
        <v>0</v>
      </c>
      <c r="H123">
        <f>(ORDERS[[#This Row],[UnitsOrdered]]*ORDERS[[#This Row],[unit price]])-(ORDERS[[#This Row],[UnitsOrdered]]*ORDERS[[#This Row],[unit price]]*ORDERS[[#This Row],[Discount]])</f>
        <v>4050</v>
      </c>
      <c r="I123" t="str">
        <f>VLOOKUP(ORDERS[[#This Row],[CustomerID]],customers[],2,FALSE)</f>
        <v>The Shirt on Your Back</v>
      </c>
      <c r="J123" s="2" t="str">
        <f>VLOOKUP(ORDERS[[#This Row],[CustomerID]],customers[],4,FALSE)</f>
        <v>Bonners Ferry</v>
      </c>
      <c r="K123" s="2" t="str">
        <f>VLOOKUP(ORDERS[[#This Row],[ProductID]],Products[],3,FALSE)</f>
        <v>Both</v>
      </c>
      <c r="L123" s="2">
        <f>DAY(ORDERS[[#This Row],[OrderDate]])</f>
        <v>7</v>
      </c>
      <c r="M123" s="2">
        <f>YEAR(ORDERS[[#This Row],[OrderDate]])</f>
        <v>2012</v>
      </c>
    </row>
    <row r="124" spans="1:13" x14ac:dyDescent="0.3">
      <c r="A124">
        <v>123</v>
      </c>
      <c r="B124">
        <v>1</v>
      </c>
      <c r="C124">
        <v>5</v>
      </c>
      <c r="D124" s="1">
        <v>41007</v>
      </c>
      <c r="E124">
        <v>131</v>
      </c>
      <c r="F124">
        <f>VLOOKUP(ORDERS[[#This Row],[ProductID]],Products[],4,FALSE)</f>
        <v>16</v>
      </c>
      <c r="G124">
        <v>0</v>
      </c>
      <c r="H124">
        <f>(ORDERS[[#This Row],[UnitsOrdered]]*ORDERS[[#This Row],[unit price]])-(ORDERS[[#This Row],[UnitsOrdered]]*ORDERS[[#This Row],[unit price]]*ORDERS[[#This Row],[Discount]])</f>
        <v>2096</v>
      </c>
      <c r="I124" t="str">
        <f>VLOOKUP(ORDERS[[#This Row],[CustomerID]],customers[],2,FALSE)</f>
        <v>Threads</v>
      </c>
      <c r="J124" s="2" t="str">
        <f>VLOOKUP(ORDERS[[#This Row],[CustomerID]],customers[],4,FALSE)</f>
        <v>Seattle</v>
      </c>
      <c r="K124" s="2" t="str">
        <f>VLOOKUP(ORDERS[[#This Row],[ProductID]],Products[],3,FALSE)</f>
        <v>Female</v>
      </c>
      <c r="L124" s="2">
        <f>DAY(ORDERS[[#This Row],[OrderDate]])</f>
        <v>8</v>
      </c>
      <c r="M124" s="2">
        <f>YEAR(ORDERS[[#This Row],[OrderDate]])</f>
        <v>2012</v>
      </c>
    </row>
    <row r="125" spans="1:13" x14ac:dyDescent="0.3">
      <c r="A125">
        <v>124</v>
      </c>
      <c r="B125">
        <v>3</v>
      </c>
      <c r="C125">
        <v>6</v>
      </c>
      <c r="D125" s="1">
        <v>41007</v>
      </c>
      <c r="E125">
        <v>56</v>
      </c>
      <c r="F125">
        <f>VLOOKUP(ORDERS[[#This Row],[ProductID]],Products[],4,FALSE)</f>
        <v>28</v>
      </c>
      <c r="G125">
        <v>0</v>
      </c>
      <c r="H125">
        <f>(ORDERS[[#This Row],[UnitsOrdered]]*ORDERS[[#This Row],[unit price]])-(ORDERS[[#This Row],[UnitsOrdered]]*ORDERS[[#This Row],[unit price]]*ORDERS[[#This Row],[Discount]])</f>
        <v>1568</v>
      </c>
      <c r="I125" t="str">
        <f>VLOOKUP(ORDERS[[#This Row],[CustomerID]],customers[],2,FALSE)</f>
        <v>Shirts R Us</v>
      </c>
      <c r="J125" s="2" t="str">
        <f>VLOOKUP(ORDERS[[#This Row],[CustomerID]],customers[],4,FALSE)</f>
        <v>Los Angeles</v>
      </c>
      <c r="K125" s="2" t="str">
        <f>VLOOKUP(ORDERS[[#This Row],[ProductID]],Products[],3,FALSE)</f>
        <v>Female</v>
      </c>
      <c r="L125" s="2">
        <f>DAY(ORDERS[[#This Row],[OrderDate]])</f>
        <v>8</v>
      </c>
      <c r="M125" s="2">
        <f>YEAR(ORDERS[[#This Row],[OrderDate]])</f>
        <v>2012</v>
      </c>
    </row>
    <row r="126" spans="1:13" x14ac:dyDescent="0.3">
      <c r="A126">
        <v>125</v>
      </c>
      <c r="B126">
        <v>5</v>
      </c>
      <c r="C126">
        <v>4</v>
      </c>
      <c r="D126" s="1">
        <v>41007</v>
      </c>
      <c r="E126">
        <v>95</v>
      </c>
      <c r="F126">
        <f>VLOOKUP(ORDERS[[#This Row],[ProductID]],Products[],4,FALSE)</f>
        <v>30</v>
      </c>
      <c r="G126">
        <v>5.0000001000000002E-2</v>
      </c>
      <c r="H126">
        <f>(ORDERS[[#This Row],[UnitsOrdered]]*ORDERS[[#This Row],[unit price]])-(ORDERS[[#This Row],[UnitsOrdered]]*ORDERS[[#This Row],[unit price]]*ORDERS[[#This Row],[Discount]])</f>
        <v>2707.4999971500001</v>
      </c>
      <c r="I126" t="str">
        <f>VLOOKUP(ORDERS[[#This Row],[CustomerID]],customers[],2,FALSE)</f>
        <v>Rags to Riches</v>
      </c>
      <c r="J126" s="2" t="str">
        <f>VLOOKUP(ORDERS[[#This Row],[CustomerID]],customers[],4,FALSE)</f>
        <v>Las Vegas</v>
      </c>
      <c r="K126" s="2" t="str">
        <f>VLOOKUP(ORDERS[[#This Row],[ProductID]],Products[],3,FALSE)</f>
        <v>Both</v>
      </c>
      <c r="L126" s="2">
        <f>DAY(ORDERS[[#This Row],[OrderDate]])</f>
        <v>8</v>
      </c>
      <c r="M126" s="2">
        <f>YEAR(ORDERS[[#This Row],[OrderDate]])</f>
        <v>2012</v>
      </c>
    </row>
    <row r="127" spans="1:13" x14ac:dyDescent="0.3">
      <c r="A127">
        <v>126</v>
      </c>
      <c r="B127">
        <v>7</v>
      </c>
      <c r="C127">
        <v>8</v>
      </c>
      <c r="D127" s="1">
        <v>41007</v>
      </c>
      <c r="E127">
        <v>129</v>
      </c>
      <c r="F127">
        <f>VLOOKUP(ORDERS[[#This Row],[ProductID]],Products[],4,FALSE)</f>
        <v>27</v>
      </c>
      <c r="G127">
        <v>0</v>
      </c>
      <c r="H127">
        <f>(ORDERS[[#This Row],[UnitsOrdered]]*ORDERS[[#This Row],[unit price]])-(ORDERS[[#This Row],[UnitsOrdered]]*ORDERS[[#This Row],[unit price]]*ORDERS[[#This Row],[Discount]])</f>
        <v>3483</v>
      </c>
      <c r="I127" t="str">
        <f>VLOOKUP(ORDERS[[#This Row],[CustomerID]],customers[],2,FALSE)</f>
        <v>The Shirt on Your Back</v>
      </c>
      <c r="J127" s="2" t="str">
        <f>VLOOKUP(ORDERS[[#This Row],[CustomerID]],customers[],4,FALSE)</f>
        <v>Bonners Ferry</v>
      </c>
      <c r="K127" s="2" t="str">
        <f>VLOOKUP(ORDERS[[#This Row],[ProductID]],Products[],3,FALSE)</f>
        <v>Female</v>
      </c>
      <c r="L127" s="2">
        <f>DAY(ORDERS[[#This Row],[OrderDate]])</f>
        <v>8</v>
      </c>
      <c r="M127" s="2">
        <f>YEAR(ORDERS[[#This Row],[OrderDate]])</f>
        <v>2012</v>
      </c>
    </row>
    <row r="128" spans="1:13" x14ac:dyDescent="0.3">
      <c r="A128">
        <v>127</v>
      </c>
      <c r="B128">
        <v>6</v>
      </c>
      <c r="C128">
        <v>5</v>
      </c>
      <c r="D128" s="1">
        <v>41008</v>
      </c>
      <c r="E128">
        <v>44</v>
      </c>
      <c r="F128">
        <f>VLOOKUP(ORDERS[[#This Row],[ProductID]],Products[],4,FALSE)</f>
        <v>16</v>
      </c>
      <c r="G128">
        <v>5.0000001000000002E-2</v>
      </c>
      <c r="H128">
        <f>(ORDERS[[#This Row],[UnitsOrdered]]*ORDERS[[#This Row],[unit price]])-(ORDERS[[#This Row],[UnitsOrdered]]*ORDERS[[#This Row],[unit price]]*ORDERS[[#This Row],[Discount]])</f>
        <v>668.79999929600001</v>
      </c>
      <c r="I128" t="str">
        <f>VLOOKUP(ORDERS[[#This Row],[CustomerID]],customers[],2,FALSE)</f>
        <v>Abracadaba Ink</v>
      </c>
      <c r="J128" s="2" t="str">
        <f>VLOOKUP(ORDERS[[#This Row],[CustomerID]],customers[],4,FALSE)</f>
        <v>Salt Lake City</v>
      </c>
      <c r="K128" s="2" t="str">
        <f>VLOOKUP(ORDERS[[#This Row],[ProductID]],Products[],3,FALSE)</f>
        <v>Female</v>
      </c>
      <c r="L128" s="2">
        <f>DAY(ORDERS[[#This Row],[OrderDate]])</f>
        <v>9</v>
      </c>
      <c r="M128" s="2">
        <f>YEAR(ORDERS[[#This Row],[OrderDate]])</f>
        <v>2012</v>
      </c>
    </row>
    <row r="129" spans="1:13" x14ac:dyDescent="0.3">
      <c r="A129">
        <v>128</v>
      </c>
      <c r="B129">
        <v>4</v>
      </c>
      <c r="C129">
        <v>7</v>
      </c>
      <c r="D129" s="1">
        <v>41009</v>
      </c>
      <c r="E129">
        <v>111</v>
      </c>
      <c r="F129">
        <f>VLOOKUP(ORDERS[[#This Row],[ProductID]],Products[],4,FALSE)</f>
        <v>38</v>
      </c>
      <c r="G129">
        <v>0</v>
      </c>
      <c r="H129">
        <f>(ORDERS[[#This Row],[UnitsOrdered]]*ORDERS[[#This Row],[unit price]])-(ORDERS[[#This Row],[UnitsOrdered]]*ORDERS[[#This Row],[unit price]]*ORDERS[[#This Row],[Discount]])</f>
        <v>4218</v>
      </c>
      <c r="I129" t="str">
        <f>VLOOKUP(ORDERS[[#This Row],[CustomerID]],customers[],2,FALSE)</f>
        <v>Tshirt Unlimited</v>
      </c>
      <c r="J129" s="2" t="str">
        <f>VLOOKUP(ORDERS[[#This Row],[CustomerID]],customers[],4,FALSE)</f>
        <v>Phoenix</v>
      </c>
      <c r="K129" s="2" t="str">
        <f>VLOOKUP(ORDERS[[#This Row],[ProductID]],Products[],3,FALSE)</f>
        <v>Female</v>
      </c>
      <c r="L129" s="2">
        <f>DAY(ORDERS[[#This Row],[OrderDate]])</f>
        <v>10</v>
      </c>
      <c r="M129" s="2">
        <f>YEAR(ORDERS[[#This Row],[OrderDate]])</f>
        <v>2012</v>
      </c>
    </row>
    <row r="130" spans="1:13" x14ac:dyDescent="0.3">
      <c r="A130">
        <v>129</v>
      </c>
      <c r="B130">
        <v>7</v>
      </c>
      <c r="C130">
        <v>3</v>
      </c>
      <c r="D130" s="1">
        <v>41009</v>
      </c>
      <c r="E130">
        <v>105</v>
      </c>
      <c r="F130">
        <f>VLOOKUP(ORDERS[[#This Row],[ProductID]],Products[],4,FALSE)</f>
        <v>22</v>
      </c>
      <c r="G130">
        <v>0.15000000599999999</v>
      </c>
      <c r="H130">
        <f>(ORDERS[[#This Row],[UnitsOrdered]]*ORDERS[[#This Row],[unit price]])-(ORDERS[[#This Row],[UnitsOrdered]]*ORDERS[[#This Row],[unit price]]*ORDERS[[#This Row],[Discount]])</f>
        <v>1963.4999861400001</v>
      </c>
      <c r="I130" t="str">
        <f>VLOOKUP(ORDERS[[#This Row],[CustomerID]],customers[],2,FALSE)</f>
        <v>The Shirt on Your Back</v>
      </c>
      <c r="J130" s="2" t="str">
        <f>VLOOKUP(ORDERS[[#This Row],[CustomerID]],customers[],4,FALSE)</f>
        <v>Bonners Ferry</v>
      </c>
      <c r="K130" s="2" t="str">
        <f>VLOOKUP(ORDERS[[#This Row],[ProductID]],Products[],3,FALSE)</f>
        <v>Both</v>
      </c>
      <c r="L130" s="2">
        <f>DAY(ORDERS[[#This Row],[OrderDate]])</f>
        <v>10</v>
      </c>
      <c r="M130" s="2">
        <f>YEAR(ORDERS[[#This Row],[OrderDate]])</f>
        <v>2012</v>
      </c>
    </row>
    <row r="131" spans="1:13" x14ac:dyDescent="0.3">
      <c r="A131">
        <v>130</v>
      </c>
      <c r="B131">
        <v>1</v>
      </c>
      <c r="C131">
        <v>6</v>
      </c>
      <c r="D131" s="1">
        <v>41010</v>
      </c>
      <c r="E131">
        <v>110</v>
      </c>
      <c r="F131">
        <f>VLOOKUP(ORDERS[[#This Row],[ProductID]],Products[],4,FALSE)</f>
        <v>28</v>
      </c>
      <c r="G131">
        <v>0</v>
      </c>
      <c r="H131">
        <f>(ORDERS[[#This Row],[UnitsOrdered]]*ORDERS[[#This Row],[unit price]])-(ORDERS[[#This Row],[UnitsOrdered]]*ORDERS[[#This Row],[unit price]]*ORDERS[[#This Row],[Discount]])</f>
        <v>3080</v>
      </c>
      <c r="I131" t="str">
        <f>VLOOKUP(ORDERS[[#This Row],[CustomerID]],customers[],2,FALSE)</f>
        <v>Threads</v>
      </c>
      <c r="J131" s="2" t="str">
        <f>VLOOKUP(ORDERS[[#This Row],[CustomerID]],customers[],4,FALSE)</f>
        <v>Seattle</v>
      </c>
      <c r="K131" s="2" t="str">
        <f>VLOOKUP(ORDERS[[#This Row],[ProductID]],Products[],3,FALSE)</f>
        <v>Female</v>
      </c>
      <c r="L131" s="2">
        <f>DAY(ORDERS[[#This Row],[OrderDate]])</f>
        <v>11</v>
      </c>
      <c r="M131" s="2">
        <f>YEAR(ORDERS[[#This Row],[OrderDate]])</f>
        <v>2012</v>
      </c>
    </row>
    <row r="132" spans="1:13" x14ac:dyDescent="0.3">
      <c r="A132">
        <v>131</v>
      </c>
      <c r="B132">
        <v>1</v>
      </c>
      <c r="C132">
        <v>6</v>
      </c>
      <c r="D132" s="1">
        <v>41013</v>
      </c>
      <c r="E132">
        <v>25</v>
      </c>
      <c r="F132">
        <f>VLOOKUP(ORDERS[[#This Row],[ProductID]],Products[],4,FALSE)</f>
        <v>28</v>
      </c>
      <c r="G132">
        <v>0</v>
      </c>
      <c r="H132">
        <f>(ORDERS[[#This Row],[UnitsOrdered]]*ORDERS[[#This Row],[unit price]])-(ORDERS[[#This Row],[UnitsOrdered]]*ORDERS[[#This Row],[unit price]]*ORDERS[[#This Row],[Discount]])</f>
        <v>700</v>
      </c>
      <c r="I132" t="str">
        <f>VLOOKUP(ORDERS[[#This Row],[CustomerID]],customers[],2,FALSE)</f>
        <v>Threads</v>
      </c>
      <c r="J132" s="2" t="str">
        <f>VLOOKUP(ORDERS[[#This Row],[CustomerID]],customers[],4,FALSE)</f>
        <v>Seattle</v>
      </c>
      <c r="K132" s="2" t="str">
        <f>VLOOKUP(ORDERS[[#This Row],[ProductID]],Products[],3,FALSE)</f>
        <v>Female</v>
      </c>
      <c r="L132" s="2">
        <f>DAY(ORDERS[[#This Row],[OrderDate]])</f>
        <v>14</v>
      </c>
      <c r="M132" s="2">
        <f>YEAR(ORDERS[[#This Row],[OrderDate]])</f>
        <v>2012</v>
      </c>
    </row>
    <row r="133" spans="1:13" x14ac:dyDescent="0.3">
      <c r="A133">
        <v>132</v>
      </c>
      <c r="B133">
        <v>1</v>
      </c>
      <c r="C133">
        <v>9</v>
      </c>
      <c r="D133" s="1">
        <v>41013</v>
      </c>
      <c r="E133">
        <v>130</v>
      </c>
      <c r="F133">
        <f>VLOOKUP(ORDERS[[#This Row],[ProductID]],Products[],4,FALSE)</f>
        <v>25</v>
      </c>
      <c r="G133">
        <v>5.0000001000000002E-2</v>
      </c>
      <c r="H133">
        <f>(ORDERS[[#This Row],[UnitsOrdered]]*ORDERS[[#This Row],[unit price]])-(ORDERS[[#This Row],[UnitsOrdered]]*ORDERS[[#This Row],[unit price]]*ORDERS[[#This Row],[Discount]])</f>
        <v>3087.4999967499998</v>
      </c>
      <c r="I133" t="str">
        <f>VLOOKUP(ORDERS[[#This Row],[CustomerID]],customers[],2,FALSE)</f>
        <v>Threads</v>
      </c>
      <c r="J133" s="2" t="str">
        <f>VLOOKUP(ORDERS[[#This Row],[CustomerID]],customers[],4,FALSE)</f>
        <v>Seattle</v>
      </c>
      <c r="K133" s="2" t="str">
        <f>VLOOKUP(ORDERS[[#This Row],[ProductID]],Products[],3,FALSE)</f>
        <v>Male</v>
      </c>
      <c r="L133" s="2">
        <f>DAY(ORDERS[[#This Row],[OrderDate]])</f>
        <v>14</v>
      </c>
      <c r="M133" s="2">
        <f>YEAR(ORDERS[[#This Row],[OrderDate]])</f>
        <v>2012</v>
      </c>
    </row>
    <row r="134" spans="1:13" x14ac:dyDescent="0.3">
      <c r="A134">
        <v>133</v>
      </c>
      <c r="B134">
        <v>5</v>
      </c>
      <c r="C134">
        <v>3</v>
      </c>
      <c r="D134" s="1">
        <v>41014</v>
      </c>
      <c r="E134">
        <v>123</v>
      </c>
      <c r="F134">
        <f>VLOOKUP(ORDERS[[#This Row],[ProductID]],Products[],4,FALSE)</f>
        <v>22</v>
      </c>
      <c r="G134">
        <v>0</v>
      </c>
      <c r="H134">
        <f>(ORDERS[[#This Row],[UnitsOrdered]]*ORDERS[[#This Row],[unit price]])-(ORDERS[[#This Row],[UnitsOrdered]]*ORDERS[[#This Row],[unit price]]*ORDERS[[#This Row],[Discount]])</f>
        <v>2706</v>
      </c>
      <c r="I134" t="str">
        <f>VLOOKUP(ORDERS[[#This Row],[CustomerID]],customers[],2,FALSE)</f>
        <v>Rags to Riches</v>
      </c>
      <c r="J134" s="2" t="str">
        <f>VLOOKUP(ORDERS[[#This Row],[CustomerID]],customers[],4,FALSE)</f>
        <v>Las Vegas</v>
      </c>
      <c r="K134" s="2" t="str">
        <f>VLOOKUP(ORDERS[[#This Row],[ProductID]],Products[],3,FALSE)</f>
        <v>Both</v>
      </c>
      <c r="L134" s="2">
        <f>DAY(ORDERS[[#This Row],[OrderDate]])</f>
        <v>15</v>
      </c>
      <c r="M134" s="2">
        <f>YEAR(ORDERS[[#This Row],[OrderDate]])</f>
        <v>2012</v>
      </c>
    </row>
    <row r="135" spans="1:13" x14ac:dyDescent="0.3">
      <c r="A135">
        <v>134</v>
      </c>
      <c r="B135">
        <v>6</v>
      </c>
      <c r="C135">
        <v>8</v>
      </c>
      <c r="D135" s="1">
        <v>41014</v>
      </c>
      <c r="E135">
        <v>109</v>
      </c>
      <c r="F135">
        <f>VLOOKUP(ORDERS[[#This Row],[ProductID]],Products[],4,FALSE)</f>
        <v>27</v>
      </c>
      <c r="G135">
        <v>0</v>
      </c>
      <c r="H135">
        <f>(ORDERS[[#This Row],[UnitsOrdered]]*ORDERS[[#This Row],[unit price]])-(ORDERS[[#This Row],[UnitsOrdered]]*ORDERS[[#This Row],[unit price]]*ORDERS[[#This Row],[Discount]])</f>
        <v>2943</v>
      </c>
      <c r="I135" t="str">
        <f>VLOOKUP(ORDERS[[#This Row],[CustomerID]],customers[],2,FALSE)</f>
        <v>Abracadaba Ink</v>
      </c>
      <c r="J135" s="2" t="str">
        <f>VLOOKUP(ORDERS[[#This Row],[CustomerID]],customers[],4,FALSE)</f>
        <v>Salt Lake City</v>
      </c>
      <c r="K135" s="2" t="str">
        <f>VLOOKUP(ORDERS[[#This Row],[ProductID]],Products[],3,FALSE)</f>
        <v>Female</v>
      </c>
      <c r="L135" s="2">
        <f>DAY(ORDERS[[#This Row],[OrderDate]])</f>
        <v>15</v>
      </c>
      <c r="M135" s="2">
        <f>YEAR(ORDERS[[#This Row],[OrderDate]])</f>
        <v>2012</v>
      </c>
    </row>
    <row r="136" spans="1:13" x14ac:dyDescent="0.3">
      <c r="A136">
        <v>135</v>
      </c>
      <c r="B136">
        <v>4</v>
      </c>
      <c r="C136">
        <v>3</v>
      </c>
      <c r="D136" s="1">
        <v>41015</v>
      </c>
      <c r="E136">
        <v>81</v>
      </c>
      <c r="F136">
        <f>VLOOKUP(ORDERS[[#This Row],[ProductID]],Products[],4,FALSE)</f>
        <v>22</v>
      </c>
      <c r="G136">
        <v>0.15000000599999999</v>
      </c>
      <c r="H136">
        <f>(ORDERS[[#This Row],[UnitsOrdered]]*ORDERS[[#This Row],[unit price]])-(ORDERS[[#This Row],[UnitsOrdered]]*ORDERS[[#This Row],[unit price]]*ORDERS[[#This Row],[Discount]])</f>
        <v>1514.6999893080001</v>
      </c>
      <c r="I136" t="str">
        <f>VLOOKUP(ORDERS[[#This Row],[CustomerID]],customers[],2,FALSE)</f>
        <v>Tshirt Unlimited</v>
      </c>
      <c r="J136" s="2" t="str">
        <f>VLOOKUP(ORDERS[[#This Row],[CustomerID]],customers[],4,FALSE)</f>
        <v>Phoenix</v>
      </c>
      <c r="K136" s="2" t="str">
        <f>VLOOKUP(ORDERS[[#This Row],[ProductID]],Products[],3,FALSE)</f>
        <v>Both</v>
      </c>
      <c r="L136" s="2">
        <f>DAY(ORDERS[[#This Row],[OrderDate]])</f>
        <v>16</v>
      </c>
      <c r="M136" s="2">
        <f>YEAR(ORDERS[[#This Row],[OrderDate]])</f>
        <v>2012</v>
      </c>
    </row>
    <row r="137" spans="1:13" x14ac:dyDescent="0.3">
      <c r="A137">
        <v>136</v>
      </c>
      <c r="B137">
        <v>7</v>
      </c>
      <c r="C137">
        <v>5</v>
      </c>
      <c r="D137" s="1">
        <v>41016</v>
      </c>
      <c r="E137">
        <v>150</v>
      </c>
      <c r="F137">
        <f>VLOOKUP(ORDERS[[#This Row],[ProductID]],Products[],4,FALSE)</f>
        <v>16</v>
      </c>
      <c r="G137">
        <v>0</v>
      </c>
      <c r="H137">
        <f>(ORDERS[[#This Row],[UnitsOrdered]]*ORDERS[[#This Row],[unit price]])-(ORDERS[[#This Row],[UnitsOrdered]]*ORDERS[[#This Row],[unit price]]*ORDERS[[#This Row],[Discount]])</f>
        <v>2400</v>
      </c>
      <c r="I137" t="str">
        <f>VLOOKUP(ORDERS[[#This Row],[CustomerID]],customers[],2,FALSE)</f>
        <v>The Shirt on Your Back</v>
      </c>
      <c r="J137" s="2" t="str">
        <f>VLOOKUP(ORDERS[[#This Row],[CustomerID]],customers[],4,FALSE)</f>
        <v>Bonners Ferry</v>
      </c>
      <c r="K137" s="2" t="str">
        <f>VLOOKUP(ORDERS[[#This Row],[ProductID]],Products[],3,FALSE)</f>
        <v>Female</v>
      </c>
      <c r="L137" s="2">
        <f>DAY(ORDERS[[#This Row],[OrderDate]])</f>
        <v>17</v>
      </c>
      <c r="M137" s="2">
        <f>YEAR(ORDERS[[#This Row],[OrderDate]])</f>
        <v>2012</v>
      </c>
    </row>
    <row r="138" spans="1:13" x14ac:dyDescent="0.3">
      <c r="A138">
        <v>137</v>
      </c>
      <c r="B138">
        <v>6</v>
      </c>
      <c r="C138">
        <v>4</v>
      </c>
      <c r="D138" s="1">
        <v>41017</v>
      </c>
      <c r="E138">
        <v>26</v>
      </c>
      <c r="F138">
        <f>VLOOKUP(ORDERS[[#This Row],[ProductID]],Products[],4,FALSE)</f>
        <v>30</v>
      </c>
      <c r="G138">
        <v>0</v>
      </c>
      <c r="H138">
        <f>(ORDERS[[#This Row],[UnitsOrdered]]*ORDERS[[#This Row],[unit price]])-(ORDERS[[#This Row],[UnitsOrdered]]*ORDERS[[#This Row],[unit price]]*ORDERS[[#This Row],[Discount]])</f>
        <v>780</v>
      </c>
      <c r="I138" t="str">
        <f>VLOOKUP(ORDERS[[#This Row],[CustomerID]],customers[],2,FALSE)</f>
        <v>Abracadaba Ink</v>
      </c>
      <c r="J138" s="2" t="str">
        <f>VLOOKUP(ORDERS[[#This Row],[CustomerID]],customers[],4,FALSE)</f>
        <v>Salt Lake City</v>
      </c>
      <c r="K138" s="2" t="str">
        <f>VLOOKUP(ORDERS[[#This Row],[ProductID]],Products[],3,FALSE)</f>
        <v>Both</v>
      </c>
      <c r="L138" s="2">
        <f>DAY(ORDERS[[#This Row],[OrderDate]])</f>
        <v>18</v>
      </c>
      <c r="M138" s="2">
        <f>YEAR(ORDERS[[#This Row],[OrderDate]])</f>
        <v>2012</v>
      </c>
    </row>
    <row r="139" spans="1:13" x14ac:dyDescent="0.3">
      <c r="A139">
        <v>138</v>
      </c>
      <c r="B139">
        <v>7</v>
      </c>
      <c r="C139">
        <v>3</v>
      </c>
      <c r="D139" s="1">
        <v>41019</v>
      </c>
      <c r="E139">
        <v>56</v>
      </c>
      <c r="F139">
        <f>VLOOKUP(ORDERS[[#This Row],[ProductID]],Products[],4,FALSE)</f>
        <v>22</v>
      </c>
      <c r="G139">
        <v>0</v>
      </c>
      <c r="H139">
        <f>(ORDERS[[#This Row],[UnitsOrdered]]*ORDERS[[#This Row],[unit price]])-(ORDERS[[#This Row],[UnitsOrdered]]*ORDERS[[#This Row],[unit price]]*ORDERS[[#This Row],[Discount]])</f>
        <v>1232</v>
      </c>
      <c r="I139" t="str">
        <f>VLOOKUP(ORDERS[[#This Row],[CustomerID]],customers[],2,FALSE)</f>
        <v>The Shirt on Your Back</v>
      </c>
      <c r="J139" s="2" t="str">
        <f>VLOOKUP(ORDERS[[#This Row],[CustomerID]],customers[],4,FALSE)</f>
        <v>Bonners Ferry</v>
      </c>
      <c r="K139" s="2" t="str">
        <f>VLOOKUP(ORDERS[[#This Row],[ProductID]],Products[],3,FALSE)</f>
        <v>Both</v>
      </c>
      <c r="L139" s="2">
        <f>DAY(ORDERS[[#This Row],[OrderDate]])</f>
        <v>20</v>
      </c>
      <c r="M139" s="2">
        <f>YEAR(ORDERS[[#This Row],[OrderDate]])</f>
        <v>2012</v>
      </c>
    </row>
    <row r="140" spans="1:13" x14ac:dyDescent="0.3">
      <c r="A140">
        <v>139</v>
      </c>
      <c r="B140">
        <v>1</v>
      </c>
      <c r="C140">
        <v>3</v>
      </c>
      <c r="D140" s="1">
        <v>41020</v>
      </c>
      <c r="E140">
        <v>63</v>
      </c>
      <c r="F140">
        <f>VLOOKUP(ORDERS[[#This Row],[ProductID]],Products[],4,FALSE)</f>
        <v>22</v>
      </c>
      <c r="G140">
        <v>0</v>
      </c>
      <c r="H140">
        <f>(ORDERS[[#This Row],[UnitsOrdered]]*ORDERS[[#This Row],[unit price]])-(ORDERS[[#This Row],[UnitsOrdered]]*ORDERS[[#This Row],[unit price]]*ORDERS[[#This Row],[Discount]])</f>
        <v>1386</v>
      </c>
      <c r="I140" t="str">
        <f>VLOOKUP(ORDERS[[#This Row],[CustomerID]],customers[],2,FALSE)</f>
        <v>Threads</v>
      </c>
      <c r="J140" s="2" t="str">
        <f>VLOOKUP(ORDERS[[#This Row],[CustomerID]],customers[],4,FALSE)</f>
        <v>Seattle</v>
      </c>
      <c r="K140" s="2" t="str">
        <f>VLOOKUP(ORDERS[[#This Row],[ProductID]],Products[],3,FALSE)</f>
        <v>Both</v>
      </c>
      <c r="L140" s="2">
        <f>DAY(ORDERS[[#This Row],[OrderDate]])</f>
        <v>21</v>
      </c>
      <c r="M140" s="2">
        <f>YEAR(ORDERS[[#This Row],[OrderDate]])</f>
        <v>2012</v>
      </c>
    </row>
    <row r="141" spans="1:13" x14ac:dyDescent="0.3">
      <c r="A141">
        <v>140</v>
      </c>
      <c r="B141">
        <v>1</v>
      </c>
      <c r="C141">
        <v>6</v>
      </c>
      <c r="D141" s="1">
        <v>41020</v>
      </c>
      <c r="E141">
        <v>145</v>
      </c>
      <c r="F141">
        <f>VLOOKUP(ORDERS[[#This Row],[ProductID]],Products[],4,FALSE)</f>
        <v>28</v>
      </c>
      <c r="G141">
        <v>0.10000000100000001</v>
      </c>
      <c r="H141">
        <f>(ORDERS[[#This Row],[UnitsOrdered]]*ORDERS[[#This Row],[unit price]])-(ORDERS[[#This Row],[UnitsOrdered]]*ORDERS[[#This Row],[unit price]]*ORDERS[[#This Row],[Discount]])</f>
        <v>3653.9999959400002</v>
      </c>
      <c r="I141" t="str">
        <f>VLOOKUP(ORDERS[[#This Row],[CustomerID]],customers[],2,FALSE)</f>
        <v>Threads</v>
      </c>
      <c r="J141" s="2" t="str">
        <f>VLOOKUP(ORDERS[[#This Row],[CustomerID]],customers[],4,FALSE)</f>
        <v>Seattle</v>
      </c>
      <c r="K141" s="2" t="str">
        <f>VLOOKUP(ORDERS[[#This Row],[ProductID]],Products[],3,FALSE)</f>
        <v>Female</v>
      </c>
      <c r="L141" s="2">
        <f>DAY(ORDERS[[#This Row],[OrderDate]])</f>
        <v>21</v>
      </c>
      <c r="M141" s="2">
        <f>YEAR(ORDERS[[#This Row],[OrderDate]])</f>
        <v>2012</v>
      </c>
    </row>
    <row r="142" spans="1:13" x14ac:dyDescent="0.3">
      <c r="A142">
        <v>141</v>
      </c>
      <c r="B142">
        <v>2</v>
      </c>
      <c r="C142">
        <v>10</v>
      </c>
      <c r="D142" s="1">
        <v>41020</v>
      </c>
      <c r="E142">
        <v>106</v>
      </c>
      <c r="F142">
        <f>VLOOKUP(ORDERS[[#This Row],[ProductID]],Products[],4,FALSE)</f>
        <v>35</v>
      </c>
      <c r="G142">
        <v>0</v>
      </c>
      <c r="H142">
        <f>(ORDERS[[#This Row],[UnitsOrdered]]*ORDERS[[#This Row],[unit price]])-(ORDERS[[#This Row],[UnitsOrdered]]*ORDERS[[#This Row],[unit price]]*ORDERS[[#This Row],[Discount]])</f>
        <v>3710</v>
      </c>
      <c r="I142" t="str">
        <f>VLOOKUP(ORDERS[[#This Row],[CustomerID]],customers[],2,FALSE)</f>
        <v>A Shirts Life</v>
      </c>
      <c r="J142" s="2" t="str">
        <f>VLOOKUP(ORDERS[[#This Row],[CustomerID]],customers[],4,FALSE)</f>
        <v>Portland</v>
      </c>
      <c r="K142" s="2" t="str">
        <f>VLOOKUP(ORDERS[[#This Row],[ProductID]],Products[],3,FALSE)</f>
        <v>Male</v>
      </c>
      <c r="L142" s="2">
        <f>DAY(ORDERS[[#This Row],[OrderDate]])</f>
        <v>21</v>
      </c>
      <c r="M142" s="2">
        <f>YEAR(ORDERS[[#This Row],[OrderDate]])</f>
        <v>2012</v>
      </c>
    </row>
    <row r="143" spans="1:13" x14ac:dyDescent="0.3">
      <c r="A143">
        <v>142</v>
      </c>
      <c r="B143">
        <v>1</v>
      </c>
      <c r="C143">
        <v>10</v>
      </c>
      <c r="D143" s="1">
        <v>41021</v>
      </c>
      <c r="E143">
        <v>136</v>
      </c>
      <c r="F143">
        <f>VLOOKUP(ORDERS[[#This Row],[ProductID]],Products[],4,FALSE)</f>
        <v>35</v>
      </c>
      <c r="G143">
        <v>0</v>
      </c>
      <c r="H143">
        <f>(ORDERS[[#This Row],[UnitsOrdered]]*ORDERS[[#This Row],[unit price]])-(ORDERS[[#This Row],[UnitsOrdered]]*ORDERS[[#This Row],[unit price]]*ORDERS[[#This Row],[Discount]])</f>
        <v>4760</v>
      </c>
      <c r="I143" t="str">
        <f>VLOOKUP(ORDERS[[#This Row],[CustomerID]],customers[],2,FALSE)</f>
        <v>Threads</v>
      </c>
      <c r="J143" s="2" t="str">
        <f>VLOOKUP(ORDERS[[#This Row],[CustomerID]],customers[],4,FALSE)</f>
        <v>Seattle</v>
      </c>
      <c r="K143" s="2" t="str">
        <f>VLOOKUP(ORDERS[[#This Row],[ProductID]],Products[],3,FALSE)</f>
        <v>Male</v>
      </c>
      <c r="L143" s="2">
        <f>DAY(ORDERS[[#This Row],[OrderDate]])</f>
        <v>22</v>
      </c>
      <c r="M143" s="2">
        <f>YEAR(ORDERS[[#This Row],[OrderDate]])</f>
        <v>2012</v>
      </c>
    </row>
    <row r="144" spans="1:13" x14ac:dyDescent="0.3">
      <c r="A144">
        <v>143</v>
      </c>
      <c r="B144">
        <v>2</v>
      </c>
      <c r="C144">
        <v>3</v>
      </c>
      <c r="D144" s="1">
        <v>41021</v>
      </c>
      <c r="E144">
        <v>145</v>
      </c>
      <c r="F144">
        <f>VLOOKUP(ORDERS[[#This Row],[ProductID]],Products[],4,FALSE)</f>
        <v>22</v>
      </c>
      <c r="G144">
        <v>0</v>
      </c>
      <c r="H144">
        <f>(ORDERS[[#This Row],[UnitsOrdered]]*ORDERS[[#This Row],[unit price]])-(ORDERS[[#This Row],[UnitsOrdered]]*ORDERS[[#This Row],[unit price]]*ORDERS[[#This Row],[Discount]])</f>
        <v>3190</v>
      </c>
      <c r="I144" t="str">
        <f>VLOOKUP(ORDERS[[#This Row],[CustomerID]],customers[],2,FALSE)</f>
        <v>A Shirts Life</v>
      </c>
      <c r="J144" s="2" t="str">
        <f>VLOOKUP(ORDERS[[#This Row],[CustomerID]],customers[],4,FALSE)</f>
        <v>Portland</v>
      </c>
      <c r="K144" s="2" t="str">
        <f>VLOOKUP(ORDERS[[#This Row],[ProductID]],Products[],3,FALSE)</f>
        <v>Both</v>
      </c>
      <c r="L144" s="2">
        <f>DAY(ORDERS[[#This Row],[OrderDate]])</f>
        <v>22</v>
      </c>
      <c r="M144" s="2">
        <f>YEAR(ORDERS[[#This Row],[OrderDate]])</f>
        <v>2012</v>
      </c>
    </row>
    <row r="145" spans="1:13" x14ac:dyDescent="0.3">
      <c r="A145">
        <v>144</v>
      </c>
      <c r="B145">
        <v>3</v>
      </c>
      <c r="C145">
        <v>2</v>
      </c>
      <c r="D145" s="1">
        <v>41021</v>
      </c>
      <c r="E145">
        <v>80</v>
      </c>
      <c r="F145">
        <f>VLOOKUP(ORDERS[[#This Row],[ProductID]],Products[],4,FALSE)</f>
        <v>30</v>
      </c>
      <c r="G145">
        <v>0</v>
      </c>
      <c r="H145">
        <f>(ORDERS[[#This Row],[UnitsOrdered]]*ORDERS[[#This Row],[unit price]])-(ORDERS[[#This Row],[UnitsOrdered]]*ORDERS[[#This Row],[unit price]]*ORDERS[[#This Row],[Discount]])</f>
        <v>2400</v>
      </c>
      <c r="I145" t="str">
        <f>VLOOKUP(ORDERS[[#This Row],[CustomerID]],customers[],2,FALSE)</f>
        <v>Shirts R Us</v>
      </c>
      <c r="J145" s="2" t="str">
        <f>VLOOKUP(ORDERS[[#This Row],[CustomerID]],customers[],4,FALSE)</f>
        <v>Los Angeles</v>
      </c>
      <c r="K145" s="2" t="str">
        <f>VLOOKUP(ORDERS[[#This Row],[ProductID]],Products[],3,FALSE)</f>
        <v>Both</v>
      </c>
      <c r="L145" s="2">
        <f>DAY(ORDERS[[#This Row],[OrderDate]])</f>
        <v>22</v>
      </c>
      <c r="M145" s="2">
        <f>YEAR(ORDERS[[#This Row],[OrderDate]])</f>
        <v>2012</v>
      </c>
    </row>
    <row r="146" spans="1:13" x14ac:dyDescent="0.3">
      <c r="A146">
        <v>145</v>
      </c>
      <c r="B146">
        <v>5</v>
      </c>
      <c r="C146">
        <v>8</v>
      </c>
      <c r="D146" s="1">
        <v>41021</v>
      </c>
      <c r="E146">
        <v>114</v>
      </c>
      <c r="F146">
        <f>VLOOKUP(ORDERS[[#This Row],[ProductID]],Products[],4,FALSE)</f>
        <v>27</v>
      </c>
      <c r="G146">
        <v>0.10000000100000001</v>
      </c>
      <c r="H146">
        <f>(ORDERS[[#This Row],[UnitsOrdered]]*ORDERS[[#This Row],[unit price]])-(ORDERS[[#This Row],[UnitsOrdered]]*ORDERS[[#This Row],[unit price]]*ORDERS[[#This Row],[Discount]])</f>
        <v>2770.1999969220001</v>
      </c>
      <c r="I146" t="str">
        <f>VLOOKUP(ORDERS[[#This Row],[CustomerID]],customers[],2,FALSE)</f>
        <v>Rags to Riches</v>
      </c>
      <c r="J146" s="2" t="str">
        <f>VLOOKUP(ORDERS[[#This Row],[CustomerID]],customers[],4,FALSE)</f>
        <v>Las Vegas</v>
      </c>
      <c r="K146" s="2" t="str">
        <f>VLOOKUP(ORDERS[[#This Row],[ProductID]],Products[],3,FALSE)</f>
        <v>Female</v>
      </c>
      <c r="L146" s="2">
        <f>DAY(ORDERS[[#This Row],[OrderDate]])</f>
        <v>22</v>
      </c>
      <c r="M146" s="2">
        <f>YEAR(ORDERS[[#This Row],[OrderDate]])</f>
        <v>2012</v>
      </c>
    </row>
    <row r="147" spans="1:13" x14ac:dyDescent="0.3">
      <c r="A147">
        <v>146</v>
      </c>
      <c r="B147">
        <v>6</v>
      </c>
      <c r="C147">
        <v>10</v>
      </c>
      <c r="D147" s="1">
        <v>41021</v>
      </c>
      <c r="E147">
        <v>28</v>
      </c>
      <c r="F147">
        <f>VLOOKUP(ORDERS[[#This Row],[ProductID]],Products[],4,FALSE)</f>
        <v>35</v>
      </c>
      <c r="G147">
        <v>0</v>
      </c>
      <c r="H147">
        <f>(ORDERS[[#This Row],[UnitsOrdered]]*ORDERS[[#This Row],[unit price]])-(ORDERS[[#This Row],[UnitsOrdered]]*ORDERS[[#This Row],[unit price]]*ORDERS[[#This Row],[Discount]])</f>
        <v>980</v>
      </c>
      <c r="I147" t="str">
        <f>VLOOKUP(ORDERS[[#This Row],[CustomerID]],customers[],2,FALSE)</f>
        <v>Abracadaba Ink</v>
      </c>
      <c r="J147" s="2" t="str">
        <f>VLOOKUP(ORDERS[[#This Row],[CustomerID]],customers[],4,FALSE)</f>
        <v>Salt Lake City</v>
      </c>
      <c r="K147" s="2" t="str">
        <f>VLOOKUP(ORDERS[[#This Row],[ProductID]],Products[],3,FALSE)</f>
        <v>Male</v>
      </c>
      <c r="L147" s="2">
        <f>DAY(ORDERS[[#This Row],[OrderDate]])</f>
        <v>22</v>
      </c>
      <c r="M147" s="2">
        <f>YEAR(ORDERS[[#This Row],[OrderDate]])</f>
        <v>2012</v>
      </c>
    </row>
    <row r="148" spans="1:13" x14ac:dyDescent="0.3">
      <c r="A148">
        <v>147</v>
      </c>
      <c r="B148">
        <v>1</v>
      </c>
      <c r="C148">
        <v>2</v>
      </c>
      <c r="D148" s="1">
        <v>41022</v>
      </c>
      <c r="E148">
        <v>150</v>
      </c>
      <c r="F148">
        <f>VLOOKUP(ORDERS[[#This Row],[ProductID]],Products[],4,FALSE)</f>
        <v>30</v>
      </c>
      <c r="G148">
        <v>0</v>
      </c>
      <c r="H148">
        <f>(ORDERS[[#This Row],[UnitsOrdered]]*ORDERS[[#This Row],[unit price]])-(ORDERS[[#This Row],[UnitsOrdered]]*ORDERS[[#This Row],[unit price]]*ORDERS[[#This Row],[Discount]])</f>
        <v>4500</v>
      </c>
      <c r="I148" t="str">
        <f>VLOOKUP(ORDERS[[#This Row],[CustomerID]],customers[],2,FALSE)</f>
        <v>Threads</v>
      </c>
      <c r="J148" s="2" t="str">
        <f>VLOOKUP(ORDERS[[#This Row],[CustomerID]],customers[],4,FALSE)</f>
        <v>Seattle</v>
      </c>
      <c r="K148" s="2" t="str">
        <f>VLOOKUP(ORDERS[[#This Row],[ProductID]],Products[],3,FALSE)</f>
        <v>Both</v>
      </c>
      <c r="L148" s="2">
        <f>DAY(ORDERS[[#This Row],[OrderDate]])</f>
        <v>23</v>
      </c>
      <c r="M148" s="2">
        <f>YEAR(ORDERS[[#This Row],[OrderDate]])</f>
        <v>2012</v>
      </c>
    </row>
    <row r="149" spans="1:13" x14ac:dyDescent="0.3">
      <c r="A149">
        <v>148</v>
      </c>
      <c r="B149">
        <v>2</v>
      </c>
      <c r="C149">
        <v>3</v>
      </c>
      <c r="D149" s="1">
        <v>41023</v>
      </c>
      <c r="E149">
        <v>148</v>
      </c>
      <c r="F149">
        <f>VLOOKUP(ORDERS[[#This Row],[ProductID]],Products[],4,FALSE)</f>
        <v>22</v>
      </c>
      <c r="G149">
        <v>5.0000001000000002E-2</v>
      </c>
      <c r="H149">
        <f>(ORDERS[[#This Row],[UnitsOrdered]]*ORDERS[[#This Row],[unit price]])-(ORDERS[[#This Row],[UnitsOrdered]]*ORDERS[[#This Row],[unit price]]*ORDERS[[#This Row],[Discount]])</f>
        <v>3093.1999967440001</v>
      </c>
      <c r="I149" t="str">
        <f>VLOOKUP(ORDERS[[#This Row],[CustomerID]],customers[],2,FALSE)</f>
        <v>A Shirts Life</v>
      </c>
      <c r="J149" s="2" t="str">
        <f>VLOOKUP(ORDERS[[#This Row],[CustomerID]],customers[],4,FALSE)</f>
        <v>Portland</v>
      </c>
      <c r="K149" s="2" t="str">
        <f>VLOOKUP(ORDERS[[#This Row],[ProductID]],Products[],3,FALSE)</f>
        <v>Both</v>
      </c>
      <c r="L149" s="2">
        <f>DAY(ORDERS[[#This Row],[OrderDate]])</f>
        <v>24</v>
      </c>
      <c r="M149" s="2">
        <f>YEAR(ORDERS[[#This Row],[OrderDate]])</f>
        <v>2012</v>
      </c>
    </row>
    <row r="150" spans="1:13" x14ac:dyDescent="0.3">
      <c r="A150">
        <v>149</v>
      </c>
      <c r="B150">
        <v>5</v>
      </c>
      <c r="C150">
        <v>2</v>
      </c>
      <c r="D150" s="1">
        <v>41023</v>
      </c>
      <c r="E150">
        <v>64</v>
      </c>
      <c r="F150">
        <f>VLOOKUP(ORDERS[[#This Row],[ProductID]],Products[],4,FALSE)</f>
        <v>30</v>
      </c>
      <c r="G150">
        <v>0.10000000100000001</v>
      </c>
      <c r="H150">
        <f>(ORDERS[[#This Row],[UnitsOrdered]]*ORDERS[[#This Row],[unit price]])-(ORDERS[[#This Row],[UnitsOrdered]]*ORDERS[[#This Row],[unit price]]*ORDERS[[#This Row],[Discount]])</f>
        <v>1727.9999980800001</v>
      </c>
      <c r="I150" t="str">
        <f>VLOOKUP(ORDERS[[#This Row],[CustomerID]],customers[],2,FALSE)</f>
        <v>Rags to Riches</v>
      </c>
      <c r="J150" s="2" t="str">
        <f>VLOOKUP(ORDERS[[#This Row],[CustomerID]],customers[],4,FALSE)</f>
        <v>Las Vegas</v>
      </c>
      <c r="K150" s="2" t="str">
        <f>VLOOKUP(ORDERS[[#This Row],[ProductID]],Products[],3,FALSE)</f>
        <v>Both</v>
      </c>
      <c r="L150" s="2">
        <f>DAY(ORDERS[[#This Row],[OrderDate]])</f>
        <v>24</v>
      </c>
      <c r="M150" s="2">
        <f>YEAR(ORDERS[[#This Row],[OrderDate]])</f>
        <v>2012</v>
      </c>
    </row>
    <row r="151" spans="1:13" x14ac:dyDescent="0.3">
      <c r="A151">
        <v>150</v>
      </c>
      <c r="B151">
        <v>7</v>
      </c>
      <c r="C151">
        <v>7</v>
      </c>
      <c r="D151" s="1">
        <v>41025</v>
      </c>
      <c r="E151">
        <v>122</v>
      </c>
      <c r="F151">
        <f>VLOOKUP(ORDERS[[#This Row],[ProductID]],Products[],4,FALSE)</f>
        <v>38</v>
      </c>
      <c r="G151">
        <v>0</v>
      </c>
      <c r="H151">
        <f>(ORDERS[[#This Row],[UnitsOrdered]]*ORDERS[[#This Row],[unit price]])-(ORDERS[[#This Row],[UnitsOrdered]]*ORDERS[[#This Row],[unit price]]*ORDERS[[#This Row],[Discount]])</f>
        <v>4636</v>
      </c>
      <c r="I151" t="str">
        <f>VLOOKUP(ORDERS[[#This Row],[CustomerID]],customers[],2,FALSE)</f>
        <v>The Shirt on Your Back</v>
      </c>
      <c r="J151" s="2" t="str">
        <f>VLOOKUP(ORDERS[[#This Row],[CustomerID]],customers[],4,FALSE)</f>
        <v>Bonners Ferry</v>
      </c>
      <c r="K151" s="2" t="str">
        <f>VLOOKUP(ORDERS[[#This Row],[ProductID]],Products[],3,FALSE)</f>
        <v>Female</v>
      </c>
      <c r="L151" s="2">
        <f>DAY(ORDERS[[#This Row],[OrderDate]])</f>
        <v>26</v>
      </c>
      <c r="M151" s="2">
        <f>YEAR(ORDERS[[#This Row],[OrderDate]])</f>
        <v>2012</v>
      </c>
    </row>
    <row r="152" spans="1:13" x14ac:dyDescent="0.3">
      <c r="A152">
        <v>151</v>
      </c>
      <c r="B152">
        <v>3</v>
      </c>
      <c r="C152">
        <v>9</v>
      </c>
      <c r="D152" s="1">
        <v>41029</v>
      </c>
      <c r="E152">
        <v>119</v>
      </c>
      <c r="F152">
        <f>VLOOKUP(ORDERS[[#This Row],[ProductID]],Products[],4,FALSE)</f>
        <v>25</v>
      </c>
      <c r="G152">
        <v>0</v>
      </c>
      <c r="H152">
        <f>(ORDERS[[#This Row],[UnitsOrdered]]*ORDERS[[#This Row],[unit price]])-(ORDERS[[#This Row],[UnitsOrdered]]*ORDERS[[#This Row],[unit price]]*ORDERS[[#This Row],[Discount]])</f>
        <v>2975</v>
      </c>
      <c r="I152" t="str">
        <f>VLOOKUP(ORDERS[[#This Row],[CustomerID]],customers[],2,FALSE)</f>
        <v>Shirts R Us</v>
      </c>
      <c r="J152" s="2" t="str">
        <f>VLOOKUP(ORDERS[[#This Row],[CustomerID]],customers[],4,FALSE)</f>
        <v>Los Angeles</v>
      </c>
      <c r="K152" s="2" t="str">
        <f>VLOOKUP(ORDERS[[#This Row],[ProductID]],Products[],3,FALSE)</f>
        <v>Male</v>
      </c>
      <c r="L152" s="2">
        <f>DAY(ORDERS[[#This Row],[OrderDate]])</f>
        <v>30</v>
      </c>
      <c r="M152" s="2">
        <f>YEAR(ORDERS[[#This Row],[OrderDate]])</f>
        <v>2012</v>
      </c>
    </row>
    <row r="153" spans="1:13" x14ac:dyDescent="0.3">
      <c r="A153">
        <v>152</v>
      </c>
      <c r="B153">
        <v>4</v>
      </c>
      <c r="C153">
        <v>7</v>
      </c>
      <c r="D153" s="1">
        <v>41029</v>
      </c>
      <c r="E153">
        <v>31</v>
      </c>
      <c r="F153">
        <f>VLOOKUP(ORDERS[[#This Row],[ProductID]],Products[],4,FALSE)</f>
        <v>38</v>
      </c>
      <c r="G153">
        <v>0</v>
      </c>
      <c r="H153">
        <f>(ORDERS[[#This Row],[UnitsOrdered]]*ORDERS[[#This Row],[unit price]])-(ORDERS[[#This Row],[UnitsOrdered]]*ORDERS[[#This Row],[unit price]]*ORDERS[[#This Row],[Discount]])</f>
        <v>1178</v>
      </c>
      <c r="I153" t="str">
        <f>VLOOKUP(ORDERS[[#This Row],[CustomerID]],customers[],2,FALSE)</f>
        <v>Tshirt Unlimited</v>
      </c>
      <c r="J153" s="2" t="str">
        <f>VLOOKUP(ORDERS[[#This Row],[CustomerID]],customers[],4,FALSE)</f>
        <v>Phoenix</v>
      </c>
      <c r="K153" s="2" t="str">
        <f>VLOOKUP(ORDERS[[#This Row],[ProductID]],Products[],3,FALSE)</f>
        <v>Female</v>
      </c>
      <c r="L153" s="2">
        <f>DAY(ORDERS[[#This Row],[OrderDate]])</f>
        <v>30</v>
      </c>
      <c r="M153" s="2">
        <f>YEAR(ORDERS[[#This Row],[OrderDate]])</f>
        <v>2012</v>
      </c>
    </row>
    <row r="154" spans="1:13" x14ac:dyDescent="0.3">
      <c r="A154">
        <v>153</v>
      </c>
      <c r="B154">
        <v>3</v>
      </c>
      <c r="C154">
        <v>3</v>
      </c>
      <c r="D154" s="1">
        <v>41030</v>
      </c>
      <c r="E154">
        <v>35</v>
      </c>
      <c r="F154">
        <f>VLOOKUP(ORDERS[[#This Row],[ProductID]],Products[],4,FALSE)</f>
        <v>22</v>
      </c>
      <c r="G154">
        <v>0.15000000599999999</v>
      </c>
      <c r="H154">
        <f>(ORDERS[[#This Row],[UnitsOrdered]]*ORDERS[[#This Row],[unit price]])-(ORDERS[[#This Row],[UnitsOrdered]]*ORDERS[[#This Row],[unit price]]*ORDERS[[#This Row],[Discount]])</f>
        <v>654.49999537999997</v>
      </c>
      <c r="I154" t="str">
        <f>VLOOKUP(ORDERS[[#This Row],[CustomerID]],customers[],2,FALSE)</f>
        <v>Shirts R Us</v>
      </c>
      <c r="J154" s="2" t="str">
        <f>VLOOKUP(ORDERS[[#This Row],[CustomerID]],customers[],4,FALSE)</f>
        <v>Los Angeles</v>
      </c>
      <c r="K154" s="2" t="str">
        <f>VLOOKUP(ORDERS[[#This Row],[ProductID]],Products[],3,FALSE)</f>
        <v>Both</v>
      </c>
      <c r="L154" s="2">
        <f>DAY(ORDERS[[#This Row],[OrderDate]])</f>
        <v>1</v>
      </c>
      <c r="M154" s="2">
        <f>YEAR(ORDERS[[#This Row],[OrderDate]])</f>
        <v>2012</v>
      </c>
    </row>
    <row r="155" spans="1:13" x14ac:dyDescent="0.3">
      <c r="A155">
        <v>154</v>
      </c>
      <c r="B155">
        <v>1</v>
      </c>
      <c r="C155">
        <v>2</v>
      </c>
      <c r="D155" s="1">
        <v>41031</v>
      </c>
      <c r="E155">
        <v>45</v>
      </c>
      <c r="F155">
        <f>VLOOKUP(ORDERS[[#This Row],[ProductID]],Products[],4,FALSE)</f>
        <v>30</v>
      </c>
      <c r="G155">
        <v>0</v>
      </c>
      <c r="H155">
        <f>(ORDERS[[#This Row],[UnitsOrdered]]*ORDERS[[#This Row],[unit price]])-(ORDERS[[#This Row],[UnitsOrdered]]*ORDERS[[#This Row],[unit price]]*ORDERS[[#This Row],[Discount]])</f>
        <v>1350</v>
      </c>
      <c r="I155" t="str">
        <f>VLOOKUP(ORDERS[[#This Row],[CustomerID]],customers[],2,FALSE)</f>
        <v>Threads</v>
      </c>
      <c r="J155" s="2" t="str">
        <f>VLOOKUP(ORDERS[[#This Row],[CustomerID]],customers[],4,FALSE)</f>
        <v>Seattle</v>
      </c>
      <c r="K155" s="2" t="str">
        <f>VLOOKUP(ORDERS[[#This Row],[ProductID]],Products[],3,FALSE)</f>
        <v>Both</v>
      </c>
      <c r="L155" s="2">
        <f>DAY(ORDERS[[#This Row],[OrderDate]])</f>
        <v>2</v>
      </c>
      <c r="M155" s="2">
        <f>YEAR(ORDERS[[#This Row],[OrderDate]])</f>
        <v>2012</v>
      </c>
    </row>
    <row r="156" spans="1:13" x14ac:dyDescent="0.3">
      <c r="A156">
        <v>155</v>
      </c>
      <c r="B156">
        <v>1</v>
      </c>
      <c r="C156">
        <v>6</v>
      </c>
      <c r="D156" s="1">
        <v>41031</v>
      </c>
      <c r="E156">
        <v>104</v>
      </c>
      <c r="F156">
        <f>VLOOKUP(ORDERS[[#This Row],[ProductID]],Products[],4,FALSE)</f>
        <v>28</v>
      </c>
      <c r="G156">
        <v>0</v>
      </c>
      <c r="H156">
        <f>(ORDERS[[#This Row],[UnitsOrdered]]*ORDERS[[#This Row],[unit price]])-(ORDERS[[#This Row],[UnitsOrdered]]*ORDERS[[#This Row],[unit price]]*ORDERS[[#This Row],[Discount]])</f>
        <v>2912</v>
      </c>
      <c r="I156" t="str">
        <f>VLOOKUP(ORDERS[[#This Row],[CustomerID]],customers[],2,FALSE)</f>
        <v>Threads</v>
      </c>
      <c r="J156" s="2" t="str">
        <f>VLOOKUP(ORDERS[[#This Row],[CustomerID]],customers[],4,FALSE)</f>
        <v>Seattle</v>
      </c>
      <c r="K156" s="2" t="str">
        <f>VLOOKUP(ORDERS[[#This Row],[ProductID]],Products[],3,FALSE)</f>
        <v>Female</v>
      </c>
      <c r="L156" s="2">
        <f>DAY(ORDERS[[#This Row],[OrderDate]])</f>
        <v>2</v>
      </c>
      <c r="M156" s="2">
        <f>YEAR(ORDERS[[#This Row],[OrderDate]])</f>
        <v>2012</v>
      </c>
    </row>
    <row r="157" spans="1:13" x14ac:dyDescent="0.3">
      <c r="A157">
        <v>156</v>
      </c>
      <c r="B157">
        <v>3</v>
      </c>
      <c r="C157">
        <v>7</v>
      </c>
      <c r="D157" s="1">
        <v>41032</v>
      </c>
      <c r="E157">
        <v>141</v>
      </c>
      <c r="F157">
        <f>VLOOKUP(ORDERS[[#This Row],[ProductID]],Products[],4,FALSE)</f>
        <v>38</v>
      </c>
      <c r="G157">
        <v>0</v>
      </c>
      <c r="H157">
        <f>(ORDERS[[#This Row],[UnitsOrdered]]*ORDERS[[#This Row],[unit price]])-(ORDERS[[#This Row],[UnitsOrdered]]*ORDERS[[#This Row],[unit price]]*ORDERS[[#This Row],[Discount]])</f>
        <v>5358</v>
      </c>
      <c r="I157" t="str">
        <f>VLOOKUP(ORDERS[[#This Row],[CustomerID]],customers[],2,FALSE)</f>
        <v>Shirts R Us</v>
      </c>
      <c r="J157" s="2" t="str">
        <f>VLOOKUP(ORDERS[[#This Row],[CustomerID]],customers[],4,FALSE)</f>
        <v>Los Angeles</v>
      </c>
      <c r="K157" s="2" t="str">
        <f>VLOOKUP(ORDERS[[#This Row],[ProductID]],Products[],3,FALSE)</f>
        <v>Female</v>
      </c>
      <c r="L157" s="2">
        <f>DAY(ORDERS[[#This Row],[OrderDate]])</f>
        <v>3</v>
      </c>
      <c r="M157" s="2">
        <f>YEAR(ORDERS[[#This Row],[OrderDate]])</f>
        <v>2012</v>
      </c>
    </row>
    <row r="158" spans="1:13" x14ac:dyDescent="0.3">
      <c r="A158">
        <v>157</v>
      </c>
      <c r="B158">
        <v>5</v>
      </c>
      <c r="C158">
        <v>3</v>
      </c>
      <c r="D158" s="1">
        <v>41032</v>
      </c>
      <c r="E158">
        <v>47</v>
      </c>
      <c r="F158">
        <f>VLOOKUP(ORDERS[[#This Row],[ProductID]],Products[],4,FALSE)</f>
        <v>22</v>
      </c>
      <c r="G158">
        <v>0</v>
      </c>
      <c r="H158">
        <f>(ORDERS[[#This Row],[UnitsOrdered]]*ORDERS[[#This Row],[unit price]])-(ORDERS[[#This Row],[UnitsOrdered]]*ORDERS[[#This Row],[unit price]]*ORDERS[[#This Row],[Discount]])</f>
        <v>1034</v>
      </c>
      <c r="I158" t="str">
        <f>VLOOKUP(ORDERS[[#This Row],[CustomerID]],customers[],2,FALSE)</f>
        <v>Rags to Riches</v>
      </c>
      <c r="J158" s="2" t="str">
        <f>VLOOKUP(ORDERS[[#This Row],[CustomerID]],customers[],4,FALSE)</f>
        <v>Las Vegas</v>
      </c>
      <c r="K158" s="2" t="str">
        <f>VLOOKUP(ORDERS[[#This Row],[ProductID]],Products[],3,FALSE)</f>
        <v>Both</v>
      </c>
      <c r="L158" s="2">
        <f>DAY(ORDERS[[#This Row],[OrderDate]])</f>
        <v>3</v>
      </c>
      <c r="M158" s="2">
        <f>YEAR(ORDERS[[#This Row],[OrderDate]])</f>
        <v>2012</v>
      </c>
    </row>
    <row r="159" spans="1:13" x14ac:dyDescent="0.3">
      <c r="A159">
        <v>158</v>
      </c>
      <c r="B159">
        <v>1</v>
      </c>
      <c r="C159">
        <v>6</v>
      </c>
      <c r="D159" s="1">
        <v>41034</v>
      </c>
      <c r="E159">
        <v>42</v>
      </c>
      <c r="F159">
        <f>VLOOKUP(ORDERS[[#This Row],[ProductID]],Products[],4,FALSE)</f>
        <v>28</v>
      </c>
      <c r="G159">
        <v>0</v>
      </c>
      <c r="H159">
        <f>(ORDERS[[#This Row],[UnitsOrdered]]*ORDERS[[#This Row],[unit price]])-(ORDERS[[#This Row],[UnitsOrdered]]*ORDERS[[#This Row],[unit price]]*ORDERS[[#This Row],[Discount]])</f>
        <v>1176</v>
      </c>
      <c r="I159" t="str">
        <f>VLOOKUP(ORDERS[[#This Row],[CustomerID]],customers[],2,FALSE)</f>
        <v>Threads</v>
      </c>
      <c r="J159" s="2" t="str">
        <f>VLOOKUP(ORDERS[[#This Row],[CustomerID]],customers[],4,FALSE)</f>
        <v>Seattle</v>
      </c>
      <c r="K159" s="2" t="str">
        <f>VLOOKUP(ORDERS[[#This Row],[ProductID]],Products[],3,FALSE)</f>
        <v>Female</v>
      </c>
      <c r="L159" s="2">
        <f>DAY(ORDERS[[#This Row],[OrderDate]])</f>
        <v>5</v>
      </c>
      <c r="M159" s="2">
        <f>YEAR(ORDERS[[#This Row],[OrderDate]])</f>
        <v>2012</v>
      </c>
    </row>
    <row r="160" spans="1:13" x14ac:dyDescent="0.3">
      <c r="A160">
        <v>159</v>
      </c>
      <c r="B160">
        <v>3</v>
      </c>
      <c r="C160">
        <v>1</v>
      </c>
      <c r="D160" s="1">
        <v>41034</v>
      </c>
      <c r="E160">
        <v>112</v>
      </c>
      <c r="F160">
        <f>VLOOKUP(ORDERS[[#This Row],[ProductID]],Products[],4,FALSE)</f>
        <v>20</v>
      </c>
      <c r="G160">
        <v>0</v>
      </c>
      <c r="H160">
        <f>(ORDERS[[#This Row],[UnitsOrdered]]*ORDERS[[#This Row],[unit price]])-(ORDERS[[#This Row],[UnitsOrdered]]*ORDERS[[#This Row],[unit price]]*ORDERS[[#This Row],[Discount]])</f>
        <v>2240</v>
      </c>
      <c r="I160" t="str">
        <f>VLOOKUP(ORDERS[[#This Row],[CustomerID]],customers[],2,FALSE)</f>
        <v>Shirts R Us</v>
      </c>
      <c r="J160" s="2" t="str">
        <f>VLOOKUP(ORDERS[[#This Row],[CustomerID]],customers[],4,FALSE)</f>
        <v>Los Angeles</v>
      </c>
      <c r="K160" s="2" t="str">
        <f>VLOOKUP(ORDERS[[#This Row],[ProductID]],Products[],3,FALSE)</f>
        <v>Both</v>
      </c>
      <c r="L160" s="2">
        <f>DAY(ORDERS[[#This Row],[OrderDate]])</f>
        <v>5</v>
      </c>
      <c r="M160" s="2">
        <f>YEAR(ORDERS[[#This Row],[OrderDate]])</f>
        <v>2012</v>
      </c>
    </row>
    <row r="161" spans="1:13" x14ac:dyDescent="0.3">
      <c r="A161">
        <v>160</v>
      </c>
      <c r="B161">
        <v>1</v>
      </c>
      <c r="C161">
        <v>4</v>
      </c>
      <c r="D161" s="1">
        <v>41035</v>
      </c>
      <c r="E161">
        <v>46</v>
      </c>
      <c r="F161">
        <f>VLOOKUP(ORDERS[[#This Row],[ProductID]],Products[],4,FALSE)</f>
        <v>30</v>
      </c>
      <c r="G161">
        <v>0</v>
      </c>
      <c r="H161">
        <f>(ORDERS[[#This Row],[UnitsOrdered]]*ORDERS[[#This Row],[unit price]])-(ORDERS[[#This Row],[UnitsOrdered]]*ORDERS[[#This Row],[unit price]]*ORDERS[[#This Row],[Discount]])</f>
        <v>1380</v>
      </c>
      <c r="I161" t="str">
        <f>VLOOKUP(ORDERS[[#This Row],[CustomerID]],customers[],2,FALSE)</f>
        <v>Threads</v>
      </c>
      <c r="J161" s="2" t="str">
        <f>VLOOKUP(ORDERS[[#This Row],[CustomerID]],customers[],4,FALSE)</f>
        <v>Seattle</v>
      </c>
      <c r="K161" s="2" t="str">
        <f>VLOOKUP(ORDERS[[#This Row],[ProductID]],Products[],3,FALSE)</f>
        <v>Both</v>
      </c>
      <c r="L161" s="2">
        <f>DAY(ORDERS[[#This Row],[OrderDate]])</f>
        <v>6</v>
      </c>
      <c r="M161" s="2">
        <f>YEAR(ORDERS[[#This Row],[OrderDate]])</f>
        <v>2012</v>
      </c>
    </row>
    <row r="162" spans="1:13" x14ac:dyDescent="0.3">
      <c r="A162">
        <v>161</v>
      </c>
      <c r="B162">
        <v>2</v>
      </c>
      <c r="C162">
        <v>5</v>
      </c>
      <c r="D162" s="1">
        <v>41035</v>
      </c>
      <c r="E162">
        <v>65</v>
      </c>
      <c r="F162">
        <f>VLOOKUP(ORDERS[[#This Row],[ProductID]],Products[],4,FALSE)</f>
        <v>16</v>
      </c>
      <c r="G162">
        <v>0</v>
      </c>
      <c r="H162">
        <f>(ORDERS[[#This Row],[UnitsOrdered]]*ORDERS[[#This Row],[unit price]])-(ORDERS[[#This Row],[UnitsOrdered]]*ORDERS[[#This Row],[unit price]]*ORDERS[[#This Row],[Discount]])</f>
        <v>1040</v>
      </c>
      <c r="I162" t="str">
        <f>VLOOKUP(ORDERS[[#This Row],[CustomerID]],customers[],2,FALSE)</f>
        <v>A Shirts Life</v>
      </c>
      <c r="J162" s="2" t="str">
        <f>VLOOKUP(ORDERS[[#This Row],[CustomerID]],customers[],4,FALSE)</f>
        <v>Portland</v>
      </c>
      <c r="K162" s="2" t="str">
        <f>VLOOKUP(ORDERS[[#This Row],[ProductID]],Products[],3,FALSE)</f>
        <v>Female</v>
      </c>
      <c r="L162" s="2">
        <f>DAY(ORDERS[[#This Row],[OrderDate]])</f>
        <v>6</v>
      </c>
      <c r="M162" s="2">
        <f>YEAR(ORDERS[[#This Row],[OrderDate]])</f>
        <v>2012</v>
      </c>
    </row>
    <row r="163" spans="1:13" x14ac:dyDescent="0.3">
      <c r="A163">
        <v>162</v>
      </c>
      <c r="B163">
        <v>5</v>
      </c>
      <c r="C163">
        <v>10</v>
      </c>
      <c r="D163" s="1">
        <v>41038</v>
      </c>
      <c r="E163">
        <v>78</v>
      </c>
      <c r="F163">
        <f>VLOOKUP(ORDERS[[#This Row],[ProductID]],Products[],4,FALSE)</f>
        <v>35</v>
      </c>
      <c r="G163">
        <v>0</v>
      </c>
      <c r="H163">
        <f>(ORDERS[[#This Row],[UnitsOrdered]]*ORDERS[[#This Row],[unit price]])-(ORDERS[[#This Row],[UnitsOrdered]]*ORDERS[[#This Row],[unit price]]*ORDERS[[#This Row],[Discount]])</f>
        <v>2730</v>
      </c>
      <c r="I163" t="str">
        <f>VLOOKUP(ORDERS[[#This Row],[CustomerID]],customers[],2,FALSE)</f>
        <v>Rags to Riches</v>
      </c>
      <c r="J163" s="2" t="str">
        <f>VLOOKUP(ORDERS[[#This Row],[CustomerID]],customers[],4,FALSE)</f>
        <v>Las Vegas</v>
      </c>
      <c r="K163" s="2" t="str">
        <f>VLOOKUP(ORDERS[[#This Row],[ProductID]],Products[],3,FALSE)</f>
        <v>Male</v>
      </c>
      <c r="L163" s="2">
        <f>DAY(ORDERS[[#This Row],[OrderDate]])</f>
        <v>9</v>
      </c>
      <c r="M163" s="2">
        <f>YEAR(ORDERS[[#This Row],[OrderDate]])</f>
        <v>2012</v>
      </c>
    </row>
    <row r="164" spans="1:13" x14ac:dyDescent="0.3">
      <c r="A164">
        <v>163</v>
      </c>
      <c r="B164">
        <v>2</v>
      </c>
      <c r="C164">
        <v>10</v>
      </c>
      <c r="D164" s="1">
        <v>41040</v>
      </c>
      <c r="E164">
        <v>112</v>
      </c>
      <c r="F164">
        <f>VLOOKUP(ORDERS[[#This Row],[ProductID]],Products[],4,FALSE)</f>
        <v>35</v>
      </c>
      <c r="G164">
        <v>5.0000001000000002E-2</v>
      </c>
      <c r="H164">
        <f>(ORDERS[[#This Row],[UnitsOrdered]]*ORDERS[[#This Row],[unit price]])-(ORDERS[[#This Row],[UnitsOrdered]]*ORDERS[[#This Row],[unit price]]*ORDERS[[#This Row],[Discount]])</f>
        <v>3723.9999960800001</v>
      </c>
      <c r="I164" t="str">
        <f>VLOOKUP(ORDERS[[#This Row],[CustomerID]],customers[],2,FALSE)</f>
        <v>A Shirts Life</v>
      </c>
      <c r="J164" s="2" t="str">
        <f>VLOOKUP(ORDERS[[#This Row],[CustomerID]],customers[],4,FALSE)</f>
        <v>Portland</v>
      </c>
      <c r="K164" s="2" t="str">
        <f>VLOOKUP(ORDERS[[#This Row],[ProductID]],Products[],3,FALSE)</f>
        <v>Male</v>
      </c>
      <c r="L164" s="2">
        <f>DAY(ORDERS[[#This Row],[OrderDate]])</f>
        <v>11</v>
      </c>
      <c r="M164" s="2">
        <f>YEAR(ORDERS[[#This Row],[OrderDate]])</f>
        <v>2012</v>
      </c>
    </row>
    <row r="165" spans="1:13" x14ac:dyDescent="0.3">
      <c r="A165">
        <v>164</v>
      </c>
      <c r="B165">
        <v>6</v>
      </c>
      <c r="C165">
        <v>7</v>
      </c>
      <c r="D165" s="1">
        <v>41041</v>
      </c>
      <c r="E165">
        <v>150</v>
      </c>
      <c r="F165">
        <f>VLOOKUP(ORDERS[[#This Row],[ProductID]],Products[],4,FALSE)</f>
        <v>38</v>
      </c>
      <c r="G165">
        <v>0</v>
      </c>
      <c r="H165">
        <f>(ORDERS[[#This Row],[UnitsOrdered]]*ORDERS[[#This Row],[unit price]])-(ORDERS[[#This Row],[UnitsOrdered]]*ORDERS[[#This Row],[unit price]]*ORDERS[[#This Row],[Discount]])</f>
        <v>5700</v>
      </c>
      <c r="I165" t="str">
        <f>VLOOKUP(ORDERS[[#This Row],[CustomerID]],customers[],2,FALSE)</f>
        <v>Abracadaba Ink</v>
      </c>
      <c r="J165" s="2" t="str">
        <f>VLOOKUP(ORDERS[[#This Row],[CustomerID]],customers[],4,FALSE)</f>
        <v>Salt Lake City</v>
      </c>
      <c r="K165" s="2" t="str">
        <f>VLOOKUP(ORDERS[[#This Row],[ProductID]],Products[],3,FALSE)</f>
        <v>Female</v>
      </c>
      <c r="L165" s="2">
        <f>DAY(ORDERS[[#This Row],[OrderDate]])</f>
        <v>12</v>
      </c>
      <c r="M165" s="2">
        <f>YEAR(ORDERS[[#This Row],[OrderDate]])</f>
        <v>2012</v>
      </c>
    </row>
    <row r="166" spans="1:13" x14ac:dyDescent="0.3">
      <c r="A166">
        <v>165</v>
      </c>
      <c r="B166">
        <v>4</v>
      </c>
      <c r="C166">
        <v>5</v>
      </c>
      <c r="D166" s="1">
        <v>41042</v>
      </c>
      <c r="E166">
        <v>93</v>
      </c>
      <c r="F166">
        <f>VLOOKUP(ORDERS[[#This Row],[ProductID]],Products[],4,FALSE)</f>
        <v>16</v>
      </c>
      <c r="G166">
        <v>0</v>
      </c>
      <c r="H166">
        <f>(ORDERS[[#This Row],[UnitsOrdered]]*ORDERS[[#This Row],[unit price]])-(ORDERS[[#This Row],[UnitsOrdered]]*ORDERS[[#This Row],[unit price]]*ORDERS[[#This Row],[Discount]])</f>
        <v>1488</v>
      </c>
      <c r="I166" t="str">
        <f>VLOOKUP(ORDERS[[#This Row],[CustomerID]],customers[],2,FALSE)</f>
        <v>Tshirt Unlimited</v>
      </c>
      <c r="J166" s="2" t="str">
        <f>VLOOKUP(ORDERS[[#This Row],[CustomerID]],customers[],4,FALSE)</f>
        <v>Phoenix</v>
      </c>
      <c r="K166" s="2" t="str">
        <f>VLOOKUP(ORDERS[[#This Row],[ProductID]],Products[],3,FALSE)</f>
        <v>Female</v>
      </c>
      <c r="L166" s="2">
        <f>DAY(ORDERS[[#This Row],[OrderDate]])</f>
        <v>13</v>
      </c>
      <c r="M166" s="2">
        <f>YEAR(ORDERS[[#This Row],[OrderDate]])</f>
        <v>2012</v>
      </c>
    </row>
    <row r="167" spans="1:13" x14ac:dyDescent="0.3">
      <c r="A167">
        <v>166</v>
      </c>
      <c r="B167">
        <v>6</v>
      </c>
      <c r="C167">
        <v>4</v>
      </c>
      <c r="D167" s="1">
        <v>41042</v>
      </c>
      <c r="E167">
        <v>25</v>
      </c>
      <c r="F167">
        <f>VLOOKUP(ORDERS[[#This Row],[ProductID]],Products[],4,FALSE)</f>
        <v>30</v>
      </c>
      <c r="G167">
        <v>0</v>
      </c>
      <c r="H167">
        <f>(ORDERS[[#This Row],[UnitsOrdered]]*ORDERS[[#This Row],[unit price]])-(ORDERS[[#This Row],[UnitsOrdered]]*ORDERS[[#This Row],[unit price]]*ORDERS[[#This Row],[Discount]])</f>
        <v>750</v>
      </c>
      <c r="I167" t="str">
        <f>VLOOKUP(ORDERS[[#This Row],[CustomerID]],customers[],2,FALSE)</f>
        <v>Abracadaba Ink</v>
      </c>
      <c r="J167" s="2" t="str">
        <f>VLOOKUP(ORDERS[[#This Row],[CustomerID]],customers[],4,FALSE)</f>
        <v>Salt Lake City</v>
      </c>
      <c r="K167" s="2" t="str">
        <f>VLOOKUP(ORDERS[[#This Row],[ProductID]],Products[],3,FALSE)</f>
        <v>Both</v>
      </c>
      <c r="L167" s="2">
        <f>DAY(ORDERS[[#This Row],[OrderDate]])</f>
        <v>13</v>
      </c>
      <c r="M167" s="2">
        <f>YEAR(ORDERS[[#This Row],[OrderDate]])</f>
        <v>2012</v>
      </c>
    </row>
    <row r="168" spans="1:13" x14ac:dyDescent="0.3">
      <c r="A168">
        <v>167</v>
      </c>
      <c r="B168">
        <v>4</v>
      </c>
      <c r="C168">
        <v>4</v>
      </c>
      <c r="D168" s="1">
        <v>41043</v>
      </c>
      <c r="E168">
        <v>51</v>
      </c>
      <c r="F168">
        <f>VLOOKUP(ORDERS[[#This Row],[ProductID]],Products[],4,FALSE)</f>
        <v>30</v>
      </c>
      <c r="G168">
        <v>0</v>
      </c>
      <c r="H168">
        <f>(ORDERS[[#This Row],[UnitsOrdered]]*ORDERS[[#This Row],[unit price]])-(ORDERS[[#This Row],[UnitsOrdered]]*ORDERS[[#This Row],[unit price]]*ORDERS[[#This Row],[Discount]])</f>
        <v>1530</v>
      </c>
      <c r="I168" t="str">
        <f>VLOOKUP(ORDERS[[#This Row],[CustomerID]],customers[],2,FALSE)</f>
        <v>Tshirt Unlimited</v>
      </c>
      <c r="J168" s="2" t="str">
        <f>VLOOKUP(ORDERS[[#This Row],[CustomerID]],customers[],4,FALSE)</f>
        <v>Phoenix</v>
      </c>
      <c r="K168" s="2" t="str">
        <f>VLOOKUP(ORDERS[[#This Row],[ProductID]],Products[],3,FALSE)</f>
        <v>Both</v>
      </c>
      <c r="L168" s="2">
        <f>DAY(ORDERS[[#This Row],[OrderDate]])</f>
        <v>14</v>
      </c>
      <c r="M168" s="2">
        <f>YEAR(ORDERS[[#This Row],[OrderDate]])</f>
        <v>2012</v>
      </c>
    </row>
    <row r="169" spans="1:13" x14ac:dyDescent="0.3">
      <c r="A169">
        <v>168</v>
      </c>
      <c r="B169">
        <v>5</v>
      </c>
      <c r="C169">
        <v>2</v>
      </c>
      <c r="D169" s="1">
        <v>41043</v>
      </c>
      <c r="E169">
        <v>117</v>
      </c>
      <c r="F169">
        <f>VLOOKUP(ORDERS[[#This Row],[ProductID]],Products[],4,FALSE)</f>
        <v>30</v>
      </c>
      <c r="G169">
        <v>0</v>
      </c>
      <c r="H169">
        <f>(ORDERS[[#This Row],[UnitsOrdered]]*ORDERS[[#This Row],[unit price]])-(ORDERS[[#This Row],[UnitsOrdered]]*ORDERS[[#This Row],[unit price]]*ORDERS[[#This Row],[Discount]])</f>
        <v>3510</v>
      </c>
      <c r="I169" t="str">
        <f>VLOOKUP(ORDERS[[#This Row],[CustomerID]],customers[],2,FALSE)</f>
        <v>Rags to Riches</v>
      </c>
      <c r="J169" s="2" t="str">
        <f>VLOOKUP(ORDERS[[#This Row],[CustomerID]],customers[],4,FALSE)</f>
        <v>Las Vegas</v>
      </c>
      <c r="K169" s="2" t="str">
        <f>VLOOKUP(ORDERS[[#This Row],[ProductID]],Products[],3,FALSE)</f>
        <v>Both</v>
      </c>
      <c r="L169" s="2">
        <f>DAY(ORDERS[[#This Row],[OrderDate]])</f>
        <v>14</v>
      </c>
      <c r="M169" s="2">
        <f>YEAR(ORDERS[[#This Row],[OrderDate]])</f>
        <v>2012</v>
      </c>
    </row>
    <row r="170" spans="1:13" x14ac:dyDescent="0.3">
      <c r="A170">
        <v>169</v>
      </c>
      <c r="B170">
        <v>6</v>
      </c>
      <c r="C170">
        <v>5</v>
      </c>
      <c r="D170" s="1">
        <v>41043</v>
      </c>
      <c r="E170">
        <v>49</v>
      </c>
      <c r="F170">
        <f>VLOOKUP(ORDERS[[#This Row],[ProductID]],Products[],4,FALSE)</f>
        <v>16</v>
      </c>
      <c r="G170">
        <v>0</v>
      </c>
      <c r="H170">
        <f>(ORDERS[[#This Row],[UnitsOrdered]]*ORDERS[[#This Row],[unit price]])-(ORDERS[[#This Row],[UnitsOrdered]]*ORDERS[[#This Row],[unit price]]*ORDERS[[#This Row],[Discount]])</f>
        <v>784</v>
      </c>
      <c r="I170" t="str">
        <f>VLOOKUP(ORDERS[[#This Row],[CustomerID]],customers[],2,FALSE)</f>
        <v>Abracadaba Ink</v>
      </c>
      <c r="J170" s="2" t="str">
        <f>VLOOKUP(ORDERS[[#This Row],[CustomerID]],customers[],4,FALSE)</f>
        <v>Salt Lake City</v>
      </c>
      <c r="K170" s="2" t="str">
        <f>VLOOKUP(ORDERS[[#This Row],[ProductID]],Products[],3,FALSE)</f>
        <v>Female</v>
      </c>
      <c r="L170" s="2">
        <f>DAY(ORDERS[[#This Row],[OrderDate]])</f>
        <v>14</v>
      </c>
      <c r="M170" s="2">
        <f>YEAR(ORDERS[[#This Row],[OrderDate]])</f>
        <v>2012</v>
      </c>
    </row>
    <row r="171" spans="1:13" x14ac:dyDescent="0.3">
      <c r="A171">
        <v>170</v>
      </c>
      <c r="B171">
        <v>3</v>
      </c>
      <c r="C171">
        <v>1</v>
      </c>
      <c r="D171" s="1">
        <v>41044</v>
      </c>
      <c r="E171">
        <v>45</v>
      </c>
      <c r="F171">
        <f>VLOOKUP(ORDERS[[#This Row],[ProductID]],Products[],4,FALSE)</f>
        <v>20</v>
      </c>
      <c r="G171">
        <v>0.15000000599999999</v>
      </c>
      <c r="H171">
        <f>(ORDERS[[#This Row],[UnitsOrdered]]*ORDERS[[#This Row],[unit price]])-(ORDERS[[#This Row],[UnitsOrdered]]*ORDERS[[#This Row],[unit price]]*ORDERS[[#This Row],[Discount]])</f>
        <v>764.99999460000004</v>
      </c>
      <c r="I171" t="str">
        <f>VLOOKUP(ORDERS[[#This Row],[CustomerID]],customers[],2,FALSE)</f>
        <v>Shirts R Us</v>
      </c>
      <c r="J171" s="2" t="str">
        <f>VLOOKUP(ORDERS[[#This Row],[CustomerID]],customers[],4,FALSE)</f>
        <v>Los Angeles</v>
      </c>
      <c r="K171" s="2" t="str">
        <f>VLOOKUP(ORDERS[[#This Row],[ProductID]],Products[],3,FALSE)</f>
        <v>Both</v>
      </c>
      <c r="L171" s="2">
        <f>DAY(ORDERS[[#This Row],[OrderDate]])</f>
        <v>15</v>
      </c>
      <c r="M171" s="2">
        <f>YEAR(ORDERS[[#This Row],[OrderDate]])</f>
        <v>2012</v>
      </c>
    </row>
    <row r="172" spans="1:13" x14ac:dyDescent="0.3">
      <c r="A172">
        <v>171</v>
      </c>
      <c r="B172">
        <v>2</v>
      </c>
      <c r="C172">
        <v>1</v>
      </c>
      <c r="D172" s="1">
        <v>41045</v>
      </c>
      <c r="E172">
        <v>53</v>
      </c>
      <c r="F172">
        <f>VLOOKUP(ORDERS[[#This Row],[ProductID]],Products[],4,FALSE)</f>
        <v>20</v>
      </c>
      <c r="G172">
        <v>0</v>
      </c>
      <c r="H172">
        <f>(ORDERS[[#This Row],[UnitsOrdered]]*ORDERS[[#This Row],[unit price]])-(ORDERS[[#This Row],[UnitsOrdered]]*ORDERS[[#This Row],[unit price]]*ORDERS[[#This Row],[Discount]])</f>
        <v>1060</v>
      </c>
      <c r="I172" t="str">
        <f>VLOOKUP(ORDERS[[#This Row],[CustomerID]],customers[],2,FALSE)</f>
        <v>A Shirts Life</v>
      </c>
      <c r="J172" s="2" t="str">
        <f>VLOOKUP(ORDERS[[#This Row],[CustomerID]],customers[],4,FALSE)</f>
        <v>Portland</v>
      </c>
      <c r="K172" s="2" t="str">
        <f>VLOOKUP(ORDERS[[#This Row],[ProductID]],Products[],3,FALSE)</f>
        <v>Both</v>
      </c>
      <c r="L172" s="2">
        <f>DAY(ORDERS[[#This Row],[OrderDate]])</f>
        <v>16</v>
      </c>
      <c r="M172" s="2">
        <f>YEAR(ORDERS[[#This Row],[OrderDate]])</f>
        <v>2012</v>
      </c>
    </row>
    <row r="173" spans="1:13" x14ac:dyDescent="0.3">
      <c r="A173">
        <v>172</v>
      </c>
      <c r="B173">
        <v>2</v>
      </c>
      <c r="C173">
        <v>9</v>
      </c>
      <c r="D173" s="1">
        <v>41045</v>
      </c>
      <c r="E173">
        <v>120</v>
      </c>
      <c r="F173">
        <f>VLOOKUP(ORDERS[[#This Row],[ProductID]],Products[],4,FALSE)</f>
        <v>25</v>
      </c>
      <c r="G173">
        <v>0</v>
      </c>
      <c r="H173">
        <f>(ORDERS[[#This Row],[UnitsOrdered]]*ORDERS[[#This Row],[unit price]])-(ORDERS[[#This Row],[UnitsOrdered]]*ORDERS[[#This Row],[unit price]]*ORDERS[[#This Row],[Discount]])</f>
        <v>3000</v>
      </c>
      <c r="I173" t="str">
        <f>VLOOKUP(ORDERS[[#This Row],[CustomerID]],customers[],2,FALSE)</f>
        <v>A Shirts Life</v>
      </c>
      <c r="J173" s="2" t="str">
        <f>VLOOKUP(ORDERS[[#This Row],[CustomerID]],customers[],4,FALSE)</f>
        <v>Portland</v>
      </c>
      <c r="K173" s="2" t="str">
        <f>VLOOKUP(ORDERS[[#This Row],[ProductID]],Products[],3,FALSE)</f>
        <v>Male</v>
      </c>
      <c r="L173" s="2">
        <f>DAY(ORDERS[[#This Row],[OrderDate]])</f>
        <v>16</v>
      </c>
      <c r="M173" s="2">
        <f>YEAR(ORDERS[[#This Row],[OrderDate]])</f>
        <v>2012</v>
      </c>
    </row>
    <row r="174" spans="1:13" x14ac:dyDescent="0.3">
      <c r="A174">
        <v>173</v>
      </c>
      <c r="B174">
        <v>4</v>
      </c>
      <c r="C174">
        <v>8</v>
      </c>
      <c r="D174" s="1">
        <v>41045</v>
      </c>
      <c r="E174">
        <v>149</v>
      </c>
      <c r="F174">
        <f>VLOOKUP(ORDERS[[#This Row],[ProductID]],Products[],4,FALSE)</f>
        <v>27</v>
      </c>
      <c r="G174">
        <v>0</v>
      </c>
      <c r="H174">
        <f>(ORDERS[[#This Row],[UnitsOrdered]]*ORDERS[[#This Row],[unit price]])-(ORDERS[[#This Row],[UnitsOrdered]]*ORDERS[[#This Row],[unit price]]*ORDERS[[#This Row],[Discount]])</f>
        <v>4023</v>
      </c>
      <c r="I174" t="str">
        <f>VLOOKUP(ORDERS[[#This Row],[CustomerID]],customers[],2,FALSE)</f>
        <v>Tshirt Unlimited</v>
      </c>
      <c r="J174" s="2" t="str">
        <f>VLOOKUP(ORDERS[[#This Row],[CustomerID]],customers[],4,FALSE)</f>
        <v>Phoenix</v>
      </c>
      <c r="K174" s="2" t="str">
        <f>VLOOKUP(ORDERS[[#This Row],[ProductID]],Products[],3,FALSE)</f>
        <v>Female</v>
      </c>
      <c r="L174" s="2">
        <f>DAY(ORDERS[[#This Row],[OrderDate]])</f>
        <v>16</v>
      </c>
      <c r="M174" s="2">
        <f>YEAR(ORDERS[[#This Row],[OrderDate]])</f>
        <v>2012</v>
      </c>
    </row>
    <row r="175" spans="1:13" x14ac:dyDescent="0.3">
      <c r="A175">
        <v>174</v>
      </c>
      <c r="B175">
        <v>2</v>
      </c>
      <c r="C175">
        <v>2</v>
      </c>
      <c r="D175" s="1">
        <v>41047</v>
      </c>
      <c r="E175">
        <v>134</v>
      </c>
      <c r="F175">
        <f>VLOOKUP(ORDERS[[#This Row],[ProductID]],Products[],4,FALSE)</f>
        <v>30</v>
      </c>
      <c r="G175">
        <v>0</v>
      </c>
      <c r="H175">
        <f>(ORDERS[[#This Row],[UnitsOrdered]]*ORDERS[[#This Row],[unit price]])-(ORDERS[[#This Row],[UnitsOrdered]]*ORDERS[[#This Row],[unit price]]*ORDERS[[#This Row],[Discount]])</f>
        <v>4020</v>
      </c>
      <c r="I175" t="str">
        <f>VLOOKUP(ORDERS[[#This Row],[CustomerID]],customers[],2,FALSE)</f>
        <v>A Shirts Life</v>
      </c>
      <c r="J175" s="2" t="str">
        <f>VLOOKUP(ORDERS[[#This Row],[CustomerID]],customers[],4,FALSE)</f>
        <v>Portland</v>
      </c>
      <c r="K175" s="2" t="str">
        <f>VLOOKUP(ORDERS[[#This Row],[ProductID]],Products[],3,FALSE)</f>
        <v>Both</v>
      </c>
      <c r="L175" s="2">
        <f>DAY(ORDERS[[#This Row],[OrderDate]])</f>
        <v>18</v>
      </c>
      <c r="M175" s="2">
        <f>YEAR(ORDERS[[#This Row],[OrderDate]])</f>
        <v>2012</v>
      </c>
    </row>
    <row r="176" spans="1:13" x14ac:dyDescent="0.3">
      <c r="A176">
        <v>175</v>
      </c>
      <c r="B176">
        <v>4</v>
      </c>
      <c r="C176">
        <v>9</v>
      </c>
      <c r="D176" s="1">
        <v>41047</v>
      </c>
      <c r="E176">
        <v>137</v>
      </c>
      <c r="F176">
        <f>VLOOKUP(ORDERS[[#This Row],[ProductID]],Products[],4,FALSE)</f>
        <v>25</v>
      </c>
      <c r="G176">
        <v>0</v>
      </c>
      <c r="H176">
        <f>(ORDERS[[#This Row],[UnitsOrdered]]*ORDERS[[#This Row],[unit price]])-(ORDERS[[#This Row],[UnitsOrdered]]*ORDERS[[#This Row],[unit price]]*ORDERS[[#This Row],[Discount]])</f>
        <v>3425</v>
      </c>
      <c r="I176" t="str">
        <f>VLOOKUP(ORDERS[[#This Row],[CustomerID]],customers[],2,FALSE)</f>
        <v>Tshirt Unlimited</v>
      </c>
      <c r="J176" s="2" t="str">
        <f>VLOOKUP(ORDERS[[#This Row],[CustomerID]],customers[],4,FALSE)</f>
        <v>Phoenix</v>
      </c>
      <c r="K176" s="2" t="str">
        <f>VLOOKUP(ORDERS[[#This Row],[ProductID]],Products[],3,FALSE)</f>
        <v>Male</v>
      </c>
      <c r="L176" s="2">
        <f>DAY(ORDERS[[#This Row],[OrderDate]])</f>
        <v>18</v>
      </c>
      <c r="M176" s="2">
        <f>YEAR(ORDERS[[#This Row],[OrderDate]])</f>
        <v>2012</v>
      </c>
    </row>
    <row r="177" spans="1:13" x14ac:dyDescent="0.3">
      <c r="A177">
        <v>176</v>
      </c>
      <c r="B177">
        <v>1</v>
      </c>
      <c r="C177">
        <v>9</v>
      </c>
      <c r="D177" s="1">
        <v>41048</v>
      </c>
      <c r="E177">
        <v>86</v>
      </c>
      <c r="F177">
        <f>VLOOKUP(ORDERS[[#This Row],[ProductID]],Products[],4,FALSE)</f>
        <v>25</v>
      </c>
      <c r="G177">
        <v>0</v>
      </c>
      <c r="H177">
        <f>(ORDERS[[#This Row],[UnitsOrdered]]*ORDERS[[#This Row],[unit price]])-(ORDERS[[#This Row],[UnitsOrdered]]*ORDERS[[#This Row],[unit price]]*ORDERS[[#This Row],[Discount]])</f>
        <v>2150</v>
      </c>
      <c r="I177" t="str">
        <f>VLOOKUP(ORDERS[[#This Row],[CustomerID]],customers[],2,FALSE)</f>
        <v>Threads</v>
      </c>
      <c r="J177" s="2" t="str">
        <f>VLOOKUP(ORDERS[[#This Row],[CustomerID]],customers[],4,FALSE)</f>
        <v>Seattle</v>
      </c>
      <c r="K177" s="2" t="str">
        <f>VLOOKUP(ORDERS[[#This Row],[ProductID]],Products[],3,FALSE)</f>
        <v>Male</v>
      </c>
      <c r="L177" s="2">
        <f>DAY(ORDERS[[#This Row],[OrderDate]])</f>
        <v>19</v>
      </c>
      <c r="M177" s="2">
        <f>YEAR(ORDERS[[#This Row],[OrderDate]])</f>
        <v>2012</v>
      </c>
    </row>
    <row r="178" spans="1:13" x14ac:dyDescent="0.3">
      <c r="A178">
        <v>177</v>
      </c>
      <c r="B178">
        <v>1</v>
      </c>
      <c r="C178">
        <v>1</v>
      </c>
      <c r="D178" s="1">
        <v>41049</v>
      </c>
      <c r="E178">
        <v>87</v>
      </c>
      <c r="F178">
        <f>VLOOKUP(ORDERS[[#This Row],[ProductID]],Products[],4,FALSE)</f>
        <v>20</v>
      </c>
      <c r="G178">
        <v>0</v>
      </c>
      <c r="H178">
        <f>(ORDERS[[#This Row],[UnitsOrdered]]*ORDERS[[#This Row],[unit price]])-(ORDERS[[#This Row],[UnitsOrdered]]*ORDERS[[#This Row],[unit price]]*ORDERS[[#This Row],[Discount]])</f>
        <v>1740</v>
      </c>
      <c r="I178" t="str">
        <f>VLOOKUP(ORDERS[[#This Row],[CustomerID]],customers[],2,FALSE)</f>
        <v>Threads</v>
      </c>
      <c r="J178" s="2" t="str">
        <f>VLOOKUP(ORDERS[[#This Row],[CustomerID]],customers[],4,FALSE)</f>
        <v>Seattle</v>
      </c>
      <c r="K178" s="2" t="str">
        <f>VLOOKUP(ORDERS[[#This Row],[ProductID]],Products[],3,FALSE)</f>
        <v>Both</v>
      </c>
      <c r="L178" s="2">
        <f>DAY(ORDERS[[#This Row],[OrderDate]])</f>
        <v>20</v>
      </c>
      <c r="M178" s="2">
        <f>YEAR(ORDERS[[#This Row],[OrderDate]])</f>
        <v>2012</v>
      </c>
    </row>
    <row r="179" spans="1:13" x14ac:dyDescent="0.3">
      <c r="A179">
        <v>178</v>
      </c>
      <c r="B179">
        <v>5</v>
      </c>
      <c r="C179">
        <v>6</v>
      </c>
      <c r="D179" s="1">
        <v>41049</v>
      </c>
      <c r="E179">
        <v>99</v>
      </c>
      <c r="F179">
        <f>VLOOKUP(ORDERS[[#This Row],[ProductID]],Products[],4,FALSE)</f>
        <v>28</v>
      </c>
      <c r="G179">
        <v>0</v>
      </c>
      <c r="H179">
        <f>(ORDERS[[#This Row],[UnitsOrdered]]*ORDERS[[#This Row],[unit price]])-(ORDERS[[#This Row],[UnitsOrdered]]*ORDERS[[#This Row],[unit price]]*ORDERS[[#This Row],[Discount]])</f>
        <v>2772</v>
      </c>
      <c r="I179" t="str">
        <f>VLOOKUP(ORDERS[[#This Row],[CustomerID]],customers[],2,FALSE)</f>
        <v>Rags to Riches</v>
      </c>
      <c r="J179" s="2" t="str">
        <f>VLOOKUP(ORDERS[[#This Row],[CustomerID]],customers[],4,FALSE)</f>
        <v>Las Vegas</v>
      </c>
      <c r="K179" s="2" t="str">
        <f>VLOOKUP(ORDERS[[#This Row],[ProductID]],Products[],3,FALSE)</f>
        <v>Female</v>
      </c>
      <c r="L179" s="2">
        <f>DAY(ORDERS[[#This Row],[OrderDate]])</f>
        <v>20</v>
      </c>
      <c r="M179" s="2">
        <f>YEAR(ORDERS[[#This Row],[OrderDate]])</f>
        <v>2012</v>
      </c>
    </row>
    <row r="180" spans="1:13" x14ac:dyDescent="0.3">
      <c r="A180">
        <v>179</v>
      </c>
      <c r="B180">
        <v>3</v>
      </c>
      <c r="C180">
        <v>5</v>
      </c>
      <c r="D180" s="1">
        <v>41050</v>
      </c>
      <c r="E180">
        <v>128</v>
      </c>
      <c r="F180">
        <f>VLOOKUP(ORDERS[[#This Row],[ProductID]],Products[],4,FALSE)</f>
        <v>16</v>
      </c>
      <c r="G180">
        <v>0</v>
      </c>
      <c r="H180">
        <f>(ORDERS[[#This Row],[UnitsOrdered]]*ORDERS[[#This Row],[unit price]])-(ORDERS[[#This Row],[UnitsOrdered]]*ORDERS[[#This Row],[unit price]]*ORDERS[[#This Row],[Discount]])</f>
        <v>2048</v>
      </c>
      <c r="I180" t="str">
        <f>VLOOKUP(ORDERS[[#This Row],[CustomerID]],customers[],2,FALSE)</f>
        <v>Shirts R Us</v>
      </c>
      <c r="J180" s="2" t="str">
        <f>VLOOKUP(ORDERS[[#This Row],[CustomerID]],customers[],4,FALSE)</f>
        <v>Los Angeles</v>
      </c>
      <c r="K180" s="2" t="str">
        <f>VLOOKUP(ORDERS[[#This Row],[ProductID]],Products[],3,FALSE)</f>
        <v>Female</v>
      </c>
      <c r="L180" s="2">
        <f>DAY(ORDERS[[#This Row],[OrderDate]])</f>
        <v>21</v>
      </c>
      <c r="M180" s="2">
        <f>YEAR(ORDERS[[#This Row],[OrderDate]])</f>
        <v>2012</v>
      </c>
    </row>
    <row r="181" spans="1:13" x14ac:dyDescent="0.3">
      <c r="A181">
        <v>180</v>
      </c>
      <c r="B181">
        <v>5</v>
      </c>
      <c r="C181">
        <v>2</v>
      </c>
      <c r="D181" s="1">
        <v>41051</v>
      </c>
      <c r="E181">
        <v>125</v>
      </c>
      <c r="F181">
        <f>VLOOKUP(ORDERS[[#This Row],[ProductID]],Products[],4,FALSE)</f>
        <v>30</v>
      </c>
      <c r="G181">
        <v>0.10000000100000001</v>
      </c>
      <c r="H181">
        <f>(ORDERS[[#This Row],[UnitsOrdered]]*ORDERS[[#This Row],[unit price]])-(ORDERS[[#This Row],[UnitsOrdered]]*ORDERS[[#This Row],[unit price]]*ORDERS[[#This Row],[Discount]])</f>
        <v>3374.9999962500001</v>
      </c>
      <c r="I181" t="str">
        <f>VLOOKUP(ORDERS[[#This Row],[CustomerID]],customers[],2,FALSE)</f>
        <v>Rags to Riches</v>
      </c>
      <c r="J181" s="2" t="str">
        <f>VLOOKUP(ORDERS[[#This Row],[CustomerID]],customers[],4,FALSE)</f>
        <v>Las Vegas</v>
      </c>
      <c r="K181" s="2" t="str">
        <f>VLOOKUP(ORDERS[[#This Row],[ProductID]],Products[],3,FALSE)</f>
        <v>Both</v>
      </c>
      <c r="L181" s="2">
        <f>DAY(ORDERS[[#This Row],[OrderDate]])</f>
        <v>22</v>
      </c>
      <c r="M181" s="2">
        <f>YEAR(ORDERS[[#This Row],[OrderDate]])</f>
        <v>2012</v>
      </c>
    </row>
    <row r="182" spans="1:13" x14ac:dyDescent="0.3">
      <c r="A182">
        <v>181</v>
      </c>
      <c r="B182">
        <v>5</v>
      </c>
      <c r="C182">
        <v>6</v>
      </c>
      <c r="D182" s="1">
        <v>41051</v>
      </c>
      <c r="E182">
        <v>141</v>
      </c>
      <c r="F182">
        <f>VLOOKUP(ORDERS[[#This Row],[ProductID]],Products[],4,FALSE)</f>
        <v>28</v>
      </c>
      <c r="G182">
        <v>0</v>
      </c>
      <c r="H182">
        <f>(ORDERS[[#This Row],[UnitsOrdered]]*ORDERS[[#This Row],[unit price]])-(ORDERS[[#This Row],[UnitsOrdered]]*ORDERS[[#This Row],[unit price]]*ORDERS[[#This Row],[Discount]])</f>
        <v>3948</v>
      </c>
      <c r="I182" t="str">
        <f>VLOOKUP(ORDERS[[#This Row],[CustomerID]],customers[],2,FALSE)</f>
        <v>Rags to Riches</v>
      </c>
      <c r="J182" s="2" t="str">
        <f>VLOOKUP(ORDERS[[#This Row],[CustomerID]],customers[],4,FALSE)</f>
        <v>Las Vegas</v>
      </c>
      <c r="K182" s="2" t="str">
        <f>VLOOKUP(ORDERS[[#This Row],[ProductID]],Products[],3,FALSE)</f>
        <v>Female</v>
      </c>
      <c r="L182" s="2">
        <f>DAY(ORDERS[[#This Row],[OrderDate]])</f>
        <v>22</v>
      </c>
      <c r="M182" s="2">
        <f>YEAR(ORDERS[[#This Row],[OrderDate]])</f>
        <v>2012</v>
      </c>
    </row>
    <row r="183" spans="1:13" x14ac:dyDescent="0.3">
      <c r="A183">
        <v>182</v>
      </c>
      <c r="B183">
        <v>7</v>
      </c>
      <c r="C183">
        <v>4</v>
      </c>
      <c r="D183" s="1">
        <v>41052</v>
      </c>
      <c r="E183">
        <v>58</v>
      </c>
      <c r="F183">
        <f>VLOOKUP(ORDERS[[#This Row],[ProductID]],Products[],4,FALSE)</f>
        <v>30</v>
      </c>
      <c r="G183">
        <v>0</v>
      </c>
      <c r="H183">
        <f>(ORDERS[[#This Row],[UnitsOrdered]]*ORDERS[[#This Row],[unit price]])-(ORDERS[[#This Row],[UnitsOrdered]]*ORDERS[[#This Row],[unit price]]*ORDERS[[#This Row],[Discount]])</f>
        <v>1740</v>
      </c>
      <c r="I183" t="str">
        <f>VLOOKUP(ORDERS[[#This Row],[CustomerID]],customers[],2,FALSE)</f>
        <v>The Shirt on Your Back</v>
      </c>
      <c r="J183" s="2" t="str">
        <f>VLOOKUP(ORDERS[[#This Row],[CustomerID]],customers[],4,FALSE)</f>
        <v>Bonners Ferry</v>
      </c>
      <c r="K183" s="2" t="str">
        <f>VLOOKUP(ORDERS[[#This Row],[ProductID]],Products[],3,FALSE)</f>
        <v>Both</v>
      </c>
      <c r="L183" s="2">
        <f>DAY(ORDERS[[#This Row],[OrderDate]])</f>
        <v>23</v>
      </c>
      <c r="M183" s="2">
        <f>YEAR(ORDERS[[#This Row],[OrderDate]])</f>
        <v>2012</v>
      </c>
    </row>
    <row r="184" spans="1:13" x14ac:dyDescent="0.3">
      <c r="A184">
        <v>183</v>
      </c>
      <c r="B184">
        <v>6</v>
      </c>
      <c r="C184">
        <v>2</v>
      </c>
      <c r="D184" s="1">
        <v>41053</v>
      </c>
      <c r="E184">
        <v>127</v>
      </c>
      <c r="F184">
        <f>VLOOKUP(ORDERS[[#This Row],[ProductID]],Products[],4,FALSE)</f>
        <v>30</v>
      </c>
      <c r="G184">
        <v>0</v>
      </c>
      <c r="H184">
        <f>(ORDERS[[#This Row],[UnitsOrdered]]*ORDERS[[#This Row],[unit price]])-(ORDERS[[#This Row],[UnitsOrdered]]*ORDERS[[#This Row],[unit price]]*ORDERS[[#This Row],[Discount]])</f>
        <v>3810</v>
      </c>
      <c r="I184" t="str">
        <f>VLOOKUP(ORDERS[[#This Row],[CustomerID]],customers[],2,FALSE)</f>
        <v>Abracadaba Ink</v>
      </c>
      <c r="J184" s="2" t="str">
        <f>VLOOKUP(ORDERS[[#This Row],[CustomerID]],customers[],4,FALSE)</f>
        <v>Salt Lake City</v>
      </c>
      <c r="K184" s="2" t="str">
        <f>VLOOKUP(ORDERS[[#This Row],[ProductID]],Products[],3,FALSE)</f>
        <v>Both</v>
      </c>
      <c r="L184" s="2">
        <f>DAY(ORDERS[[#This Row],[OrderDate]])</f>
        <v>24</v>
      </c>
      <c r="M184" s="2">
        <f>YEAR(ORDERS[[#This Row],[OrderDate]])</f>
        <v>2012</v>
      </c>
    </row>
    <row r="185" spans="1:13" x14ac:dyDescent="0.3">
      <c r="A185">
        <v>184</v>
      </c>
      <c r="B185">
        <v>4</v>
      </c>
      <c r="C185">
        <v>7</v>
      </c>
      <c r="D185" s="1">
        <v>41054</v>
      </c>
      <c r="E185">
        <v>88</v>
      </c>
      <c r="F185">
        <f>VLOOKUP(ORDERS[[#This Row],[ProductID]],Products[],4,FALSE)</f>
        <v>38</v>
      </c>
      <c r="G185">
        <v>0</v>
      </c>
      <c r="H185">
        <f>(ORDERS[[#This Row],[UnitsOrdered]]*ORDERS[[#This Row],[unit price]])-(ORDERS[[#This Row],[UnitsOrdered]]*ORDERS[[#This Row],[unit price]]*ORDERS[[#This Row],[Discount]])</f>
        <v>3344</v>
      </c>
      <c r="I185" t="str">
        <f>VLOOKUP(ORDERS[[#This Row],[CustomerID]],customers[],2,FALSE)</f>
        <v>Tshirt Unlimited</v>
      </c>
      <c r="J185" s="2" t="str">
        <f>VLOOKUP(ORDERS[[#This Row],[CustomerID]],customers[],4,FALSE)</f>
        <v>Phoenix</v>
      </c>
      <c r="K185" s="2" t="str">
        <f>VLOOKUP(ORDERS[[#This Row],[ProductID]],Products[],3,FALSE)</f>
        <v>Female</v>
      </c>
      <c r="L185" s="2">
        <f>DAY(ORDERS[[#This Row],[OrderDate]])</f>
        <v>25</v>
      </c>
      <c r="M185" s="2">
        <f>YEAR(ORDERS[[#This Row],[OrderDate]])</f>
        <v>2012</v>
      </c>
    </row>
    <row r="186" spans="1:13" x14ac:dyDescent="0.3">
      <c r="A186">
        <v>185</v>
      </c>
      <c r="B186">
        <v>5</v>
      </c>
      <c r="C186">
        <v>7</v>
      </c>
      <c r="D186" s="1">
        <v>41054</v>
      </c>
      <c r="E186">
        <v>75</v>
      </c>
      <c r="F186">
        <f>VLOOKUP(ORDERS[[#This Row],[ProductID]],Products[],4,FALSE)</f>
        <v>38</v>
      </c>
      <c r="G186">
        <v>0</v>
      </c>
      <c r="H186">
        <f>(ORDERS[[#This Row],[UnitsOrdered]]*ORDERS[[#This Row],[unit price]])-(ORDERS[[#This Row],[UnitsOrdered]]*ORDERS[[#This Row],[unit price]]*ORDERS[[#This Row],[Discount]])</f>
        <v>2850</v>
      </c>
      <c r="I186" t="str">
        <f>VLOOKUP(ORDERS[[#This Row],[CustomerID]],customers[],2,FALSE)</f>
        <v>Rags to Riches</v>
      </c>
      <c r="J186" s="2" t="str">
        <f>VLOOKUP(ORDERS[[#This Row],[CustomerID]],customers[],4,FALSE)</f>
        <v>Las Vegas</v>
      </c>
      <c r="K186" s="2" t="str">
        <f>VLOOKUP(ORDERS[[#This Row],[ProductID]],Products[],3,FALSE)</f>
        <v>Female</v>
      </c>
      <c r="L186" s="2">
        <f>DAY(ORDERS[[#This Row],[OrderDate]])</f>
        <v>25</v>
      </c>
      <c r="M186" s="2">
        <f>YEAR(ORDERS[[#This Row],[OrderDate]])</f>
        <v>2012</v>
      </c>
    </row>
    <row r="187" spans="1:13" x14ac:dyDescent="0.3">
      <c r="A187">
        <v>186</v>
      </c>
      <c r="B187">
        <v>4</v>
      </c>
      <c r="C187">
        <v>9</v>
      </c>
      <c r="D187" s="1">
        <v>41055</v>
      </c>
      <c r="E187">
        <v>45</v>
      </c>
      <c r="F187">
        <f>VLOOKUP(ORDERS[[#This Row],[ProductID]],Products[],4,FALSE)</f>
        <v>25</v>
      </c>
      <c r="G187">
        <v>0.10000000100000001</v>
      </c>
      <c r="H187">
        <f>(ORDERS[[#This Row],[UnitsOrdered]]*ORDERS[[#This Row],[unit price]])-(ORDERS[[#This Row],[UnitsOrdered]]*ORDERS[[#This Row],[unit price]]*ORDERS[[#This Row],[Discount]])</f>
        <v>1012.499998875</v>
      </c>
      <c r="I187" t="str">
        <f>VLOOKUP(ORDERS[[#This Row],[CustomerID]],customers[],2,FALSE)</f>
        <v>Tshirt Unlimited</v>
      </c>
      <c r="J187" s="2" t="str">
        <f>VLOOKUP(ORDERS[[#This Row],[CustomerID]],customers[],4,FALSE)</f>
        <v>Phoenix</v>
      </c>
      <c r="K187" s="2" t="str">
        <f>VLOOKUP(ORDERS[[#This Row],[ProductID]],Products[],3,FALSE)</f>
        <v>Male</v>
      </c>
      <c r="L187" s="2">
        <f>DAY(ORDERS[[#This Row],[OrderDate]])</f>
        <v>26</v>
      </c>
      <c r="M187" s="2">
        <f>YEAR(ORDERS[[#This Row],[OrderDate]])</f>
        <v>2012</v>
      </c>
    </row>
    <row r="188" spans="1:13" x14ac:dyDescent="0.3">
      <c r="A188">
        <v>187</v>
      </c>
      <c r="B188">
        <v>6</v>
      </c>
      <c r="C188">
        <v>9</v>
      </c>
      <c r="D188" s="1">
        <v>41055</v>
      </c>
      <c r="E188">
        <v>139</v>
      </c>
      <c r="F188">
        <f>VLOOKUP(ORDERS[[#This Row],[ProductID]],Products[],4,FALSE)</f>
        <v>25</v>
      </c>
      <c r="G188">
        <v>0</v>
      </c>
      <c r="H188">
        <f>(ORDERS[[#This Row],[UnitsOrdered]]*ORDERS[[#This Row],[unit price]])-(ORDERS[[#This Row],[UnitsOrdered]]*ORDERS[[#This Row],[unit price]]*ORDERS[[#This Row],[Discount]])</f>
        <v>3475</v>
      </c>
      <c r="I188" t="str">
        <f>VLOOKUP(ORDERS[[#This Row],[CustomerID]],customers[],2,FALSE)</f>
        <v>Abracadaba Ink</v>
      </c>
      <c r="J188" s="2" t="str">
        <f>VLOOKUP(ORDERS[[#This Row],[CustomerID]],customers[],4,FALSE)</f>
        <v>Salt Lake City</v>
      </c>
      <c r="K188" s="2" t="str">
        <f>VLOOKUP(ORDERS[[#This Row],[ProductID]],Products[],3,FALSE)</f>
        <v>Male</v>
      </c>
      <c r="L188" s="2">
        <f>DAY(ORDERS[[#This Row],[OrderDate]])</f>
        <v>26</v>
      </c>
      <c r="M188" s="2">
        <f>YEAR(ORDERS[[#This Row],[OrderDate]])</f>
        <v>2012</v>
      </c>
    </row>
    <row r="189" spans="1:13" x14ac:dyDescent="0.3">
      <c r="A189">
        <v>188</v>
      </c>
      <c r="B189">
        <v>5</v>
      </c>
      <c r="C189">
        <v>3</v>
      </c>
      <c r="D189" s="1">
        <v>41056</v>
      </c>
      <c r="E189">
        <v>52</v>
      </c>
      <c r="F189">
        <f>VLOOKUP(ORDERS[[#This Row],[ProductID]],Products[],4,FALSE)</f>
        <v>22</v>
      </c>
      <c r="G189">
        <v>0</v>
      </c>
      <c r="H189">
        <f>(ORDERS[[#This Row],[UnitsOrdered]]*ORDERS[[#This Row],[unit price]])-(ORDERS[[#This Row],[UnitsOrdered]]*ORDERS[[#This Row],[unit price]]*ORDERS[[#This Row],[Discount]])</f>
        <v>1144</v>
      </c>
      <c r="I189" t="str">
        <f>VLOOKUP(ORDERS[[#This Row],[CustomerID]],customers[],2,FALSE)</f>
        <v>Rags to Riches</v>
      </c>
      <c r="J189" s="2" t="str">
        <f>VLOOKUP(ORDERS[[#This Row],[CustomerID]],customers[],4,FALSE)</f>
        <v>Las Vegas</v>
      </c>
      <c r="K189" s="2" t="str">
        <f>VLOOKUP(ORDERS[[#This Row],[ProductID]],Products[],3,FALSE)</f>
        <v>Both</v>
      </c>
      <c r="L189" s="2">
        <f>DAY(ORDERS[[#This Row],[OrderDate]])</f>
        <v>27</v>
      </c>
      <c r="M189" s="2">
        <f>YEAR(ORDERS[[#This Row],[OrderDate]])</f>
        <v>2012</v>
      </c>
    </row>
    <row r="190" spans="1:13" x14ac:dyDescent="0.3">
      <c r="A190">
        <v>189</v>
      </c>
      <c r="B190">
        <v>6</v>
      </c>
      <c r="C190">
        <v>10</v>
      </c>
      <c r="D190" s="1">
        <v>41057</v>
      </c>
      <c r="E190">
        <v>59</v>
      </c>
      <c r="F190">
        <f>VLOOKUP(ORDERS[[#This Row],[ProductID]],Products[],4,FALSE)</f>
        <v>35</v>
      </c>
      <c r="G190">
        <v>0</v>
      </c>
      <c r="H190">
        <f>(ORDERS[[#This Row],[UnitsOrdered]]*ORDERS[[#This Row],[unit price]])-(ORDERS[[#This Row],[UnitsOrdered]]*ORDERS[[#This Row],[unit price]]*ORDERS[[#This Row],[Discount]])</f>
        <v>2065</v>
      </c>
      <c r="I190" t="str">
        <f>VLOOKUP(ORDERS[[#This Row],[CustomerID]],customers[],2,FALSE)</f>
        <v>Abracadaba Ink</v>
      </c>
      <c r="J190" s="2" t="str">
        <f>VLOOKUP(ORDERS[[#This Row],[CustomerID]],customers[],4,FALSE)</f>
        <v>Salt Lake City</v>
      </c>
      <c r="K190" s="2" t="str">
        <f>VLOOKUP(ORDERS[[#This Row],[ProductID]],Products[],3,FALSE)</f>
        <v>Male</v>
      </c>
      <c r="L190" s="2">
        <f>DAY(ORDERS[[#This Row],[OrderDate]])</f>
        <v>28</v>
      </c>
      <c r="M190" s="2">
        <f>YEAR(ORDERS[[#This Row],[OrderDate]])</f>
        <v>2012</v>
      </c>
    </row>
    <row r="191" spans="1:13" x14ac:dyDescent="0.3">
      <c r="A191">
        <v>190</v>
      </c>
      <c r="B191">
        <v>3</v>
      </c>
      <c r="C191">
        <v>9</v>
      </c>
      <c r="D191" s="1">
        <v>41059</v>
      </c>
      <c r="E191">
        <v>75</v>
      </c>
      <c r="F191">
        <f>VLOOKUP(ORDERS[[#This Row],[ProductID]],Products[],4,FALSE)</f>
        <v>25</v>
      </c>
      <c r="G191">
        <v>0</v>
      </c>
      <c r="H191">
        <f>(ORDERS[[#This Row],[UnitsOrdered]]*ORDERS[[#This Row],[unit price]])-(ORDERS[[#This Row],[UnitsOrdered]]*ORDERS[[#This Row],[unit price]]*ORDERS[[#This Row],[Discount]])</f>
        <v>1875</v>
      </c>
      <c r="I191" t="str">
        <f>VLOOKUP(ORDERS[[#This Row],[CustomerID]],customers[],2,FALSE)</f>
        <v>Shirts R Us</v>
      </c>
      <c r="J191" s="2" t="str">
        <f>VLOOKUP(ORDERS[[#This Row],[CustomerID]],customers[],4,FALSE)</f>
        <v>Los Angeles</v>
      </c>
      <c r="K191" s="2" t="str">
        <f>VLOOKUP(ORDERS[[#This Row],[ProductID]],Products[],3,FALSE)</f>
        <v>Male</v>
      </c>
      <c r="L191" s="2">
        <f>DAY(ORDERS[[#This Row],[OrderDate]])</f>
        <v>30</v>
      </c>
      <c r="M191" s="2">
        <f>YEAR(ORDERS[[#This Row],[OrderDate]])</f>
        <v>2012</v>
      </c>
    </row>
    <row r="192" spans="1:13" x14ac:dyDescent="0.3">
      <c r="A192">
        <v>191</v>
      </c>
      <c r="B192">
        <v>6</v>
      </c>
      <c r="C192">
        <v>1</v>
      </c>
      <c r="D192" s="1">
        <v>41059</v>
      </c>
      <c r="E192">
        <v>143</v>
      </c>
      <c r="F192">
        <f>VLOOKUP(ORDERS[[#This Row],[ProductID]],Products[],4,FALSE)</f>
        <v>20</v>
      </c>
      <c r="G192">
        <v>0</v>
      </c>
      <c r="H192">
        <f>(ORDERS[[#This Row],[UnitsOrdered]]*ORDERS[[#This Row],[unit price]])-(ORDERS[[#This Row],[UnitsOrdered]]*ORDERS[[#This Row],[unit price]]*ORDERS[[#This Row],[Discount]])</f>
        <v>2860</v>
      </c>
      <c r="I192" t="str">
        <f>VLOOKUP(ORDERS[[#This Row],[CustomerID]],customers[],2,FALSE)</f>
        <v>Abracadaba Ink</v>
      </c>
      <c r="J192" s="2" t="str">
        <f>VLOOKUP(ORDERS[[#This Row],[CustomerID]],customers[],4,FALSE)</f>
        <v>Salt Lake City</v>
      </c>
      <c r="K192" s="2" t="str">
        <f>VLOOKUP(ORDERS[[#This Row],[ProductID]],Products[],3,FALSE)</f>
        <v>Both</v>
      </c>
      <c r="L192" s="2">
        <f>DAY(ORDERS[[#This Row],[OrderDate]])</f>
        <v>30</v>
      </c>
      <c r="M192" s="2">
        <f>YEAR(ORDERS[[#This Row],[OrderDate]])</f>
        <v>2012</v>
      </c>
    </row>
    <row r="193" spans="1:13" x14ac:dyDescent="0.3">
      <c r="A193">
        <v>192</v>
      </c>
      <c r="B193">
        <v>7</v>
      </c>
      <c r="C193">
        <v>7</v>
      </c>
      <c r="D193" s="1">
        <v>41059</v>
      </c>
      <c r="E193">
        <v>137</v>
      </c>
      <c r="F193">
        <f>VLOOKUP(ORDERS[[#This Row],[ProductID]],Products[],4,FALSE)</f>
        <v>38</v>
      </c>
      <c r="G193">
        <v>0</v>
      </c>
      <c r="H193">
        <f>(ORDERS[[#This Row],[UnitsOrdered]]*ORDERS[[#This Row],[unit price]])-(ORDERS[[#This Row],[UnitsOrdered]]*ORDERS[[#This Row],[unit price]]*ORDERS[[#This Row],[Discount]])</f>
        <v>5206</v>
      </c>
      <c r="I193" t="str">
        <f>VLOOKUP(ORDERS[[#This Row],[CustomerID]],customers[],2,FALSE)</f>
        <v>The Shirt on Your Back</v>
      </c>
      <c r="J193" s="2" t="str">
        <f>VLOOKUP(ORDERS[[#This Row],[CustomerID]],customers[],4,FALSE)</f>
        <v>Bonners Ferry</v>
      </c>
      <c r="K193" s="2" t="str">
        <f>VLOOKUP(ORDERS[[#This Row],[ProductID]],Products[],3,FALSE)</f>
        <v>Female</v>
      </c>
      <c r="L193" s="2">
        <f>DAY(ORDERS[[#This Row],[OrderDate]])</f>
        <v>30</v>
      </c>
      <c r="M193" s="2">
        <f>YEAR(ORDERS[[#This Row],[OrderDate]])</f>
        <v>2012</v>
      </c>
    </row>
    <row r="194" spans="1:13" x14ac:dyDescent="0.3">
      <c r="A194">
        <v>193</v>
      </c>
      <c r="B194">
        <v>3</v>
      </c>
      <c r="C194">
        <v>7</v>
      </c>
      <c r="D194" s="1">
        <v>41060</v>
      </c>
      <c r="E194">
        <v>33</v>
      </c>
      <c r="F194">
        <f>VLOOKUP(ORDERS[[#This Row],[ProductID]],Products[],4,FALSE)</f>
        <v>38</v>
      </c>
      <c r="G194">
        <v>5.0000001000000002E-2</v>
      </c>
      <c r="H194">
        <f>(ORDERS[[#This Row],[UnitsOrdered]]*ORDERS[[#This Row],[unit price]])-(ORDERS[[#This Row],[UnitsOrdered]]*ORDERS[[#This Row],[unit price]]*ORDERS[[#This Row],[Discount]])</f>
        <v>1191.299998746</v>
      </c>
      <c r="I194" t="str">
        <f>VLOOKUP(ORDERS[[#This Row],[CustomerID]],customers[],2,FALSE)</f>
        <v>Shirts R Us</v>
      </c>
      <c r="J194" s="2" t="str">
        <f>VLOOKUP(ORDERS[[#This Row],[CustomerID]],customers[],4,FALSE)</f>
        <v>Los Angeles</v>
      </c>
      <c r="K194" s="2" t="str">
        <f>VLOOKUP(ORDERS[[#This Row],[ProductID]],Products[],3,FALSE)</f>
        <v>Female</v>
      </c>
      <c r="L194" s="2">
        <f>DAY(ORDERS[[#This Row],[OrderDate]])</f>
        <v>31</v>
      </c>
      <c r="M194" s="2">
        <f>YEAR(ORDERS[[#This Row],[OrderDate]])</f>
        <v>2012</v>
      </c>
    </row>
    <row r="195" spans="1:13" x14ac:dyDescent="0.3">
      <c r="A195">
        <v>194</v>
      </c>
      <c r="B195">
        <v>4</v>
      </c>
      <c r="C195">
        <v>3</v>
      </c>
      <c r="D195" s="1">
        <v>41060</v>
      </c>
      <c r="E195">
        <v>35</v>
      </c>
      <c r="F195">
        <f>VLOOKUP(ORDERS[[#This Row],[ProductID]],Products[],4,FALSE)</f>
        <v>22</v>
      </c>
      <c r="G195">
        <v>0</v>
      </c>
      <c r="H195">
        <f>(ORDERS[[#This Row],[UnitsOrdered]]*ORDERS[[#This Row],[unit price]])-(ORDERS[[#This Row],[UnitsOrdered]]*ORDERS[[#This Row],[unit price]]*ORDERS[[#This Row],[Discount]])</f>
        <v>770</v>
      </c>
      <c r="I195" t="str">
        <f>VLOOKUP(ORDERS[[#This Row],[CustomerID]],customers[],2,FALSE)</f>
        <v>Tshirt Unlimited</v>
      </c>
      <c r="J195" s="2" t="str">
        <f>VLOOKUP(ORDERS[[#This Row],[CustomerID]],customers[],4,FALSE)</f>
        <v>Phoenix</v>
      </c>
      <c r="K195" s="2" t="str">
        <f>VLOOKUP(ORDERS[[#This Row],[ProductID]],Products[],3,FALSE)</f>
        <v>Both</v>
      </c>
      <c r="L195" s="2">
        <f>DAY(ORDERS[[#This Row],[OrderDate]])</f>
        <v>31</v>
      </c>
      <c r="M195" s="2">
        <f>YEAR(ORDERS[[#This Row],[OrderDate]])</f>
        <v>2012</v>
      </c>
    </row>
    <row r="196" spans="1:13" x14ac:dyDescent="0.3">
      <c r="A196">
        <v>195</v>
      </c>
      <c r="B196">
        <v>4</v>
      </c>
      <c r="C196">
        <v>9</v>
      </c>
      <c r="D196" s="1">
        <v>41060</v>
      </c>
      <c r="E196">
        <v>84</v>
      </c>
      <c r="F196">
        <f>VLOOKUP(ORDERS[[#This Row],[ProductID]],Products[],4,FALSE)</f>
        <v>25</v>
      </c>
      <c r="G196">
        <v>0</v>
      </c>
      <c r="H196">
        <f>(ORDERS[[#This Row],[UnitsOrdered]]*ORDERS[[#This Row],[unit price]])-(ORDERS[[#This Row],[UnitsOrdered]]*ORDERS[[#This Row],[unit price]]*ORDERS[[#This Row],[Discount]])</f>
        <v>2100</v>
      </c>
      <c r="I196" t="str">
        <f>VLOOKUP(ORDERS[[#This Row],[CustomerID]],customers[],2,FALSE)</f>
        <v>Tshirt Unlimited</v>
      </c>
      <c r="J196" s="2" t="str">
        <f>VLOOKUP(ORDERS[[#This Row],[CustomerID]],customers[],4,FALSE)</f>
        <v>Phoenix</v>
      </c>
      <c r="K196" s="2" t="str">
        <f>VLOOKUP(ORDERS[[#This Row],[ProductID]],Products[],3,FALSE)</f>
        <v>Male</v>
      </c>
      <c r="L196" s="2">
        <f>DAY(ORDERS[[#This Row],[OrderDate]])</f>
        <v>31</v>
      </c>
      <c r="M196" s="2">
        <f>YEAR(ORDERS[[#This Row],[OrderDate]])</f>
        <v>2012</v>
      </c>
    </row>
    <row r="197" spans="1:13" x14ac:dyDescent="0.3">
      <c r="A197">
        <v>196</v>
      </c>
      <c r="B197">
        <v>3</v>
      </c>
      <c r="C197">
        <v>3</v>
      </c>
      <c r="D197" s="1">
        <v>41061</v>
      </c>
      <c r="E197">
        <v>115</v>
      </c>
      <c r="F197">
        <f>VLOOKUP(ORDERS[[#This Row],[ProductID]],Products[],4,FALSE)</f>
        <v>22</v>
      </c>
      <c r="G197">
        <v>0</v>
      </c>
      <c r="H197">
        <f>(ORDERS[[#This Row],[UnitsOrdered]]*ORDERS[[#This Row],[unit price]])-(ORDERS[[#This Row],[UnitsOrdered]]*ORDERS[[#This Row],[unit price]]*ORDERS[[#This Row],[Discount]])</f>
        <v>2530</v>
      </c>
      <c r="I197" t="str">
        <f>VLOOKUP(ORDERS[[#This Row],[CustomerID]],customers[],2,FALSE)</f>
        <v>Shirts R Us</v>
      </c>
      <c r="J197" s="2" t="str">
        <f>VLOOKUP(ORDERS[[#This Row],[CustomerID]],customers[],4,FALSE)</f>
        <v>Los Angeles</v>
      </c>
      <c r="K197" s="2" t="str">
        <f>VLOOKUP(ORDERS[[#This Row],[ProductID]],Products[],3,FALSE)</f>
        <v>Both</v>
      </c>
      <c r="L197" s="2">
        <f>DAY(ORDERS[[#This Row],[OrderDate]])</f>
        <v>1</v>
      </c>
      <c r="M197" s="2">
        <f>YEAR(ORDERS[[#This Row],[OrderDate]])</f>
        <v>2012</v>
      </c>
    </row>
    <row r="198" spans="1:13" x14ac:dyDescent="0.3">
      <c r="A198">
        <v>197</v>
      </c>
      <c r="B198">
        <v>1</v>
      </c>
      <c r="C198">
        <v>7</v>
      </c>
      <c r="D198" s="1">
        <v>41062</v>
      </c>
      <c r="E198">
        <v>120</v>
      </c>
      <c r="F198">
        <f>VLOOKUP(ORDERS[[#This Row],[ProductID]],Products[],4,FALSE)</f>
        <v>38</v>
      </c>
      <c r="G198">
        <v>0.10000000100000001</v>
      </c>
      <c r="H198">
        <f>(ORDERS[[#This Row],[UnitsOrdered]]*ORDERS[[#This Row],[unit price]])-(ORDERS[[#This Row],[UnitsOrdered]]*ORDERS[[#This Row],[unit price]]*ORDERS[[#This Row],[Discount]])</f>
        <v>4103.99999544</v>
      </c>
      <c r="I198" t="str">
        <f>VLOOKUP(ORDERS[[#This Row],[CustomerID]],customers[],2,FALSE)</f>
        <v>Threads</v>
      </c>
      <c r="J198" s="2" t="str">
        <f>VLOOKUP(ORDERS[[#This Row],[CustomerID]],customers[],4,FALSE)</f>
        <v>Seattle</v>
      </c>
      <c r="K198" s="2" t="str">
        <f>VLOOKUP(ORDERS[[#This Row],[ProductID]],Products[],3,FALSE)</f>
        <v>Female</v>
      </c>
      <c r="L198" s="2">
        <f>DAY(ORDERS[[#This Row],[OrderDate]])</f>
        <v>2</v>
      </c>
      <c r="M198" s="2">
        <f>YEAR(ORDERS[[#This Row],[OrderDate]])</f>
        <v>2012</v>
      </c>
    </row>
    <row r="199" spans="1:13" x14ac:dyDescent="0.3">
      <c r="A199">
        <v>198</v>
      </c>
      <c r="B199">
        <v>2</v>
      </c>
      <c r="C199">
        <v>8</v>
      </c>
      <c r="D199" s="1">
        <v>41062</v>
      </c>
      <c r="E199">
        <v>120</v>
      </c>
      <c r="F199">
        <f>VLOOKUP(ORDERS[[#This Row],[ProductID]],Products[],4,FALSE)</f>
        <v>27</v>
      </c>
      <c r="G199">
        <v>0</v>
      </c>
      <c r="H199">
        <f>(ORDERS[[#This Row],[UnitsOrdered]]*ORDERS[[#This Row],[unit price]])-(ORDERS[[#This Row],[UnitsOrdered]]*ORDERS[[#This Row],[unit price]]*ORDERS[[#This Row],[Discount]])</f>
        <v>3240</v>
      </c>
      <c r="I199" t="str">
        <f>VLOOKUP(ORDERS[[#This Row],[CustomerID]],customers[],2,FALSE)</f>
        <v>A Shirts Life</v>
      </c>
      <c r="J199" s="2" t="str">
        <f>VLOOKUP(ORDERS[[#This Row],[CustomerID]],customers[],4,FALSE)</f>
        <v>Portland</v>
      </c>
      <c r="K199" s="2" t="str">
        <f>VLOOKUP(ORDERS[[#This Row],[ProductID]],Products[],3,FALSE)</f>
        <v>Female</v>
      </c>
      <c r="L199" s="2">
        <f>DAY(ORDERS[[#This Row],[OrderDate]])</f>
        <v>2</v>
      </c>
      <c r="M199" s="2">
        <f>YEAR(ORDERS[[#This Row],[OrderDate]])</f>
        <v>2012</v>
      </c>
    </row>
    <row r="200" spans="1:13" x14ac:dyDescent="0.3">
      <c r="A200">
        <v>199</v>
      </c>
      <c r="B200">
        <v>3</v>
      </c>
      <c r="C200">
        <v>2</v>
      </c>
      <c r="D200" s="1">
        <v>41062</v>
      </c>
      <c r="E200">
        <v>114</v>
      </c>
      <c r="F200">
        <f>VLOOKUP(ORDERS[[#This Row],[ProductID]],Products[],4,FALSE)</f>
        <v>30</v>
      </c>
      <c r="G200">
        <v>0</v>
      </c>
      <c r="H200">
        <f>(ORDERS[[#This Row],[UnitsOrdered]]*ORDERS[[#This Row],[unit price]])-(ORDERS[[#This Row],[UnitsOrdered]]*ORDERS[[#This Row],[unit price]]*ORDERS[[#This Row],[Discount]])</f>
        <v>3420</v>
      </c>
      <c r="I200" t="str">
        <f>VLOOKUP(ORDERS[[#This Row],[CustomerID]],customers[],2,FALSE)</f>
        <v>Shirts R Us</v>
      </c>
      <c r="J200" s="2" t="str">
        <f>VLOOKUP(ORDERS[[#This Row],[CustomerID]],customers[],4,FALSE)</f>
        <v>Los Angeles</v>
      </c>
      <c r="K200" s="2" t="str">
        <f>VLOOKUP(ORDERS[[#This Row],[ProductID]],Products[],3,FALSE)</f>
        <v>Both</v>
      </c>
      <c r="L200" s="2">
        <f>DAY(ORDERS[[#This Row],[OrderDate]])</f>
        <v>2</v>
      </c>
      <c r="M200" s="2">
        <f>YEAR(ORDERS[[#This Row],[OrderDate]])</f>
        <v>2012</v>
      </c>
    </row>
    <row r="201" spans="1:13" x14ac:dyDescent="0.3">
      <c r="A201">
        <v>200</v>
      </c>
      <c r="B201">
        <v>6</v>
      </c>
      <c r="C201">
        <v>7</v>
      </c>
      <c r="D201" s="1">
        <v>41062</v>
      </c>
      <c r="E201">
        <v>70</v>
      </c>
      <c r="F201">
        <f>VLOOKUP(ORDERS[[#This Row],[ProductID]],Products[],4,FALSE)</f>
        <v>38</v>
      </c>
      <c r="G201">
        <v>0</v>
      </c>
      <c r="H201">
        <f>(ORDERS[[#This Row],[UnitsOrdered]]*ORDERS[[#This Row],[unit price]])-(ORDERS[[#This Row],[UnitsOrdered]]*ORDERS[[#This Row],[unit price]]*ORDERS[[#This Row],[Discount]])</f>
        <v>2660</v>
      </c>
      <c r="I201" t="str">
        <f>VLOOKUP(ORDERS[[#This Row],[CustomerID]],customers[],2,FALSE)</f>
        <v>Abracadaba Ink</v>
      </c>
      <c r="J201" s="2" t="str">
        <f>VLOOKUP(ORDERS[[#This Row],[CustomerID]],customers[],4,FALSE)</f>
        <v>Salt Lake City</v>
      </c>
      <c r="K201" s="2" t="str">
        <f>VLOOKUP(ORDERS[[#This Row],[ProductID]],Products[],3,FALSE)</f>
        <v>Female</v>
      </c>
      <c r="L201" s="2">
        <f>DAY(ORDERS[[#This Row],[OrderDate]])</f>
        <v>2</v>
      </c>
      <c r="M201" s="2">
        <f>YEAR(ORDERS[[#This Row],[OrderDate]])</f>
        <v>2012</v>
      </c>
    </row>
    <row r="202" spans="1:13" x14ac:dyDescent="0.3">
      <c r="A202">
        <v>201</v>
      </c>
      <c r="B202">
        <v>1</v>
      </c>
      <c r="C202">
        <v>8</v>
      </c>
      <c r="D202" s="1">
        <v>41063</v>
      </c>
      <c r="E202">
        <v>81</v>
      </c>
      <c r="F202">
        <f>VLOOKUP(ORDERS[[#This Row],[ProductID]],Products[],4,FALSE)</f>
        <v>27</v>
      </c>
      <c r="G202">
        <v>0</v>
      </c>
      <c r="H202">
        <f>(ORDERS[[#This Row],[UnitsOrdered]]*ORDERS[[#This Row],[unit price]])-(ORDERS[[#This Row],[UnitsOrdered]]*ORDERS[[#This Row],[unit price]]*ORDERS[[#This Row],[Discount]])</f>
        <v>2187</v>
      </c>
      <c r="I202" t="str">
        <f>VLOOKUP(ORDERS[[#This Row],[CustomerID]],customers[],2,FALSE)</f>
        <v>Threads</v>
      </c>
      <c r="J202" s="2" t="str">
        <f>VLOOKUP(ORDERS[[#This Row],[CustomerID]],customers[],4,FALSE)</f>
        <v>Seattle</v>
      </c>
      <c r="K202" s="2" t="str">
        <f>VLOOKUP(ORDERS[[#This Row],[ProductID]],Products[],3,FALSE)</f>
        <v>Female</v>
      </c>
      <c r="L202" s="2">
        <f>DAY(ORDERS[[#This Row],[OrderDate]])</f>
        <v>3</v>
      </c>
      <c r="M202" s="2">
        <f>YEAR(ORDERS[[#This Row],[OrderDate]])</f>
        <v>2012</v>
      </c>
    </row>
    <row r="203" spans="1:13" x14ac:dyDescent="0.3">
      <c r="A203">
        <v>202</v>
      </c>
      <c r="B203">
        <v>2</v>
      </c>
      <c r="C203">
        <v>10</v>
      </c>
      <c r="D203" s="1">
        <v>41064</v>
      </c>
      <c r="E203">
        <v>58</v>
      </c>
      <c r="F203">
        <f>VLOOKUP(ORDERS[[#This Row],[ProductID]],Products[],4,FALSE)</f>
        <v>35</v>
      </c>
      <c r="G203">
        <v>5.0000001000000002E-2</v>
      </c>
      <c r="H203">
        <f>(ORDERS[[#This Row],[UnitsOrdered]]*ORDERS[[#This Row],[unit price]])-(ORDERS[[#This Row],[UnitsOrdered]]*ORDERS[[#This Row],[unit price]]*ORDERS[[#This Row],[Discount]])</f>
        <v>1928.4999979700001</v>
      </c>
      <c r="I203" t="str">
        <f>VLOOKUP(ORDERS[[#This Row],[CustomerID]],customers[],2,FALSE)</f>
        <v>A Shirts Life</v>
      </c>
      <c r="J203" s="2" t="str">
        <f>VLOOKUP(ORDERS[[#This Row],[CustomerID]],customers[],4,FALSE)</f>
        <v>Portland</v>
      </c>
      <c r="K203" s="2" t="str">
        <f>VLOOKUP(ORDERS[[#This Row],[ProductID]],Products[],3,FALSE)</f>
        <v>Male</v>
      </c>
      <c r="L203" s="2">
        <f>DAY(ORDERS[[#This Row],[OrderDate]])</f>
        <v>4</v>
      </c>
      <c r="M203" s="2">
        <f>YEAR(ORDERS[[#This Row],[OrderDate]])</f>
        <v>2012</v>
      </c>
    </row>
    <row r="204" spans="1:13" x14ac:dyDescent="0.3">
      <c r="A204">
        <v>203</v>
      </c>
      <c r="B204">
        <v>4</v>
      </c>
      <c r="C204">
        <v>2</v>
      </c>
      <c r="D204" s="1">
        <v>41064</v>
      </c>
      <c r="E204">
        <v>93</v>
      </c>
      <c r="F204">
        <f>VLOOKUP(ORDERS[[#This Row],[ProductID]],Products[],4,FALSE)</f>
        <v>30</v>
      </c>
      <c r="G204">
        <v>0</v>
      </c>
      <c r="H204">
        <f>(ORDERS[[#This Row],[UnitsOrdered]]*ORDERS[[#This Row],[unit price]])-(ORDERS[[#This Row],[UnitsOrdered]]*ORDERS[[#This Row],[unit price]]*ORDERS[[#This Row],[Discount]])</f>
        <v>2790</v>
      </c>
      <c r="I204" t="str">
        <f>VLOOKUP(ORDERS[[#This Row],[CustomerID]],customers[],2,FALSE)</f>
        <v>Tshirt Unlimited</v>
      </c>
      <c r="J204" s="2" t="str">
        <f>VLOOKUP(ORDERS[[#This Row],[CustomerID]],customers[],4,FALSE)</f>
        <v>Phoenix</v>
      </c>
      <c r="K204" s="2" t="str">
        <f>VLOOKUP(ORDERS[[#This Row],[ProductID]],Products[],3,FALSE)</f>
        <v>Both</v>
      </c>
      <c r="L204" s="2">
        <f>DAY(ORDERS[[#This Row],[OrderDate]])</f>
        <v>4</v>
      </c>
      <c r="M204" s="2">
        <f>YEAR(ORDERS[[#This Row],[OrderDate]])</f>
        <v>2012</v>
      </c>
    </row>
    <row r="205" spans="1:13" x14ac:dyDescent="0.3">
      <c r="A205">
        <v>204</v>
      </c>
      <c r="B205">
        <v>4</v>
      </c>
      <c r="C205">
        <v>7</v>
      </c>
      <c r="D205" s="1">
        <v>41064</v>
      </c>
      <c r="E205">
        <v>40</v>
      </c>
      <c r="F205">
        <f>VLOOKUP(ORDERS[[#This Row],[ProductID]],Products[],4,FALSE)</f>
        <v>38</v>
      </c>
      <c r="G205">
        <v>0</v>
      </c>
      <c r="H205">
        <f>(ORDERS[[#This Row],[UnitsOrdered]]*ORDERS[[#This Row],[unit price]])-(ORDERS[[#This Row],[UnitsOrdered]]*ORDERS[[#This Row],[unit price]]*ORDERS[[#This Row],[Discount]])</f>
        <v>1520</v>
      </c>
      <c r="I205" t="str">
        <f>VLOOKUP(ORDERS[[#This Row],[CustomerID]],customers[],2,FALSE)</f>
        <v>Tshirt Unlimited</v>
      </c>
      <c r="J205" s="2" t="str">
        <f>VLOOKUP(ORDERS[[#This Row],[CustomerID]],customers[],4,FALSE)</f>
        <v>Phoenix</v>
      </c>
      <c r="K205" s="2" t="str">
        <f>VLOOKUP(ORDERS[[#This Row],[ProductID]],Products[],3,FALSE)</f>
        <v>Female</v>
      </c>
      <c r="L205" s="2">
        <f>DAY(ORDERS[[#This Row],[OrderDate]])</f>
        <v>4</v>
      </c>
      <c r="M205" s="2">
        <f>YEAR(ORDERS[[#This Row],[OrderDate]])</f>
        <v>2012</v>
      </c>
    </row>
    <row r="206" spans="1:13" x14ac:dyDescent="0.3">
      <c r="A206">
        <v>205</v>
      </c>
      <c r="B206">
        <v>4</v>
      </c>
      <c r="C206">
        <v>2</v>
      </c>
      <c r="D206" s="1">
        <v>41065</v>
      </c>
      <c r="E206">
        <v>25</v>
      </c>
      <c r="F206">
        <f>VLOOKUP(ORDERS[[#This Row],[ProductID]],Products[],4,FALSE)</f>
        <v>30</v>
      </c>
      <c r="G206">
        <v>5.0000001000000002E-2</v>
      </c>
      <c r="H206">
        <f>(ORDERS[[#This Row],[UnitsOrdered]]*ORDERS[[#This Row],[unit price]])-(ORDERS[[#This Row],[UnitsOrdered]]*ORDERS[[#This Row],[unit price]]*ORDERS[[#This Row],[Discount]])</f>
        <v>712.49999924999997</v>
      </c>
      <c r="I206" t="str">
        <f>VLOOKUP(ORDERS[[#This Row],[CustomerID]],customers[],2,FALSE)</f>
        <v>Tshirt Unlimited</v>
      </c>
      <c r="J206" s="2" t="str">
        <f>VLOOKUP(ORDERS[[#This Row],[CustomerID]],customers[],4,FALSE)</f>
        <v>Phoenix</v>
      </c>
      <c r="K206" s="2" t="str">
        <f>VLOOKUP(ORDERS[[#This Row],[ProductID]],Products[],3,FALSE)</f>
        <v>Both</v>
      </c>
      <c r="L206" s="2">
        <f>DAY(ORDERS[[#This Row],[OrderDate]])</f>
        <v>5</v>
      </c>
      <c r="M206" s="2">
        <f>YEAR(ORDERS[[#This Row],[OrderDate]])</f>
        <v>2012</v>
      </c>
    </row>
    <row r="207" spans="1:13" x14ac:dyDescent="0.3">
      <c r="A207">
        <v>206</v>
      </c>
      <c r="B207">
        <v>4</v>
      </c>
      <c r="C207">
        <v>7</v>
      </c>
      <c r="D207" s="1">
        <v>41065</v>
      </c>
      <c r="E207">
        <v>128</v>
      </c>
      <c r="F207">
        <f>VLOOKUP(ORDERS[[#This Row],[ProductID]],Products[],4,FALSE)</f>
        <v>38</v>
      </c>
      <c r="G207">
        <v>5.0000001000000002E-2</v>
      </c>
      <c r="H207">
        <f>(ORDERS[[#This Row],[UnitsOrdered]]*ORDERS[[#This Row],[unit price]])-(ORDERS[[#This Row],[UnitsOrdered]]*ORDERS[[#This Row],[unit price]]*ORDERS[[#This Row],[Discount]])</f>
        <v>4620.7999951359998</v>
      </c>
      <c r="I207" t="str">
        <f>VLOOKUP(ORDERS[[#This Row],[CustomerID]],customers[],2,FALSE)</f>
        <v>Tshirt Unlimited</v>
      </c>
      <c r="J207" s="2" t="str">
        <f>VLOOKUP(ORDERS[[#This Row],[CustomerID]],customers[],4,FALSE)</f>
        <v>Phoenix</v>
      </c>
      <c r="K207" s="2" t="str">
        <f>VLOOKUP(ORDERS[[#This Row],[ProductID]],Products[],3,FALSE)</f>
        <v>Female</v>
      </c>
      <c r="L207" s="2">
        <f>DAY(ORDERS[[#This Row],[OrderDate]])</f>
        <v>5</v>
      </c>
      <c r="M207" s="2">
        <f>YEAR(ORDERS[[#This Row],[OrderDate]])</f>
        <v>2012</v>
      </c>
    </row>
    <row r="208" spans="1:13" x14ac:dyDescent="0.3">
      <c r="A208">
        <v>207</v>
      </c>
      <c r="B208">
        <v>4</v>
      </c>
      <c r="C208">
        <v>9</v>
      </c>
      <c r="D208" s="1">
        <v>41065</v>
      </c>
      <c r="E208">
        <v>118</v>
      </c>
      <c r="F208">
        <f>VLOOKUP(ORDERS[[#This Row],[ProductID]],Products[],4,FALSE)</f>
        <v>25</v>
      </c>
      <c r="G208">
        <v>0</v>
      </c>
      <c r="H208">
        <f>(ORDERS[[#This Row],[UnitsOrdered]]*ORDERS[[#This Row],[unit price]])-(ORDERS[[#This Row],[UnitsOrdered]]*ORDERS[[#This Row],[unit price]]*ORDERS[[#This Row],[Discount]])</f>
        <v>2950</v>
      </c>
      <c r="I208" t="str">
        <f>VLOOKUP(ORDERS[[#This Row],[CustomerID]],customers[],2,FALSE)</f>
        <v>Tshirt Unlimited</v>
      </c>
      <c r="J208" s="2" t="str">
        <f>VLOOKUP(ORDERS[[#This Row],[CustomerID]],customers[],4,FALSE)</f>
        <v>Phoenix</v>
      </c>
      <c r="K208" s="2" t="str">
        <f>VLOOKUP(ORDERS[[#This Row],[ProductID]],Products[],3,FALSE)</f>
        <v>Male</v>
      </c>
      <c r="L208" s="2">
        <f>DAY(ORDERS[[#This Row],[OrderDate]])</f>
        <v>5</v>
      </c>
      <c r="M208" s="2">
        <f>YEAR(ORDERS[[#This Row],[OrderDate]])</f>
        <v>2012</v>
      </c>
    </row>
    <row r="209" spans="1:13" x14ac:dyDescent="0.3">
      <c r="A209">
        <v>208</v>
      </c>
      <c r="B209">
        <v>2</v>
      </c>
      <c r="C209">
        <v>9</v>
      </c>
      <c r="D209" s="1">
        <v>41066</v>
      </c>
      <c r="E209">
        <v>61</v>
      </c>
      <c r="F209">
        <f>VLOOKUP(ORDERS[[#This Row],[ProductID]],Products[],4,FALSE)</f>
        <v>25</v>
      </c>
      <c r="G209">
        <v>0</v>
      </c>
      <c r="H209">
        <f>(ORDERS[[#This Row],[UnitsOrdered]]*ORDERS[[#This Row],[unit price]])-(ORDERS[[#This Row],[UnitsOrdered]]*ORDERS[[#This Row],[unit price]]*ORDERS[[#This Row],[Discount]])</f>
        <v>1525</v>
      </c>
      <c r="I209" t="str">
        <f>VLOOKUP(ORDERS[[#This Row],[CustomerID]],customers[],2,FALSE)</f>
        <v>A Shirts Life</v>
      </c>
      <c r="J209" s="2" t="str">
        <f>VLOOKUP(ORDERS[[#This Row],[CustomerID]],customers[],4,FALSE)</f>
        <v>Portland</v>
      </c>
      <c r="K209" s="2" t="str">
        <f>VLOOKUP(ORDERS[[#This Row],[ProductID]],Products[],3,FALSE)</f>
        <v>Male</v>
      </c>
      <c r="L209" s="2">
        <f>DAY(ORDERS[[#This Row],[OrderDate]])</f>
        <v>6</v>
      </c>
      <c r="M209" s="2">
        <f>YEAR(ORDERS[[#This Row],[OrderDate]])</f>
        <v>2012</v>
      </c>
    </row>
    <row r="210" spans="1:13" x14ac:dyDescent="0.3">
      <c r="A210">
        <v>209</v>
      </c>
      <c r="B210">
        <v>7</v>
      </c>
      <c r="C210">
        <v>6</v>
      </c>
      <c r="D210" s="1">
        <v>41066</v>
      </c>
      <c r="E210">
        <v>74</v>
      </c>
      <c r="F210">
        <f>VLOOKUP(ORDERS[[#This Row],[ProductID]],Products[],4,FALSE)</f>
        <v>28</v>
      </c>
      <c r="G210">
        <v>0</v>
      </c>
      <c r="H210">
        <f>(ORDERS[[#This Row],[UnitsOrdered]]*ORDERS[[#This Row],[unit price]])-(ORDERS[[#This Row],[UnitsOrdered]]*ORDERS[[#This Row],[unit price]]*ORDERS[[#This Row],[Discount]])</f>
        <v>2072</v>
      </c>
      <c r="I210" t="str">
        <f>VLOOKUP(ORDERS[[#This Row],[CustomerID]],customers[],2,FALSE)</f>
        <v>The Shirt on Your Back</v>
      </c>
      <c r="J210" s="2" t="str">
        <f>VLOOKUP(ORDERS[[#This Row],[CustomerID]],customers[],4,FALSE)</f>
        <v>Bonners Ferry</v>
      </c>
      <c r="K210" s="2" t="str">
        <f>VLOOKUP(ORDERS[[#This Row],[ProductID]],Products[],3,FALSE)</f>
        <v>Female</v>
      </c>
      <c r="L210" s="2">
        <f>DAY(ORDERS[[#This Row],[OrderDate]])</f>
        <v>6</v>
      </c>
      <c r="M210" s="2">
        <f>YEAR(ORDERS[[#This Row],[OrderDate]])</f>
        <v>2012</v>
      </c>
    </row>
    <row r="211" spans="1:13" x14ac:dyDescent="0.3">
      <c r="A211">
        <v>210</v>
      </c>
      <c r="B211">
        <v>1</v>
      </c>
      <c r="C211">
        <v>8</v>
      </c>
      <c r="D211" s="1">
        <v>41070</v>
      </c>
      <c r="E211">
        <v>82</v>
      </c>
      <c r="F211">
        <f>VLOOKUP(ORDERS[[#This Row],[ProductID]],Products[],4,FALSE)</f>
        <v>27</v>
      </c>
      <c r="G211">
        <v>0</v>
      </c>
      <c r="H211">
        <f>(ORDERS[[#This Row],[UnitsOrdered]]*ORDERS[[#This Row],[unit price]])-(ORDERS[[#This Row],[UnitsOrdered]]*ORDERS[[#This Row],[unit price]]*ORDERS[[#This Row],[Discount]])</f>
        <v>2214</v>
      </c>
      <c r="I211" t="str">
        <f>VLOOKUP(ORDERS[[#This Row],[CustomerID]],customers[],2,FALSE)</f>
        <v>Threads</v>
      </c>
      <c r="J211" s="2" t="str">
        <f>VLOOKUP(ORDERS[[#This Row],[CustomerID]],customers[],4,FALSE)</f>
        <v>Seattle</v>
      </c>
      <c r="K211" s="2" t="str">
        <f>VLOOKUP(ORDERS[[#This Row],[ProductID]],Products[],3,FALSE)</f>
        <v>Female</v>
      </c>
      <c r="L211" s="2">
        <f>DAY(ORDERS[[#This Row],[OrderDate]])</f>
        <v>10</v>
      </c>
      <c r="M211" s="2">
        <f>YEAR(ORDERS[[#This Row],[OrderDate]])</f>
        <v>2012</v>
      </c>
    </row>
    <row r="212" spans="1:13" x14ac:dyDescent="0.3">
      <c r="A212">
        <v>211</v>
      </c>
      <c r="B212">
        <v>5</v>
      </c>
      <c r="C212">
        <v>8</v>
      </c>
      <c r="D212" s="1">
        <v>41071</v>
      </c>
      <c r="E212">
        <v>146</v>
      </c>
      <c r="F212">
        <f>VLOOKUP(ORDERS[[#This Row],[ProductID]],Products[],4,FALSE)</f>
        <v>27</v>
      </c>
      <c r="G212">
        <v>0</v>
      </c>
      <c r="H212">
        <f>(ORDERS[[#This Row],[UnitsOrdered]]*ORDERS[[#This Row],[unit price]])-(ORDERS[[#This Row],[UnitsOrdered]]*ORDERS[[#This Row],[unit price]]*ORDERS[[#This Row],[Discount]])</f>
        <v>3942</v>
      </c>
      <c r="I212" t="str">
        <f>VLOOKUP(ORDERS[[#This Row],[CustomerID]],customers[],2,FALSE)</f>
        <v>Rags to Riches</v>
      </c>
      <c r="J212" s="2" t="str">
        <f>VLOOKUP(ORDERS[[#This Row],[CustomerID]],customers[],4,FALSE)</f>
        <v>Las Vegas</v>
      </c>
      <c r="K212" s="2" t="str">
        <f>VLOOKUP(ORDERS[[#This Row],[ProductID]],Products[],3,FALSE)</f>
        <v>Female</v>
      </c>
      <c r="L212" s="2">
        <f>DAY(ORDERS[[#This Row],[OrderDate]])</f>
        <v>11</v>
      </c>
      <c r="M212" s="2">
        <f>YEAR(ORDERS[[#This Row],[OrderDate]])</f>
        <v>2012</v>
      </c>
    </row>
    <row r="213" spans="1:13" x14ac:dyDescent="0.3">
      <c r="A213">
        <v>212</v>
      </c>
      <c r="B213">
        <v>4</v>
      </c>
      <c r="C213">
        <v>8</v>
      </c>
      <c r="D213" s="1">
        <v>41073</v>
      </c>
      <c r="E213">
        <v>56</v>
      </c>
      <c r="F213">
        <f>VLOOKUP(ORDERS[[#This Row],[ProductID]],Products[],4,FALSE)</f>
        <v>27</v>
      </c>
      <c r="G213">
        <v>5.0000001000000002E-2</v>
      </c>
      <c r="H213">
        <f>(ORDERS[[#This Row],[UnitsOrdered]]*ORDERS[[#This Row],[unit price]])-(ORDERS[[#This Row],[UnitsOrdered]]*ORDERS[[#This Row],[unit price]]*ORDERS[[#This Row],[Discount]])</f>
        <v>1436.3999984879999</v>
      </c>
      <c r="I213" t="str">
        <f>VLOOKUP(ORDERS[[#This Row],[CustomerID]],customers[],2,FALSE)</f>
        <v>Tshirt Unlimited</v>
      </c>
      <c r="J213" s="2" t="str">
        <f>VLOOKUP(ORDERS[[#This Row],[CustomerID]],customers[],4,FALSE)</f>
        <v>Phoenix</v>
      </c>
      <c r="K213" s="2" t="str">
        <f>VLOOKUP(ORDERS[[#This Row],[ProductID]],Products[],3,FALSE)</f>
        <v>Female</v>
      </c>
      <c r="L213" s="2">
        <f>DAY(ORDERS[[#This Row],[OrderDate]])</f>
        <v>13</v>
      </c>
      <c r="M213" s="2">
        <f>YEAR(ORDERS[[#This Row],[OrderDate]])</f>
        <v>2012</v>
      </c>
    </row>
    <row r="214" spans="1:13" x14ac:dyDescent="0.3">
      <c r="A214">
        <v>213</v>
      </c>
      <c r="B214">
        <v>5</v>
      </c>
      <c r="C214">
        <v>3</v>
      </c>
      <c r="D214" s="1">
        <v>41073</v>
      </c>
      <c r="E214">
        <v>77</v>
      </c>
      <c r="F214">
        <f>VLOOKUP(ORDERS[[#This Row],[ProductID]],Products[],4,FALSE)</f>
        <v>22</v>
      </c>
      <c r="G214">
        <v>0</v>
      </c>
      <c r="H214">
        <f>(ORDERS[[#This Row],[UnitsOrdered]]*ORDERS[[#This Row],[unit price]])-(ORDERS[[#This Row],[UnitsOrdered]]*ORDERS[[#This Row],[unit price]]*ORDERS[[#This Row],[Discount]])</f>
        <v>1694</v>
      </c>
      <c r="I214" t="str">
        <f>VLOOKUP(ORDERS[[#This Row],[CustomerID]],customers[],2,FALSE)</f>
        <v>Rags to Riches</v>
      </c>
      <c r="J214" s="2" t="str">
        <f>VLOOKUP(ORDERS[[#This Row],[CustomerID]],customers[],4,FALSE)</f>
        <v>Las Vegas</v>
      </c>
      <c r="K214" s="2" t="str">
        <f>VLOOKUP(ORDERS[[#This Row],[ProductID]],Products[],3,FALSE)</f>
        <v>Both</v>
      </c>
      <c r="L214" s="2">
        <f>DAY(ORDERS[[#This Row],[OrderDate]])</f>
        <v>13</v>
      </c>
      <c r="M214" s="2">
        <f>YEAR(ORDERS[[#This Row],[OrderDate]])</f>
        <v>2012</v>
      </c>
    </row>
    <row r="215" spans="1:13" x14ac:dyDescent="0.3">
      <c r="A215">
        <v>214</v>
      </c>
      <c r="B215">
        <v>7</v>
      </c>
      <c r="C215">
        <v>9</v>
      </c>
      <c r="D215" s="1">
        <v>41073</v>
      </c>
      <c r="E215">
        <v>143</v>
      </c>
      <c r="F215">
        <f>VLOOKUP(ORDERS[[#This Row],[ProductID]],Products[],4,FALSE)</f>
        <v>25</v>
      </c>
      <c r="G215">
        <v>0</v>
      </c>
      <c r="H215">
        <f>(ORDERS[[#This Row],[UnitsOrdered]]*ORDERS[[#This Row],[unit price]])-(ORDERS[[#This Row],[UnitsOrdered]]*ORDERS[[#This Row],[unit price]]*ORDERS[[#This Row],[Discount]])</f>
        <v>3575</v>
      </c>
      <c r="I215" t="str">
        <f>VLOOKUP(ORDERS[[#This Row],[CustomerID]],customers[],2,FALSE)</f>
        <v>The Shirt on Your Back</v>
      </c>
      <c r="J215" s="2" t="str">
        <f>VLOOKUP(ORDERS[[#This Row],[CustomerID]],customers[],4,FALSE)</f>
        <v>Bonners Ferry</v>
      </c>
      <c r="K215" s="2" t="str">
        <f>VLOOKUP(ORDERS[[#This Row],[ProductID]],Products[],3,FALSE)</f>
        <v>Male</v>
      </c>
      <c r="L215" s="2">
        <f>DAY(ORDERS[[#This Row],[OrderDate]])</f>
        <v>13</v>
      </c>
      <c r="M215" s="2">
        <f>YEAR(ORDERS[[#This Row],[OrderDate]])</f>
        <v>2012</v>
      </c>
    </row>
    <row r="216" spans="1:13" x14ac:dyDescent="0.3">
      <c r="A216">
        <v>215</v>
      </c>
      <c r="B216">
        <v>1</v>
      </c>
      <c r="C216">
        <v>5</v>
      </c>
      <c r="D216" s="1">
        <v>41074</v>
      </c>
      <c r="E216">
        <v>39</v>
      </c>
      <c r="F216">
        <f>VLOOKUP(ORDERS[[#This Row],[ProductID]],Products[],4,FALSE)</f>
        <v>16</v>
      </c>
      <c r="G216">
        <v>0</v>
      </c>
      <c r="H216">
        <f>(ORDERS[[#This Row],[UnitsOrdered]]*ORDERS[[#This Row],[unit price]])-(ORDERS[[#This Row],[UnitsOrdered]]*ORDERS[[#This Row],[unit price]]*ORDERS[[#This Row],[Discount]])</f>
        <v>624</v>
      </c>
      <c r="I216" t="str">
        <f>VLOOKUP(ORDERS[[#This Row],[CustomerID]],customers[],2,FALSE)</f>
        <v>Threads</v>
      </c>
      <c r="J216" s="2" t="str">
        <f>VLOOKUP(ORDERS[[#This Row],[CustomerID]],customers[],4,FALSE)</f>
        <v>Seattle</v>
      </c>
      <c r="K216" s="2" t="str">
        <f>VLOOKUP(ORDERS[[#This Row],[ProductID]],Products[],3,FALSE)</f>
        <v>Female</v>
      </c>
      <c r="L216" s="2">
        <f>DAY(ORDERS[[#This Row],[OrderDate]])</f>
        <v>14</v>
      </c>
      <c r="M216" s="2">
        <f>YEAR(ORDERS[[#This Row],[OrderDate]])</f>
        <v>2012</v>
      </c>
    </row>
    <row r="217" spans="1:13" x14ac:dyDescent="0.3">
      <c r="A217">
        <v>216</v>
      </c>
      <c r="B217">
        <v>3</v>
      </c>
      <c r="C217">
        <v>3</v>
      </c>
      <c r="D217" s="1">
        <v>41074</v>
      </c>
      <c r="E217">
        <v>119</v>
      </c>
      <c r="F217">
        <f>VLOOKUP(ORDERS[[#This Row],[ProductID]],Products[],4,FALSE)</f>
        <v>22</v>
      </c>
      <c r="G217">
        <v>0</v>
      </c>
      <c r="H217">
        <f>(ORDERS[[#This Row],[UnitsOrdered]]*ORDERS[[#This Row],[unit price]])-(ORDERS[[#This Row],[UnitsOrdered]]*ORDERS[[#This Row],[unit price]]*ORDERS[[#This Row],[Discount]])</f>
        <v>2618</v>
      </c>
      <c r="I217" t="str">
        <f>VLOOKUP(ORDERS[[#This Row],[CustomerID]],customers[],2,FALSE)</f>
        <v>Shirts R Us</v>
      </c>
      <c r="J217" s="2" t="str">
        <f>VLOOKUP(ORDERS[[#This Row],[CustomerID]],customers[],4,FALSE)</f>
        <v>Los Angeles</v>
      </c>
      <c r="K217" s="2" t="str">
        <f>VLOOKUP(ORDERS[[#This Row],[ProductID]],Products[],3,FALSE)</f>
        <v>Both</v>
      </c>
      <c r="L217" s="2">
        <f>DAY(ORDERS[[#This Row],[OrderDate]])</f>
        <v>14</v>
      </c>
      <c r="M217" s="2">
        <f>YEAR(ORDERS[[#This Row],[OrderDate]])</f>
        <v>2012</v>
      </c>
    </row>
    <row r="218" spans="1:13" x14ac:dyDescent="0.3">
      <c r="A218">
        <v>217</v>
      </c>
      <c r="B218">
        <v>6</v>
      </c>
      <c r="C218">
        <v>8</v>
      </c>
      <c r="D218" s="1">
        <v>41074</v>
      </c>
      <c r="E218">
        <v>141</v>
      </c>
      <c r="F218">
        <f>VLOOKUP(ORDERS[[#This Row],[ProductID]],Products[],4,FALSE)</f>
        <v>27</v>
      </c>
      <c r="G218">
        <v>0</v>
      </c>
      <c r="H218">
        <f>(ORDERS[[#This Row],[UnitsOrdered]]*ORDERS[[#This Row],[unit price]])-(ORDERS[[#This Row],[UnitsOrdered]]*ORDERS[[#This Row],[unit price]]*ORDERS[[#This Row],[Discount]])</f>
        <v>3807</v>
      </c>
      <c r="I218" t="str">
        <f>VLOOKUP(ORDERS[[#This Row],[CustomerID]],customers[],2,FALSE)</f>
        <v>Abracadaba Ink</v>
      </c>
      <c r="J218" s="2" t="str">
        <f>VLOOKUP(ORDERS[[#This Row],[CustomerID]],customers[],4,FALSE)</f>
        <v>Salt Lake City</v>
      </c>
      <c r="K218" s="2" t="str">
        <f>VLOOKUP(ORDERS[[#This Row],[ProductID]],Products[],3,FALSE)</f>
        <v>Female</v>
      </c>
      <c r="L218" s="2">
        <f>DAY(ORDERS[[#This Row],[OrderDate]])</f>
        <v>14</v>
      </c>
      <c r="M218" s="2">
        <f>YEAR(ORDERS[[#This Row],[OrderDate]])</f>
        <v>2012</v>
      </c>
    </row>
    <row r="219" spans="1:13" x14ac:dyDescent="0.3">
      <c r="A219">
        <v>218</v>
      </c>
      <c r="B219">
        <v>7</v>
      </c>
      <c r="C219">
        <v>10</v>
      </c>
      <c r="D219" s="1">
        <v>41074</v>
      </c>
      <c r="E219">
        <v>74</v>
      </c>
      <c r="F219">
        <f>VLOOKUP(ORDERS[[#This Row],[ProductID]],Products[],4,FALSE)</f>
        <v>35</v>
      </c>
      <c r="G219">
        <v>5.0000001000000002E-2</v>
      </c>
      <c r="H219">
        <f>(ORDERS[[#This Row],[UnitsOrdered]]*ORDERS[[#This Row],[unit price]])-(ORDERS[[#This Row],[UnitsOrdered]]*ORDERS[[#This Row],[unit price]]*ORDERS[[#This Row],[Discount]])</f>
        <v>2460.4999974100001</v>
      </c>
      <c r="I219" t="str">
        <f>VLOOKUP(ORDERS[[#This Row],[CustomerID]],customers[],2,FALSE)</f>
        <v>The Shirt on Your Back</v>
      </c>
      <c r="J219" s="2" t="str">
        <f>VLOOKUP(ORDERS[[#This Row],[CustomerID]],customers[],4,FALSE)</f>
        <v>Bonners Ferry</v>
      </c>
      <c r="K219" s="2" t="str">
        <f>VLOOKUP(ORDERS[[#This Row],[ProductID]],Products[],3,FALSE)</f>
        <v>Male</v>
      </c>
      <c r="L219" s="2">
        <f>DAY(ORDERS[[#This Row],[OrderDate]])</f>
        <v>14</v>
      </c>
      <c r="M219" s="2">
        <f>YEAR(ORDERS[[#This Row],[OrderDate]])</f>
        <v>2012</v>
      </c>
    </row>
    <row r="220" spans="1:13" x14ac:dyDescent="0.3">
      <c r="A220">
        <v>219</v>
      </c>
      <c r="B220">
        <v>3</v>
      </c>
      <c r="C220">
        <v>2</v>
      </c>
      <c r="D220" s="1">
        <v>41075</v>
      </c>
      <c r="E220">
        <v>45</v>
      </c>
      <c r="F220">
        <f>VLOOKUP(ORDERS[[#This Row],[ProductID]],Products[],4,FALSE)</f>
        <v>30</v>
      </c>
      <c r="G220">
        <v>0</v>
      </c>
      <c r="H220">
        <f>(ORDERS[[#This Row],[UnitsOrdered]]*ORDERS[[#This Row],[unit price]])-(ORDERS[[#This Row],[UnitsOrdered]]*ORDERS[[#This Row],[unit price]]*ORDERS[[#This Row],[Discount]])</f>
        <v>1350</v>
      </c>
      <c r="I220" t="str">
        <f>VLOOKUP(ORDERS[[#This Row],[CustomerID]],customers[],2,FALSE)</f>
        <v>Shirts R Us</v>
      </c>
      <c r="J220" s="2" t="str">
        <f>VLOOKUP(ORDERS[[#This Row],[CustomerID]],customers[],4,FALSE)</f>
        <v>Los Angeles</v>
      </c>
      <c r="K220" s="2" t="str">
        <f>VLOOKUP(ORDERS[[#This Row],[ProductID]],Products[],3,FALSE)</f>
        <v>Both</v>
      </c>
      <c r="L220" s="2">
        <f>DAY(ORDERS[[#This Row],[OrderDate]])</f>
        <v>15</v>
      </c>
      <c r="M220" s="2">
        <f>YEAR(ORDERS[[#This Row],[OrderDate]])</f>
        <v>2012</v>
      </c>
    </row>
    <row r="221" spans="1:13" x14ac:dyDescent="0.3">
      <c r="A221">
        <v>220</v>
      </c>
      <c r="B221">
        <v>3</v>
      </c>
      <c r="C221">
        <v>6</v>
      </c>
      <c r="D221" s="1">
        <v>41075</v>
      </c>
      <c r="E221">
        <v>95</v>
      </c>
      <c r="F221">
        <f>VLOOKUP(ORDERS[[#This Row],[ProductID]],Products[],4,FALSE)</f>
        <v>28</v>
      </c>
      <c r="G221">
        <v>0</v>
      </c>
      <c r="H221">
        <f>(ORDERS[[#This Row],[UnitsOrdered]]*ORDERS[[#This Row],[unit price]])-(ORDERS[[#This Row],[UnitsOrdered]]*ORDERS[[#This Row],[unit price]]*ORDERS[[#This Row],[Discount]])</f>
        <v>2660</v>
      </c>
      <c r="I221" t="str">
        <f>VLOOKUP(ORDERS[[#This Row],[CustomerID]],customers[],2,FALSE)</f>
        <v>Shirts R Us</v>
      </c>
      <c r="J221" s="2" t="str">
        <f>VLOOKUP(ORDERS[[#This Row],[CustomerID]],customers[],4,FALSE)</f>
        <v>Los Angeles</v>
      </c>
      <c r="K221" s="2" t="str">
        <f>VLOOKUP(ORDERS[[#This Row],[ProductID]],Products[],3,FALSE)</f>
        <v>Female</v>
      </c>
      <c r="L221" s="2">
        <f>DAY(ORDERS[[#This Row],[OrderDate]])</f>
        <v>15</v>
      </c>
      <c r="M221" s="2">
        <f>YEAR(ORDERS[[#This Row],[OrderDate]])</f>
        <v>2012</v>
      </c>
    </row>
    <row r="222" spans="1:13" x14ac:dyDescent="0.3">
      <c r="A222">
        <v>221</v>
      </c>
      <c r="B222">
        <v>5</v>
      </c>
      <c r="C222">
        <v>7</v>
      </c>
      <c r="D222" s="1">
        <v>41075</v>
      </c>
      <c r="E222">
        <v>144</v>
      </c>
      <c r="F222">
        <f>VLOOKUP(ORDERS[[#This Row],[ProductID]],Products[],4,FALSE)</f>
        <v>38</v>
      </c>
      <c r="G222">
        <v>0</v>
      </c>
      <c r="H222">
        <f>(ORDERS[[#This Row],[UnitsOrdered]]*ORDERS[[#This Row],[unit price]])-(ORDERS[[#This Row],[UnitsOrdered]]*ORDERS[[#This Row],[unit price]]*ORDERS[[#This Row],[Discount]])</f>
        <v>5472</v>
      </c>
      <c r="I222" t="str">
        <f>VLOOKUP(ORDERS[[#This Row],[CustomerID]],customers[],2,FALSE)</f>
        <v>Rags to Riches</v>
      </c>
      <c r="J222" s="2" t="str">
        <f>VLOOKUP(ORDERS[[#This Row],[CustomerID]],customers[],4,FALSE)</f>
        <v>Las Vegas</v>
      </c>
      <c r="K222" s="2" t="str">
        <f>VLOOKUP(ORDERS[[#This Row],[ProductID]],Products[],3,FALSE)</f>
        <v>Female</v>
      </c>
      <c r="L222" s="2">
        <f>DAY(ORDERS[[#This Row],[OrderDate]])</f>
        <v>15</v>
      </c>
      <c r="M222" s="2">
        <f>YEAR(ORDERS[[#This Row],[OrderDate]])</f>
        <v>2012</v>
      </c>
    </row>
    <row r="223" spans="1:13" x14ac:dyDescent="0.3">
      <c r="A223">
        <v>222</v>
      </c>
      <c r="B223">
        <v>6</v>
      </c>
      <c r="C223">
        <v>2</v>
      </c>
      <c r="D223" s="1">
        <v>41075</v>
      </c>
      <c r="E223">
        <v>88</v>
      </c>
      <c r="F223">
        <f>VLOOKUP(ORDERS[[#This Row],[ProductID]],Products[],4,FALSE)</f>
        <v>30</v>
      </c>
      <c r="G223">
        <v>0</v>
      </c>
      <c r="H223">
        <f>(ORDERS[[#This Row],[UnitsOrdered]]*ORDERS[[#This Row],[unit price]])-(ORDERS[[#This Row],[UnitsOrdered]]*ORDERS[[#This Row],[unit price]]*ORDERS[[#This Row],[Discount]])</f>
        <v>2640</v>
      </c>
      <c r="I223" t="str">
        <f>VLOOKUP(ORDERS[[#This Row],[CustomerID]],customers[],2,FALSE)</f>
        <v>Abracadaba Ink</v>
      </c>
      <c r="J223" s="2" t="str">
        <f>VLOOKUP(ORDERS[[#This Row],[CustomerID]],customers[],4,FALSE)</f>
        <v>Salt Lake City</v>
      </c>
      <c r="K223" s="2" t="str">
        <f>VLOOKUP(ORDERS[[#This Row],[ProductID]],Products[],3,FALSE)</f>
        <v>Both</v>
      </c>
      <c r="L223" s="2">
        <f>DAY(ORDERS[[#This Row],[OrderDate]])</f>
        <v>15</v>
      </c>
      <c r="M223" s="2">
        <f>YEAR(ORDERS[[#This Row],[OrderDate]])</f>
        <v>2012</v>
      </c>
    </row>
    <row r="224" spans="1:13" x14ac:dyDescent="0.3">
      <c r="A224">
        <v>223</v>
      </c>
      <c r="B224">
        <v>4</v>
      </c>
      <c r="C224">
        <v>3</v>
      </c>
      <c r="D224" s="1">
        <v>41076</v>
      </c>
      <c r="E224">
        <v>53</v>
      </c>
      <c r="F224">
        <f>VLOOKUP(ORDERS[[#This Row],[ProductID]],Products[],4,FALSE)</f>
        <v>22</v>
      </c>
      <c r="G224">
        <v>0.10000000100000001</v>
      </c>
      <c r="H224">
        <f>(ORDERS[[#This Row],[UnitsOrdered]]*ORDERS[[#This Row],[unit price]])-(ORDERS[[#This Row],[UnitsOrdered]]*ORDERS[[#This Row],[unit price]]*ORDERS[[#This Row],[Discount]])</f>
        <v>1049.3999988339999</v>
      </c>
      <c r="I224" t="str">
        <f>VLOOKUP(ORDERS[[#This Row],[CustomerID]],customers[],2,FALSE)</f>
        <v>Tshirt Unlimited</v>
      </c>
      <c r="J224" s="2" t="str">
        <f>VLOOKUP(ORDERS[[#This Row],[CustomerID]],customers[],4,FALSE)</f>
        <v>Phoenix</v>
      </c>
      <c r="K224" s="2" t="str">
        <f>VLOOKUP(ORDERS[[#This Row],[ProductID]],Products[],3,FALSE)</f>
        <v>Both</v>
      </c>
      <c r="L224" s="2">
        <f>DAY(ORDERS[[#This Row],[OrderDate]])</f>
        <v>16</v>
      </c>
      <c r="M224" s="2">
        <f>YEAR(ORDERS[[#This Row],[OrderDate]])</f>
        <v>2012</v>
      </c>
    </row>
    <row r="225" spans="1:13" x14ac:dyDescent="0.3">
      <c r="A225">
        <v>224</v>
      </c>
      <c r="B225">
        <v>4</v>
      </c>
      <c r="C225">
        <v>1</v>
      </c>
      <c r="D225" s="1">
        <v>41077</v>
      </c>
      <c r="E225">
        <v>76</v>
      </c>
      <c r="F225">
        <f>VLOOKUP(ORDERS[[#This Row],[ProductID]],Products[],4,FALSE)</f>
        <v>20</v>
      </c>
      <c r="G225">
        <v>0</v>
      </c>
      <c r="H225">
        <f>(ORDERS[[#This Row],[UnitsOrdered]]*ORDERS[[#This Row],[unit price]])-(ORDERS[[#This Row],[UnitsOrdered]]*ORDERS[[#This Row],[unit price]]*ORDERS[[#This Row],[Discount]])</f>
        <v>1520</v>
      </c>
      <c r="I225" t="str">
        <f>VLOOKUP(ORDERS[[#This Row],[CustomerID]],customers[],2,FALSE)</f>
        <v>Tshirt Unlimited</v>
      </c>
      <c r="J225" s="2" t="str">
        <f>VLOOKUP(ORDERS[[#This Row],[CustomerID]],customers[],4,FALSE)</f>
        <v>Phoenix</v>
      </c>
      <c r="K225" s="2" t="str">
        <f>VLOOKUP(ORDERS[[#This Row],[ProductID]],Products[],3,FALSE)</f>
        <v>Both</v>
      </c>
      <c r="L225" s="2">
        <f>DAY(ORDERS[[#This Row],[OrderDate]])</f>
        <v>17</v>
      </c>
      <c r="M225" s="2">
        <f>YEAR(ORDERS[[#This Row],[OrderDate]])</f>
        <v>2012</v>
      </c>
    </row>
    <row r="226" spans="1:13" x14ac:dyDescent="0.3">
      <c r="A226">
        <v>225</v>
      </c>
      <c r="B226">
        <v>2</v>
      </c>
      <c r="C226">
        <v>9</v>
      </c>
      <c r="D226" s="1">
        <v>41079</v>
      </c>
      <c r="E226">
        <v>148</v>
      </c>
      <c r="F226">
        <f>VLOOKUP(ORDERS[[#This Row],[ProductID]],Products[],4,FALSE)</f>
        <v>25</v>
      </c>
      <c r="G226">
        <v>0</v>
      </c>
      <c r="H226">
        <f>(ORDERS[[#This Row],[UnitsOrdered]]*ORDERS[[#This Row],[unit price]])-(ORDERS[[#This Row],[UnitsOrdered]]*ORDERS[[#This Row],[unit price]]*ORDERS[[#This Row],[Discount]])</f>
        <v>3700</v>
      </c>
      <c r="I226" t="str">
        <f>VLOOKUP(ORDERS[[#This Row],[CustomerID]],customers[],2,FALSE)</f>
        <v>A Shirts Life</v>
      </c>
      <c r="J226" s="2" t="str">
        <f>VLOOKUP(ORDERS[[#This Row],[CustomerID]],customers[],4,FALSE)</f>
        <v>Portland</v>
      </c>
      <c r="K226" s="2" t="str">
        <f>VLOOKUP(ORDERS[[#This Row],[ProductID]],Products[],3,FALSE)</f>
        <v>Male</v>
      </c>
      <c r="L226" s="2">
        <f>DAY(ORDERS[[#This Row],[OrderDate]])</f>
        <v>19</v>
      </c>
      <c r="M226" s="2">
        <f>YEAR(ORDERS[[#This Row],[OrderDate]])</f>
        <v>2012</v>
      </c>
    </row>
    <row r="227" spans="1:13" x14ac:dyDescent="0.3">
      <c r="A227">
        <v>226</v>
      </c>
      <c r="B227">
        <v>4</v>
      </c>
      <c r="C227">
        <v>6</v>
      </c>
      <c r="D227" s="1">
        <v>41079</v>
      </c>
      <c r="E227">
        <v>121</v>
      </c>
      <c r="F227">
        <f>VLOOKUP(ORDERS[[#This Row],[ProductID]],Products[],4,FALSE)</f>
        <v>28</v>
      </c>
      <c r="G227">
        <v>0</v>
      </c>
      <c r="H227">
        <f>(ORDERS[[#This Row],[UnitsOrdered]]*ORDERS[[#This Row],[unit price]])-(ORDERS[[#This Row],[UnitsOrdered]]*ORDERS[[#This Row],[unit price]]*ORDERS[[#This Row],[Discount]])</f>
        <v>3388</v>
      </c>
      <c r="I227" t="str">
        <f>VLOOKUP(ORDERS[[#This Row],[CustomerID]],customers[],2,FALSE)</f>
        <v>Tshirt Unlimited</v>
      </c>
      <c r="J227" s="2" t="str">
        <f>VLOOKUP(ORDERS[[#This Row],[CustomerID]],customers[],4,FALSE)</f>
        <v>Phoenix</v>
      </c>
      <c r="K227" s="2" t="str">
        <f>VLOOKUP(ORDERS[[#This Row],[ProductID]],Products[],3,FALSE)</f>
        <v>Female</v>
      </c>
      <c r="L227" s="2">
        <f>DAY(ORDERS[[#This Row],[OrderDate]])</f>
        <v>19</v>
      </c>
      <c r="M227" s="2">
        <f>YEAR(ORDERS[[#This Row],[OrderDate]])</f>
        <v>2012</v>
      </c>
    </row>
    <row r="228" spans="1:13" x14ac:dyDescent="0.3">
      <c r="A228">
        <v>227</v>
      </c>
      <c r="B228">
        <v>4</v>
      </c>
      <c r="C228">
        <v>10</v>
      </c>
      <c r="D228" s="1">
        <v>41079</v>
      </c>
      <c r="E228">
        <v>49</v>
      </c>
      <c r="F228">
        <f>VLOOKUP(ORDERS[[#This Row],[ProductID]],Products[],4,FALSE)</f>
        <v>35</v>
      </c>
      <c r="G228">
        <v>0</v>
      </c>
      <c r="H228">
        <f>(ORDERS[[#This Row],[UnitsOrdered]]*ORDERS[[#This Row],[unit price]])-(ORDERS[[#This Row],[UnitsOrdered]]*ORDERS[[#This Row],[unit price]]*ORDERS[[#This Row],[Discount]])</f>
        <v>1715</v>
      </c>
      <c r="I228" t="str">
        <f>VLOOKUP(ORDERS[[#This Row],[CustomerID]],customers[],2,FALSE)</f>
        <v>Tshirt Unlimited</v>
      </c>
      <c r="J228" s="2" t="str">
        <f>VLOOKUP(ORDERS[[#This Row],[CustomerID]],customers[],4,FALSE)</f>
        <v>Phoenix</v>
      </c>
      <c r="K228" s="2" t="str">
        <f>VLOOKUP(ORDERS[[#This Row],[ProductID]],Products[],3,FALSE)</f>
        <v>Male</v>
      </c>
      <c r="L228" s="2">
        <f>DAY(ORDERS[[#This Row],[OrderDate]])</f>
        <v>19</v>
      </c>
      <c r="M228" s="2">
        <f>YEAR(ORDERS[[#This Row],[OrderDate]])</f>
        <v>2012</v>
      </c>
    </row>
    <row r="229" spans="1:13" x14ac:dyDescent="0.3">
      <c r="A229">
        <v>228</v>
      </c>
      <c r="B229">
        <v>1</v>
      </c>
      <c r="C229">
        <v>3</v>
      </c>
      <c r="D229" s="1">
        <v>41081</v>
      </c>
      <c r="E229">
        <v>131</v>
      </c>
      <c r="F229">
        <f>VLOOKUP(ORDERS[[#This Row],[ProductID]],Products[],4,FALSE)</f>
        <v>22</v>
      </c>
      <c r="G229">
        <v>0</v>
      </c>
      <c r="H229">
        <f>(ORDERS[[#This Row],[UnitsOrdered]]*ORDERS[[#This Row],[unit price]])-(ORDERS[[#This Row],[UnitsOrdered]]*ORDERS[[#This Row],[unit price]]*ORDERS[[#This Row],[Discount]])</f>
        <v>2882</v>
      </c>
      <c r="I229" t="str">
        <f>VLOOKUP(ORDERS[[#This Row],[CustomerID]],customers[],2,FALSE)</f>
        <v>Threads</v>
      </c>
      <c r="J229" s="2" t="str">
        <f>VLOOKUP(ORDERS[[#This Row],[CustomerID]],customers[],4,FALSE)</f>
        <v>Seattle</v>
      </c>
      <c r="K229" s="2" t="str">
        <f>VLOOKUP(ORDERS[[#This Row],[ProductID]],Products[],3,FALSE)</f>
        <v>Both</v>
      </c>
      <c r="L229" s="2">
        <f>DAY(ORDERS[[#This Row],[OrderDate]])</f>
        <v>21</v>
      </c>
      <c r="M229" s="2">
        <f>YEAR(ORDERS[[#This Row],[OrderDate]])</f>
        <v>2012</v>
      </c>
    </row>
    <row r="230" spans="1:13" x14ac:dyDescent="0.3">
      <c r="A230">
        <v>229</v>
      </c>
      <c r="B230">
        <v>2</v>
      </c>
      <c r="C230">
        <v>8</v>
      </c>
      <c r="D230" s="1">
        <v>41083</v>
      </c>
      <c r="E230">
        <v>142</v>
      </c>
      <c r="F230">
        <f>VLOOKUP(ORDERS[[#This Row],[ProductID]],Products[],4,FALSE)</f>
        <v>27</v>
      </c>
      <c r="G230">
        <v>0</v>
      </c>
      <c r="H230">
        <f>(ORDERS[[#This Row],[UnitsOrdered]]*ORDERS[[#This Row],[unit price]])-(ORDERS[[#This Row],[UnitsOrdered]]*ORDERS[[#This Row],[unit price]]*ORDERS[[#This Row],[Discount]])</f>
        <v>3834</v>
      </c>
      <c r="I230" t="str">
        <f>VLOOKUP(ORDERS[[#This Row],[CustomerID]],customers[],2,FALSE)</f>
        <v>A Shirts Life</v>
      </c>
      <c r="J230" s="2" t="str">
        <f>VLOOKUP(ORDERS[[#This Row],[CustomerID]],customers[],4,FALSE)</f>
        <v>Portland</v>
      </c>
      <c r="K230" s="2" t="str">
        <f>VLOOKUP(ORDERS[[#This Row],[ProductID]],Products[],3,FALSE)</f>
        <v>Female</v>
      </c>
      <c r="L230" s="2">
        <f>DAY(ORDERS[[#This Row],[OrderDate]])</f>
        <v>23</v>
      </c>
      <c r="M230" s="2">
        <f>YEAR(ORDERS[[#This Row],[OrderDate]])</f>
        <v>2012</v>
      </c>
    </row>
    <row r="231" spans="1:13" x14ac:dyDescent="0.3">
      <c r="A231">
        <v>230</v>
      </c>
      <c r="B231">
        <v>6</v>
      </c>
      <c r="C231">
        <v>9</v>
      </c>
      <c r="D231" s="1">
        <v>41083</v>
      </c>
      <c r="E231">
        <v>132</v>
      </c>
      <c r="F231">
        <f>VLOOKUP(ORDERS[[#This Row],[ProductID]],Products[],4,FALSE)</f>
        <v>25</v>
      </c>
      <c r="G231">
        <v>0</v>
      </c>
      <c r="H231">
        <f>(ORDERS[[#This Row],[UnitsOrdered]]*ORDERS[[#This Row],[unit price]])-(ORDERS[[#This Row],[UnitsOrdered]]*ORDERS[[#This Row],[unit price]]*ORDERS[[#This Row],[Discount]])</f>
        <v>3300</v>
      </c>
      <c r="I231" t="str">
        <f>VLOOKUP(ORDERS[[#This Row],[CustomerID]],customers[],2,FALSE)</f>
        <v>Abracadaba Ink</v>
      </c>
      <c r="J231" s="2" t="str">
        <f>VLOOKUP(ORDERS[[#This Row],[CustomerID]],customers[],4,FALSE)</f>
        <v>Salt Lake City</v>
      </c>
      <c r="K231" s="2" t="str">
        <f>VLOOKUP(ORDERS[[#This Row],[ProductID]],Products[],3,FALSE)</f>
        <v>Male</v>
      </c>
      <c r="L231" s="2">
        <f>DAY(ORDERS[[#This Row],[OrderDate]])</f>
        <v>23</v>
      </c>
      <c r="M231" s="2">
        <f>YEAR(ORDERS[[#This Row],[OrderDate]])</f>
        <v>2012</v>
      </c>
    </row>
    <row r="232" spans="1:13" x14ac:dyDescent="0.3">
      <c r="A232">
        <v>231</v>
      </c>
      <c r="B232">
        <v>7</v>
      </c>
      <c r="C232">
        <v>6</v>
      </c>
      <c r="D232" s="1">
        <v>41088</v>
      </c>
      <c r="E232">
        <v>74</v>
      </c>
      <c r="F232">
        <f>VLOOKUP(ORDERS[[#This Row],[ProductID]],Products[],4,FALSE)</f>
        <v>28</v>
      </c>
      <c r="G232">
        <v>0</v>
      </c>
      <c r="H232">
        <f>(ORDERS[[#This Row],[UnitsOrdered]]*ORDERS[[#This Row],[unit price]])-(ORDERS[[#This Row],[UnitsOrdered]]*ORDERS[[#This Row],[unit price]]*ORDERS[[#This Row],[Discount]])</f>
        <v>2072</v>
      </c>
      <c r="I232" t="str">
        <f>VLOOKUP(ORDERS[[#This Row],[CustomerID]],customers[],2,FALSE)</f>
        <v>The Shirt on Your Back</v>
      </c>
      <c r="J232" s="2" t="str">
        <f>VLOOKUP(ORDERS[[#This Row],[CustomerID]],customers[],4,FALSE)</f>
        <v>Bonners Ferry</v>
      </c>
      <c r="K232" s="2" t="str">
        <f>VLOOKUP(ORDERS[[#This Row],[ProductID]],Products[],3,FALSE)</f>
        <v>Female</v>
      </c>
      <c r="L232" s="2">
        <f>DAY(ORDERS[[#This Row],[OrderDate]])</f>
        <v>28</v>
      </c>
      <c r="M232" s="2">
        <f>YEAR(ORDERS[[#This Row],[OrderDate]])</f>
        <v>2012</v>
      </c>
    </row>
    <row r="233" spans="1:13" x14ac:dyDescent="0.3">
      <c r="A233">
        <v>232</v>
      </c>
      <c r="B233">
        <v>7</v>
      </c>
      <c r="C233">
        <v>8</v>
      </c>
      <c r="D233" s="1">
        <v>41088</v>
      </c>
      <c r="E233">
        <v>26</v>
      </c>
      <c r="F233">
        <f>VLOOKUP(ORDERS[[#This Row],[ProductID]],Products[],4,FALSE)</f>
        <v>27</v>
      </c>
      <c r="G233">
        <v>0.10000000100000001</v>
      </c>
      <c r="H233">
        <f>(ORDERS[[#This Row],[UnitsOrdered]]*ORDERS[[#This Row],[unit price]])-(ORDERS[[#This Row],[UnitsOrdered]]*ORDERS[[#This Row],[unit price]]*ORDERS[[#This Row],[Discount]])</f>
        <v>631.79999929799999</v>
      </c>
      <c r="I233" t="str">
        <f>VLOOKUP(ORDERS[[#This Row],[CustomerID]],customers[],2,FALSE)</f>
        <v>The Shirt on Your Back</v>
      </c>
      <c r="J233" s="2" t="str">
        <f>VLOOKUP(ORDERS[[#This Row],[CustomerID]],customers[],4,FALSE)</f>
        <v>Bonners Ferry</v>
      </c>
      <c r="K233" s="2" t="str">
        <f>VLOOKUP(ORDERS[[#This Row],[ProductID]],Products[],3,FALSE)</f>
        <v>Female</v>
      </c>
      <c r="L233" s="2">
        <f>DAY(ORDERS[[#This Row],[OrderDate]])</f>
        <v>28</v>
      </c>
      <c r="M233" s="2">
        <f>YEAR(ORDERS[[#This Row],[OrderDate]])</f>
        <v>2012</v>
      </c>
    </row>
    <row r="234" spans="1:13" x14ac:dyDescent="0.3">
      <c r="A234">
        <v>233</v>
      </c>
      <c r="B234">
        <v>2</v>
      </c>
      <c r="C234">
        <v>4</v>
      </c>
      <c r="D234" s="1">
        <v>41089</v>
      </c>
      <c r="E234">
        <v>54</v>
      </c>
      <c r="F234">
        <f>VLOOKUP(ORDERS[[#This Row],[ProductID]],Products[],4,FALSE)</f>
        <v>30</v>
      </c>
      <c r="G234">
        <v>0</v>
      </c>
      <c r="H234">
        <f>(ORDERS[[#This Row],[UnitsOrdered]]*ORDERS[[#This Row],[unit price]])-(ORDERS[[#This Row],[UnitsOrdered]]*ORDERS[[#This Row],[unit price]]*ORDERS[[#This Row],[Discount]])</f>
        <v>1620</v>
      </c>
      <c r="I234" t="str">
        <f>VLOOKUP(ORDERS[[#This Row],[CustomerID]],customers[],2,FALSE)</f>
        <v>A Shirts Life</v>
      </c>
      <c r="J234" s="2" t="str">
        <f>VLOOKUP(ORDERS[[#This Row],[CustomerID]],customers[],4,FALSE)</f>
        <v>Portland</v>
      </c>
      <c r="K234" s="2" t="str">
        <f>VLOOKUP(ORDERS[[#This Row],[ProductID]],Products[],3,FALSE)</f>
        <v>Both</v>
      </c>
      <c r="L234" s="2">
        <f>DAY(ORDERS[[#This Row],[OrderDate]])</f>
        <v>29</v>
      </c>
      <c r="M234" s="2">
        <f>YEAR(ORDERS[[#This Row],[OrderDate]])</f>
        <v>2012</v>
      </c>
    </row>
    <row r="235" spans="1:13" x14ac:dyDescent="0.3">
      <c r="A235">
        <v>234</v>
      </c>
      <c r="B235">
        <v>2</v>
      </c>
      <c r="C235">
        <v>9</v>
      </c>
      <c r="D235" s="1">
        <v>41089</v>
      </c>
      <c r="E235">
        <v>99</v>
      </c>
      <c r="F235">
        <f>VLOOKUP(ORDERS[[#This Row],[ProductID]],Products[],4,FALSE)</f>
        <v>25</v>
      </c>
      <c r="G235">
        <v>0</v>
      </c>
      <c r="H235">
        <f>(ORDERS[[#This Row],[UnitsOrdered]]*ORDERS[[#This Row],[unit price]])-(ORDERS[[#This Row],[UnitsOrdered]]*ORDERS[[#This Row],[unit price]]*ORDERS[[#This Row],[Discount]])</f>
        <v>2475</v>
      </c>
      <c r="I235" t="str">
        <f>VLOOKUP(ORDERS[[#This Row],[CustomerID]],customers[],2,FALSE)</f>
        <v>A Shirts Life</v>
      </c>
      <c r="J235" s="2" t="str">
        <f>VLOOKUP(ORDERS[[#This Row],[CustomerID]],customers[],4,FALSE)</f>
        <v>Portland</v>
      </c>
      <c r="K235" s="2" t="str">
        <f>VLOOKUP(ORDERS[[#This Row],[ProductID]],Products[],3,FALSE)</f>
        <v>Male</v>
      </c>
      <c r="L235" s="2">
        <f>DAY(ORDERS[[#This Row],[OrderDate]])</f>
        <v>29</v>
      </c>
      <c r="M235" s="2">
        <f>YEAR(ORDERS[[#This Row],[OrderDate]])</f>
        <v>2012</v>
      </c>
    </row>
    <row r="236" spans="1:13" x14ac:dyDescent="0.3">
      <c r="A236">
        <v>235</v>
      </c>
      <c r="B236">
        <v>5</v>
      </c>
      <c r="C236">
        <v>5</v>
      </c>
      <c r="D236" s="1">
        <v>41089</v>
      </c>
      <c r="E236">
        <v>71</v>
      </c>
      <c r="F236">
        <f>VLOOKUP(ORDERS[[#This Row],[ProductID]],Products[],4,FALSE)</f>
        <v>16</v>
      </c>
      <c r="G236">
        <v>0</v>
      </c>
      <c r="H236">
        <f>(ORDERS[[#This Row],[UnitsOrdered]]*ORDERS[[#This Row],[unit price]])-(ORDERS[[#This Row],[UnitsOrdered]]*ORDERS[[#This Row],[unit price]]*ORDERS[[#This Row],[Discount]])</f>
        <v>1136</v>
      </c>
      <c r="I236" t="str">
        <f>VLOOKUP(ORDERS[[#This Row],[CustomerID]],customers[],2,FALSE)</f>
        <v>Rags to Riches</v>
      </c>
      <c r="J236" s="2" t="str">
        <f>VLOOKUP(ORDERS[[#This Row],[CustomerID]],customers[],4,FALSE)</f>
        <v>Las Vegas</v>
      </c>
      <c r="K236" s="2" t="str">
        <f>VLOOKUP(ORDERS[[#This Row],[ProductID]],Products[],3,FALSE)</f>
        <v>Female</v>
      </c>
      <c r="L236" s="2">
        <f>DAY(ORDERS[[#This Row],[OrderDate]])</f>
        <v>29</v>
      </c>
      <c r="M236" s="2">
        <f>YEAR(ORDERS[[#This Row],[OrderDate]])</f>
        <v>2012</v>
      </c>
    </row>
    <row r="237" spans="1:13" x14ac:dyDescent="0.3">
      <c r="A237">
        <v>236</v>
      </c>
      <c r="B237">
        <v>5</v>
      </c>
      <c r="C237">
        <v>8</v>
      </c>
      <c r="D237" s="1">
        <v>41089</v>
      </c>
      <c r="E237">
        <v>54</v>
      </c>
      <c r="F237">
        <f>VLOOKUP(ORDERS[[#This Row],[ProductID]],Products[],4,FALSE)</f>
        <v>27</v>
      </c>
      <c r="G237">
        <v>0</v>
      </c>
      <c r="H237">
        <f>(ORDERS[[#This Row],[UnitsOrdered]]*ORDERS[[#This Row],[unit price]])-(ORDERS[[#This Row],[UnitsOrdered]]*ORDERS[[#This Row],[unit price]]*ORDERS[[#This Row],[Discount]])</f>
        <v>1458</v>
      </c>
      <c r="I237" t="str">
        <f>VLOOKUP(ORDERS[[#This Row],[CustomerID]],customers[],2,FALSE)</f>
        <v>Rags to Riches</v>
      </c>
      <c r="J237" s="2" t="str">
        <f>VLOOKUP(ORDERS[[#This Row],[CustomerID]],customers[],4,FALSE)</f>
        <v>Las Vegas</v>
      </c>
      <c r="K237" s="2" t="str">
        <f>VLOOKUP(ORDERS[[#This Row],[ProductID]],Products[],3,FALSE)</f>
        <v>Female</v>
      </c>
      <c r="L237" s="2">
        <f>DAY(ORDERS[[#This Row],[OrderDate]])</f>
        <v>29</v>
      </c>
      <c r="M237" s="2">
        <f>YEAR(ORDERS[[#This Row],[OrderDate]])</f>
        <v>2012</v>
      </c>
    </row>
    <row r="238" spans="1:13" x14ac:dyDescent="0.3">
      <c r="A238">
        <v>237</v>
      </c>
      <c r="B238">
        <v>7</v>
      </c>
      <c r="C238">
        <v>4</v>
      </c>
      <c r="D238" s="1">
        <v>41089</v>
      </c>
      <c r="E238">
        <v>80</v>
      </c>
      <c r="F238">
        <f>VLOOKUP(ORDERS[[#This Row],[ProductID]],Products[],4,FALSE)</f>
        <v>30</v>
      </c>
      <c r="G238">
        <v>0</v>
      </c>
      <c r="H238">
        <f>(ORDERS[[#This Row],[UnitsOrdered]]*ORDERS[[#This Row],[unit price]])-(ORDERS[[#This Row],[UnitsOrdered]]*ORDERS[[#This Row],[unit price]]*ORDERS[[#This Row],[Discount]])</f>
        <v>2400</v>
      </c>
      <c r="I238" t="str">
        <f>VLOOKUP(ORDERS[[#This Row],[CustomerID]],customers[],2,FALSE)</f>
        <v>The Shirt on Your Back</v>
      </c>
      <c r="J238" s="2" t="str">
        <f>VLOOKUP(ORDERS[[#This Row],[CustomerID]],customers[],4,FALSE)</f>
        <v>Bonners Ferry</v>
      </c>
      <c r="K238" s="2" t="str">
        <f>VLOOKUP(ORDERS[[#This Row],[ProductID]],Products[],3,FALSE)</f>
        <v>Both</v>
      </c>
      <c r="L238" s="2">
        <f>DAY(ORDERS[[#This Row],[OrderDate]])</f>
        <v>29</v>
      </c>
      <c r="M238" s="2">
        <f>YEAR(ORDERS[[#This Row],[OrderDate]])</f>
        <v>2012</v>
      </c>
    </row>
    <row r="239" spans="1:13" x14ac:dyDescent="0.3">
      <c r="A239">
        <v>238</v>
      </c>
      <c r="B239">
        <v>2</v>
      </c>
      <c r="C239">
        <v>3</v>
      </c>
      <c r="D239" s="1">
        <v>41090</v>
      </c>
      <c r="E239">
        <v>31</v>
      </c>
      <c r="F239">
        <f>VLOOKUP(ORDERS[[#This Row],[ProductID]],Products[],4,FALSE)</f>
        <v>22</v>
      </c>
      <c r="G239">
        <v>0</v>
      </c>
      <c r="H239">
        <f>(ORDERS[[#This Row],[UnitsOrdered]]*ORDERS[[#This Row],[unit price]])-(ORDERS[[#This Row],[UnitsOrdered]]*ORDERS[[#This Row],[unit price]]*ORDERS[[#This Row],[Discount]])</f>
        <v>682</v>
      </c>
      <c r="I239" t="str">
        <f>VLOOKUP(ORDERS[[#This Row],[CustomerID]],customers[],2,FALSE)</f>
        <v>A Shirts Life</v>
      </c>
      <c r="J239" s="2" t="str">
        <f>VLOOKUP(ORDERS[[#This Row],[CustomerID]],customers[],4,FALSE)</f>
        <v>Portland</v>
      </c>
      <c r="K239" s="2" t="str">
        <f>VLOOKUP(ORDERS[[#This Row],[ProductID]],Products[],3,FALSE)</f>
        <v>Both</v>
      </c>
      <c r="L239" s="2">
        <f>DAY(ORDERS[[#This Row],[OrderDate]])</f>
        <v>30</v>
      </c>
      <c r="M239" s="2">
        <f>YEAR(ORDERS[[#This Row],[OrderDate]])</f>
        <v>2012</v>
      </c>
    </row>
    <row r="240" spans="1:13" x14ac:dyDescent="0.3">
      <c r="A240">
        <v>239</v>
      </c>
      <c r="B240">
        <v>3</v>
      </c>
      <c r="C240">
        <v>3</v>
      </c>
      <c r="D240" s="1">
        <v>41091</v>
      </c>
      <c r="E240">
        <v>38</v>
      </c>
      <c r="F240">
        <f>VLOOKUP(ORDERS[[#This Row],[ProductID]],Products[],4,FALSE)</f>
        <v>22</v>
      </c>
      <c r="G240">
        <v>0</v>
      </c>
      <c r="H240">
        <f>(ORDERS[[#This Row],[UnitsOrdered]]*ORDERS[[#This Row],[unit price]])-(ORDERS[[#This Row],[UnitsOrdered]]*ORDERS[[#This Row],[unit price]]*ORDERS[[#This Row],[Discount]])</f>
        <v>836</v>
      </c>
      <c r="I240" t="str">
        <f>VLOOKUP(ORDERS[[#This Row],[CustomerID]],customers[],2,FALSE)</f>
        <v>Shirts R Us</v>
      </c>
      <c r="J240" s="2" t="str">
        <f>VLOOKUP(ORDERS[[#This Row],[CustomerID]],customers[],4,FALSE)</f>
        <v>Los Angeles</v>
      </c>
      <c r="K240" s="2" t="str">
        <f>VLOOKUP(ORDERS[[#This Row],[ProductID]],Products[],3,FALSE)</f>
        <v>Both</v>
      </c>
      <c r="L240" s="2">
        <f>DAY(ORDERS[[#This Row],[OrderDate]])</f>
        <v>1</v>
      </c>
      <c r="M240" s="2">
        <f>YEAR(ORDERS[[#This Row],[OrderDate]])</f>
        <v>2012</v>
      </c>
    </row>
    <row r="241" spans="1:13" x14ac:dyDescent="0.3">
      <c r="A241">
        <v>240</v>
      </c>
      <c r="B241">
        <v>5</v>
      </c>
      <c r="C241">
        <v>8</v>
      </c>
      <c r="D241" s="1">
        <v>41091</v>
      </c>
      <c r="E241">
        <v>146</v>
      </c>
      <c r="F241">
        <f>VLOOKUP(ORDERS[[#This Row],[ProductID]],Products[],4,FALSE)</f>
        <v>27</v>
      </c>
      <c r="G241">
        <v>0</v>
      </c>
      <c r="H241">
        <f>(ORDERS[[#This Row],[UnitsOrdered]]*ORDERS[[#This Row],[unit price]])-(ORDERS[[#This Row],[UnitsOrdered]]*ORDERS[[#This Row],[unit price]]*ORDERS[[#This Row],[Discount]])</f>
        <v>3942</v>
      </c>
      <c r="I241" t="str">
        <f>VLOOKUP(ORDERS[[#This Row],[CustomerID]],customers[],2,FALSE)</f>
        <v>Rags to Riches</v>
      </c>
      <c r="J241" s="2" t="str">
        <f>VLOOKUP(ORDERS[[#This Row],[CustomerID]],customers[],4,FALSE)</f>
        <v>Las Vegas</v>
      </c>
      <c r="K241" s="2" t="str">
        <f>VLOOKUP(ORDERS[[#This Row],[ProductID]],Products[],3,FALSE)</f>
        <v>Female</v>
      </c>
      <c r="L241" s="2">
        <f>DAY(ORDERS[[#This Row],[OrderDate]])</f>
        <v>1</v>
      </c>
      <c r="M241" s="2">
        <f>YEAR(ORDERS[[#This Row],[OrderDate]])</f>
        <v>2012</v>
      </c>
    </row>
    <row r="242" spans="1:13" x14ac:dyDescent="0.3">
      <c r="A242">
        <v>241</v>
      </c>
      <c r="B242">
        <v>2</v>
      </c>
      <c r="C242">
        <v>10</v>
      </c>
      <c r="D242" s="1">
        <v>41092</v>
      </c>
      <c r="E242">
        <v>69</v>
      </c>
      <c r="F242">
        <f>VLOOKUP(ORDERS[[#This Row],[ProductID]],Products[],4,FALSE)</f>
        <v>35</v>
      </c>
      <c r="G242">
        <v>0</v>
      </c>
      <c r="H242">
        <f>(ORDERS[[#This Row],[UnitsOrdered]]*ORDERS[[#This Row],[unit price]])-(ORDERS[[#This Row],[UnitsOrdered]]*ORDERS[[#This Row],[unit price]]*ORDERS[[#This Row],[Discount]])</f>
        <v>2415</v>
      </c>
      <c r="I242" t="str">
        <f>VLOOKUP(ORDERS[[#This Row],[CustomerID]],customers[],2,FALSE)</f>
        <v>A Shirts Life</v>
      </c>
      <c r="J242" s="2" t="str">
        <f>VLOOKUP(ORDERS[[#This Row],[CustomerID]],customers[],4,FALSE)</f>
        <v>Portland</v>
      </c>
      <c r="K242" s="2" t="str">
        <f>VLOOKUP(ORDERS[[#This Row],[ProductID]],Products[],3,FALSE)</f>
        <v>Male</v>
      </c>
      <c r="L242" s="2">
        <f>DAY(ORDERS[[#This Row],[OrderDate]])</f>
        <v>2</v>
      </c>
      <c r="M242" s="2">
        <f>YEAR(ORDERS[[#This Row],[OrderDate]])</f>
        <v>2012</v>
      </c>
    </row>
    <row r="243" spans="1:13" x14ac:dyDescent="0.3">
      <c r="A243">
        <v>242</v>
      </c>
      <c r="B243">
        <v>6</v>
      </c>
      <c r="C243">
        <v>5</v>
      </c>
      <c r="D243" s="1">
        <v>41092</v>
      </c>
      <c r="E243">
        <v>148</v>
      </c>
      <c r="F243">
        <f>VLOOKUP(ORDERS[[#This Row],[ProductID]],Products[],4,FALSE)</f>
        <v>16</v>
      </c>
      <c r="G243">
        <v>5.0000001000000002E-2</v>
      </c>
      <c r="H243">
        <f>(ORDERS[[#This Row],[UnitsOrdered]]*ORDERS[[#This Row],[unit price]])-(ORDERS[[#This Row],[UnitsOrdered]]*ORDERS[[#This Row],[unit price]]*ORDERS[[#This Row],[Discount]])</f>
        <v>2249.5999976319999</v>
      </c>
      <c r="I243" t="str">
        <f>VLOOKUP(ORDERS[[#This Row],[CustomerID]],customers[],2,FALSE)</f>
        <v>Abracadaba Ink</v>
      </c>
      <c r="J243" s="2" t="str">
        <f>VLOOKUP(ORDERS[[#This Row],[CustomerID]],customers[],4,FALSE)</f>
        <v>Salt Lake City</v>
      </c>
      <c r="K243" s="2" t="str">
        <f>VLOOKUP(ORDERS[[#This Row],[ProductID]],Products[],3,FALSE)</f>
        <v>Female</v>
      </c>
      <c r="L243" s="2">
        <f>DAY(ORDERS[[#This Row],[OrderDate]])</f>
        <v>2</v>
      </c>
      <c r="M243" s="2">
        <f>YEAR(ORDERS[[#This Row],[OrderDate]])</f>
        <v>2012</v>
      </c>
    </row>
    <row r="244" spans="1:13" x14ac:dyDescent="0.3">
      <c r="A244">
        <v>243</v>
      </c>
      <c r="B244">
        <v>6</v>
      </c>
      <c r="C244">
        <v>9</v>
      </c>
      <c r="D244" s="1">
        <v>41093</v>
      </c>
      <c r="E244">
        <v>122</v>
      </c>
      <c r="F244">
        <f>VLOOKUP(ORDERS[[#This Row],[ProductID]],Products[],4,FALSE)</f>
        <v>25</v>
      </c>
      <c r="G244">
        <v>0.15000000599999999</v>
      </c>
      <c r="H244">
        <f>(ORDERS[[#This Row],[UnitsOrdered]]*ORDERS[[#This Row],[unit price]])-(ORDERS[[#This Row],[UnitsOrdered]]*ORDERS[[#This Row],[unit price]]*ORDERS[[#This Row],[Discount]])</f>
        <v>2592.4999816999998</v>
      </c>
      <c r="I244" t="str">
        <f>VLOOKUP(ORDERS[[#This Row],[CustomerID]],customers[],2,FALSE)</f>
        <v>Abracadaba Ink</v>
      </c>
      <c r="J244" s="2" t="str">
        <f>VLOOKUP(ORDERS[[#This Row],[CustomerID]],customers[],4,FALSE)</f>
        <v>Salt Lake City</v>
      </c>
      <c r="K244" s="2" t="str">
        <f>VLOOKUP(ORDERS[[#This Row],[ProductID]],Products[],3,FALSE)</f>
        <v>Male</v>
      </c>
      <c r="L244" s="2">
        <f>DAY(ORDERS[[#This Row],[OrderDate]])</f>
        <v>3</v>
      </c>
      <c r="M244" s="2">
        <f>YEAR(ORDERS[[#This Row],[OrderDate]])</f>
        <v>2012</v>
      </c>
    </row>
    <row r="245" spans="1:13" x14ac:dyDescent="0.3">
      <c r="A245">
        <v>244</v>
      </c>
      <c r="B245">
        <v>7</v>
      </c>
      <c r="C245">
        <v>5</v>
      </c>
      <c r="D245" s="1">
        <v>41093</v>
      </c>
      <c r="E245">
        <v>123</v>
      </c>
      <c r="F245">
        <f>VLOOKUP(ORDERS[[#This Row],[ProductID]],Products[],4,FALSE)</f>
        <v>16</v>
      </c>
      <c r="G245">
        <v>0</v>
      </c>
      <c r="H245">
        <f>(ORDERS[[#This Row],[UnitsOrdered]]*ORDERS[[#This Row],[unit price]])-(ORDERS[[#This Row],[UnitsOrdered]]*ORDERS[[#This Row],[unit price]]*ORDERS[[#This Row],[Discount]])</f>
        <v>1968</v>
      </c>
      <c r="I245" t="str">
        <f>VLOOKUP(ORDERS[[#This Row],[CustomerID]],customers[],2,FALSE)</f>
        <v>The Shirt on Your Back</v>
      </c>
      <c r="J245" s="2" t="str">
        <f>VLOOKUP(ORDERS[[#This Row],[CustomerID]],customers[],4,FALSE)</f>
        <v>Bonners Ferry</v>
      </c>
      <c r="K245" s="2" t="str">
        <f>VLOOKUP(ORDERS[[#This Row],[ProductID]],Products[],3,FALSE)</f>
        <v>Female</v>
      </c>
      <c r="L245" s="2">
        <f>DAY(ORDERS[[#This Row],[OrderDate]])</f>
        <v>3</v>
      </c>
      <c r="M245" s="2">
        <f>YEAR(ORDERS[[#This Row],[OrderDate]])</f>
        <v>2012</v>
      </c>
    </row>
    <row r="246" spans="1:13" x14ac:dyDescent="0.3">
      <c r="A246">
        <v>245</v>
      </c>
      <c r="B246">
        <v>7</v>
      </c>
      <c r="C246">
        <v>10</v>
      </c>
      <c r="D246" s="1">
        <v>41094</v>
      </c>
      <c r="E246">
        <v>97</v>
      </c>
      <c r="F246">
        <f>VLOOKUP(ORDERS[[#This Row],[ProductID]],Products[],4,FALSE)</f>
        <v>35</v>
      </c>
      <c r="G246">
        <v>5.0000001000000002E-2</v>
      </c>
      <c r="H246">
        <f>(ORDERS[[#This Row],[UnitsOrdered]]*ORDERS[[#This Row],[unit price]])-(ORDERS[[#This Row],[UnitsOrdered]]*ORDERS[[#This Row],[unit price]]*ORDERS[[#This Row],[Discount]])</f>
        <v>3225.249996605</v>
      </c>
      <c r="I246" t="str">
        <f>VLOOKUP(ORDERS[[#This Row],[CustomerID]],customers[],2,FALSE)</f>
        <v>The Shirt on Your Back</v>
      </c>
      <c r="J246" s="2" t="str">
        <f>VLOOKUP(ORDERS[[#This Row],[CustomerID]],customers[],4,FALSE)</f>
        <v>Bonners Ferry</v>
      </c>
      <c r="K246" s="2" t="str">
        <f>VLOOKUP(ORDERS[[#This Row],[ProductID]],Products[],3,FALSE)</f>
        <v>Male</v>
      </c>
      <c r="L246" s="2">
        <f>DAY(ORDERS[[#This Row],[OrderDate]])</f>
        <v>4</v>
      </c>
      <c r="M246" s="2">
        <f>YEAR(ORDERS[[#This Row],[OrderDate]])</f>
        <v>2012</v>
      </c>
    </row>
    <row r="247" spans="1:13" x14ac:dyDescent="0.3">
      <c r="A247">
        <v>246</v>
      </c>
      <c r="B247">
        <v>3</v>
      </c>
      <c r="C247">
        <v>7</v>
      </c>
      <c r="D247" s="1">
        <v>41095</v>
      </c>
      <c r="E247">
        <v>77</v>
      </c>
      <c r="F247">
        <f>VLOOKUP(ORDERS[[#This Row],[ProductID]],Products[],4,FALSE)</f>
        <v>38</v>
      </c>
      <c r="G247">
        <v>0</v>
      </c>
      <c r="H247">
        <f>(ORDERS[[#This Row],[UnitsOrdered]]*ORDERS[[#This Row],[unit price]])-(ORDERS[[#This Row],[UnitsOrdered]]*ORDERS[[#This Row],[unit price]]*ORDERS[[#This Row],[Discount]])</f>
        <v>2926</v>
      </c>
      <c r="I247" t="str">
        <f>VLOOKUP(ORDERS[[#This Row],[CustomerID]],customers[],2,FALSE)</f>
        <v>Shirts R Us</v>
      </c>
      <c r="J247" s="2" t="str">
        <f>VLOOKUP(ORDERS[[#This Row],[CustomerID]],customers[],4,FALSE)</f>
        <v>Los Angeles</v>
      </c>
      <c r="K247" s="2" t="str">
        <f>VLOOKUP(ORDERS[[#This Row],[ProductID]],Products[],3,FALSE)</f>
        <v>Female</v>
      </c>
      <c r="L247" s="2">
        <f>DAY(ORDERS[[#This Row],[OrderDate]])</f>
        <v>5</v>
      </c>
      <c r="M247" s="2">
        <f>YEAR(ORDERS[[#This Row],[OrderDate]])</f>
        <v>2012</v>
      </c>
    </row>
    <row r="248" spans="1:13" x14ac:dyDescent="0.3">
      <c r="A248">
        <v>247</v>
      </c>
      <c r="B248">
        <v>1</v>
      </c>
      <c r="C248">
        <v>6</v>
      </c>
      <c r="D248" s="1">
        <v>41096</v>
      </c>
      <c r="E248">
        <v>28</v>
      </c>
      <c r="F248">
        <f>VLOOKUP(ORDERS[[#This Row],[ProductID]],Products[],4,FALSE)</f>
        <v>28</v>
      </c>
      <c r="G248">
        <v>0</v>
      </c>
      <c r="H248">
        <f>(ORDERS[[#This Row],[UnitsOrdered]]*ORDERS[[#This Row],[unit price]])-(ORDERS[[#This Row],[UnitsOrdered]]*ORDERS[[#This Row],[unit price]]*ORDERS[[#This Row],[Discount]])</f>
        <v>784</v>
      </c>
      <c r="I248" t="str">
        <f>VLOOKUP(ORDERS[[#This Row],[CustomerID]],customers[],2,FALSE)</f>
        <v>Threads</v>
      </c>
      <c r="J248" s="2" t="str">
        <f>VLOOKUP(ORDERS[[#This Row],[CustomerID]],customers[],4,FALSE)</f>
        <v>Seattle</v>
      </c>
      <c r="K248" s="2" t="str">
        <f>VLOOKUP(ORDERS[[#This Row],[ProductID]],Products[],3,FALSE)</f>
        <v>Female</v>
      </c>
      <c r="L248" s="2">
        <f>DAY(ORDERS[[#This Row],[OrderDate]])</f>
        <v>6</v>
      </c>
      <c r="M248" s="2">
        <f>YEAR(ORDERS[[#This Row],[OrderDate]])</f>
        <v>2012</v>
      </c>
    </row>
    <row r="249" spans="1:13" x14ac:dyDescent="0.3">
      <c r="A249">
        <v>248</v>
      </c>
      <c r="B249">
        <v>1</v>
      </c>
      <c r="C249">
        <v>1</v>
      </c>
      <c r="D249" s="1">
        <v>41097</v>
      </c>
      <c r="E249">
        <v>98</v>
      </c>
      <c r="F249">
        <f>VLOOKUP(ORDERS[[#This Row],[ProductID]],Products[],4,FALSE)</f>
        <v>20</v>
      </c>
      <c r="G249">
        <v>0</v>
      </c>
      <c r="H249">
        <f>(ORDERS[[#This Row],[UnitsOrdered]]*ORDERS[[#This Row],[unit price]])-(ORDERS[[#This Row],[UnitsOrdered]]*ORDERS[[#This Row],[unit price]]*ORDERS[[#This Row],[Discount]])</f>
        <v>1960</v>
      </c>
      <c r="I249" t="str">
        <f>VLOOKUP(ORDERS[[#This Row],[CustomerID]],customers[],2,FALSE)</f>
        <v>Threads</v>
      </c>
      <c r="J249" s="2" t="str">
        <f>VLOOKUP(ORDERS[[#This Row],[CustomerID]],customers[],4,FALSE)</f>
        <v>Seattle</v>
      </c>
      <c r="K249" s="2" t="str">
        <f>VLOOKUP(ORDERS[[#This Row],[ProductID]],Products[],3,FALSE)</f>
        <v>Both</v>
      </c>
      <c r="L249" s="2">
        <f>DAY(ORDERS[[#This Row],[OrderDate]])</f>
        <v>7</v>
      </c>
      <c r="M249" s="2">
        <f>YEAR(ORDERS[[#This Row],[OrderDate]])</f>
        <v>2012</v>
      </c>
    </row>
    <row r="250" spans="1:13" x14ac:dyDescent="0.3">
      <c r="A250">
        <v>249</v>
      </c>
      <c r="B250">
        <v>6</v>
      </c>
      <c r="C250">
        <v>1</v>
      </c>
      <c r="D250" s="1">
        <v>41097</v>
      </c>
      <c r="E250">
        <v>103</v>
      </c>
      <c r="F250">
        <f>VLOOKUP(ORDERS[[#This Row],[ProductID]],Products[],4,FALSE)</f>
        <v>20</v>
      </c>
      <c r="G250">
        <v>0</v>
      </c>
      <c r="H250">
        <f>(ORDERS[[#This Row],[UnitsOrdered]]*ORDERS[[#This Row],[unit price]])-(ORDERS[[#This Row],[UnitsOrdered]]*ORDERS[[#This Row],[unit price]]*ORDERS[[#This Row],[Discount]])</f>
        <v>2060</v>
      </c>
      <c r="I250" t="str">
        <f>VLOOKUP(ORDERS[[#This Row],[CustomerID]],customers[],2,FALSE)</f>
        <v>Abracadaba Ink</v>
      </c>
      <c r="J250" s="2" t="str">
        <f>VLOOKUP(ORDERS[[#This Row],[CustomerID]],customers[],4,FALSE)</f>
        <v>Salt Lake City</v>
      </c>
      <c r="K250" s="2" t="str">
        <f>VLOOKUP(ORDERS[[#This Row],[ProductID]],Products[],3,FALSE)</f>
        <v>Both</v>
      </c>
      <c r="L250" s="2">
        <f>DAY(ORDERS[[#This Row],[OrderDate]])</f>
        <v>7</v>
      </c>
      <c r="M250" s="2">
        <f>YEAR(ORDERS[[#This Row],[OrderDate]])</f>
        <v>2012</v>
      </c>
    </row>
    <row r="251" spans="1:13" x14ac:dyDescent="0.3">
      <c r="A251">
        <v>250</v>
      </c>
      <c r="B251">
        <v>2</v>
      </c>
      <c r="C251">
        <v>6</v>
      </c>
      <c r="D251" s="1">
        <v>41099</v>
      </c>
      <c r="E251">
        <v>43</v>
      </c>
      <c r="F251">
        <f>VLOOKUP(ORDERS[[#This Row],[ProductID]],Products[],4,FALSE)</f>
        <v>28</v>
      </c>
      <c r="G251">
        <v>0</v>
      </c>
      <c r="H251">
        <f>(ORDERS[[#This Row],[UnitsOrdered]]*ORDERS[[#This Row],[unit price]])-(ORDERS[[#This Row],[UnitsOrdered]]*ORDERS[[#This Row],[unit price]]*ORDERS[[#This Row],[Discount]])</f>
        <v>1204</v>
      </c>
      <c r="I251" t="str">
        <f>VLOOKUP(ORDERS[[#This Row],[CustomerID]],customers[],2,FALSE)</f>
        <v>A Shirts Life</v>
      </c>
      <c r="J251" s="2" t="str">
        <f>VLOOKUP(ORDERS[[#This Row],[CustomerID]],customers[],4,FALSE)</f>
        <v>Portland</v>
      </c>
      <c r="K251" s="2" t="str">
        <f>VLOOKUP(ORDERS[[#This Row],[ProductID]],Products[],3,FALSE)</f>
        <v>Female</v>
      </c>
      <c r="L251" s="2">
        <f>DAY(ORDERS[[#This Row],[OrderDate]])</f>
        <v>9</v>
      </c>
      <c r="M251" s="2">
        <f>YEAR(ORDERS[[#This Row],[OrderDate]])</f>
        <v>2012</v>
      </c>
    </row>
    <row r="252" spans="1:13" x14ac:dyDescent="0.3">
      <c r="A252">
        <v>251</v>
      </c>
      <c r="B252">
        <v>6</v>
      </c>
      <c r="C252">
        <v>3</v>
      </c>
      <c r="D252" s="1">
        <v>41101</v>
      </c>
      <c r="E252">
        <v>130</v>
      </c>
      <c r="F252">
        <f>VLOOKUP(ORDERS[[#This Row],[ProductID]],Products[],4,FALSE)</f>
        <v>22</v>
      </c>
      <c r="G252">
        <v>0</v>
      </c>
      <c r="H252">
        <f>(ORDERS[[#This Row],[UnitsOrdered]]*ORDERS[[#This Row],[unit price]])-(ORDERS[[#This Row],[UnitsOrdered]]*ORDERS[[#This Row],[unit price]]*ORDERS[[#This Row],[Discount]])</f>
        <v>2860</v>
      </c>
      <c r="I252" t="str">
        <f>VLOOKUP(ORDERS[[#This Row],[CustomerID]],customers[],2,FALSE)</f>
        <v>Abracadaba Ink</v>
      </c>
      <c r="J252" s="2" t="str">
        <f>VLOOKUP(ORDERS[[#This Row],[CustomerID]],customers[],4,FALSE)</f>
        <v>Salt Lake City</v>
      </c>
      <c r="K252" s="2" t="str">
        <f>VLOOKUP(ORDERS[[#This Row],[ProductID]],Products[],3,FALSE)</f>
        <v>Both</v>
      </c>
      <c r="L252" s="2">
        <f>DAY(ORDERS[[#This Row],[OrderDate]])</f>
        <v>11</v>
      </c>
      <c r="M252" s="2">
        <f>YEAR(ORDERS[[#This Row],[OrderDate]])</f>
        <v>2012</v>
      </c>
    </row>
    <row r="253" spans="1:13" x14ac:dyDescent="0.3">
      <c r="A253">
        <v>252</v>
      </c>
      <c r="B253">
        <v>1</v>
      </c>
      <c r="C253">
        <v>6</v>
      </c>
      <c r="D253" s="1">
        <v>41102</v>
      </c>
      <c r="E253">
        <v>54</v>
      </c>
      <c r="F253">
        <f>VLOOKUP(ORDERS[[#This Row],[ProductID]],Products[],4,FALSE)</f>
        <v>28</v>
      </c>
      <c r="G253">
        <v>5.0000001000000002E-2</v>
      </c>
      <c r="H253">
        <f>(ORDERS[[#This Row],[UnitsOrdered]]*ORDERS[[#This Row],[unit price]])-(ORDERS[[#This Row],[UnitsOrdered]]*ORDERS[[#This Row],[unit price]]*ORDERS[[#This Row],[Discount]])</f>
        <v>1436.3999984879999</v>
      </c>
      <c r="I253" t="str">
        <f>VLOOKUP(ORDERS[[#This Row],[CustomerID]],customers[],2,FALSE)</f>
        <v>Threads</v>
      </c>
      <c r="J253" s="2" t="str">
        <f>VLOOKUP(ORDERS[[#This Row],[CustomerID]],customers[],4,FALSE)</f>
        <v>Seattle</v>
      </c>
      <c r="K253" s="2" t="str">
        <f>VLOOKUP(ORDERS[[#This Row],[ProductID]],Products[],3,FALSE)</f>
        <v>Female</v>
      </c>
      <c r="L253" s="2">
        <f>DAY(ORDERS[[#This Row],[OrderDate]])</f>
        <v>12</v>
      </c>
      <c r="M253" s="2">
        <f>YEAR(ORDERS[[#This Row],[OrderDate]])</f>
        <v>2012</v>
      </c>
    </row>
    <row r="254" spans="1:13" x14ac:dyDescent="0.3">
      <c r="A254">
        <v>253</v>
      </c>
      <c r="B254">
        <v>3</v>
      </c>
      <c r="C254">
        <v>7</v>
      </c>
      <c r="D254" s="1">
        <v>41104</v>
      </c>
      <c r="E254">
        <v>117</v>
      </c>
      <c r="F254">
        <f>VLOOKUP(ORDERS[[#This Row],[ProductID]],Products[],4,FALSE)</f>
        <v>38</v>
      </c>
      <c r="G254">
        <v>0</v>
      </c>
      <c r="H254">
        <f>(ORDERS[[#This Row],[UnitsOrdered]]*ORDERS[[#This Row],[unit price]])-(ORDERS[[#This Row],[UnitsOrdered]]*ORDERS[[#This Row],[unit price]]*ORDERS[[#This Row],[Discount]])</f>
        <v>4446</v>
      </c>
      <c r="I254" t="str">
        <f>VLOOKUP(ORDERS[[#This Row],[CustomerID]],customers[],2,FALSE)</f>
        <v>Shirts R Us</v>
      </c>
      <c r="J254" s="2" t="str">
        <f>VLOOKUP(ORDERS[[#This Row],[CustomerID]],customers[],4,FALSE)</f>
        <v>Los Angeles</v>
      </c>
      <c r="K254" s="2" t="str">
        <f>VLOOKUP(ORDERS[[#This Row],[ProductID]],Products[],3,FALSE)</f>
        <v>Female</v>
      </c>
      <c r="L254" s="2">
        <f>DAY(ORDERS[[#This Row],[OrderDate]])</f>
        <v>14</v>
      </c>
      <c r="M254" s="2">
        <f>YEAR(ORDERS[[#This Row],[OrderDate]])</f>
        <v>2012</v>
      </c>
    </row>
    <row r="255" spans="1:13" x14ac:dyDescent="0.3">
      <c r="A255">
        <v>254</v>
      </c>
      <c r="B255">
        <v>3</v>
      </c>
      <c r="C255">
        <v>4</v>
      </c>
      <c r="D255" s="1">
        <v>41105</v>
      </c>
      <c r="E255">
        <v>77</v>
      </c>
      <c r="F255">
        <f>VLOOKUP(ORDERS[[#This Row],[ProductID]],Products[],4,FALSE)</f>
        <v>30</v>
      </c>
      <c r="G255">
        <v>0</v>
      </c>
      <c r="H255">
        <f>(ORDERS[[#This Row],[UnitsOrdered]]*ORDERS[[#This Row],[unit price]])-(ORDERS[[#This Row],[UnitsOrdered]]*ORDERS[[#This Row],[unit price]]*ORDERS[[#This Row],[Discount]])</f>
        <v>2310</v>
      </c>
      <c r="I255" t="str">
        <f>VLOOKUP(ORDERS[[#This Row],[CustomerID]],customers[],2,FALSE)</f>
        <v>Shirts R Us</v>
      </c>
      <c r="J255" s="2" t="str">
        <f>VLOOKUP(ORDERS[[#This Row],[CustomerID]],customers[],4,FALSE)</f>
        <v>Los Angeles</v>
      </c>
      <c r="K255" s="2" t="str">
        <f>VLOOKUP(ORDERS[[#This Row],[ProductID]],Products[],3,FALSE)</f>
        <v>Both</v>
      </c>
      <c r="L255" s="2">
        <f>DAY(ORDERS[[#This Row],[OrderDate]])</f>
        <v>15</v>
      </c>
      <c r="M255" s="2">
        <f>YEAR(ORDERS[[#This Row],[OrderDate]])</f>
        <v>2012</v>
      </c>
    </row>
    <row r="256" spans="1:13" x14ac:dyDescent="0.3">
      <c r="A256">
        <v>255</v>
      </c>
      <c r="B256">
        <v>2</v>
      </c>
      <c r="C256">
        <v>8</v>
      </c>
      <c r="D256" s="1">
        <v>41106</v>
      </c>
      <c r="E256">
        <v>38</v>
      </c>
      <c r="F256">
        <f>VLOOKUP(ORDERS[[#This Row],[ProductID]],Products[],4,FALSE)</f>
        <v>27</v>
      </c>
      <c r="G256">
        <v>0</v>
      </c>
      <c r="H256">
        <f>(ORDERS[[#This Row],[UnitsOrdered]]*ORDERS[[#This Row],[unit price]])-(ORDERS[[#This Row],[UnitsOrdered]]*ORDERS[[#This Row],[unit price]]*ORDERS[[#This Row],[Discount]])</f>
        <v>1026</v>
      </c>
      <c r="I256" t="str">
        <f>VLOOKUP(ORDERS[[#This Row],[CustomerID]],customers[],2,FALSE)</f>
        <v>A Shirts Life</v>
      </c>
      <c r="J256" s="2" t="str">
        <f>VLOOKUP(ORDERS[[#This Row],[CustomerID]],customers[],4,FALSE)</f>
        <v>Portland</v>
      </c>
      <c r="K256" s="2" t="str">
        <f>VLOOKUP(ORDERS[[#This Row],[ProductID]],Products[],3,FALSE)</f>
        <v>Female</v>
      </c>
      <c r="L256" s="2">
        <f>DAY(ORDERS[[#This Row],[OrderDate]])</f>
        <v>16</v>
      </c>
      <c r="M256" s="2">
        <f>YEAR(ORDERS[[#This Row],[OrderDate]])</f>
        <v>2012</v>
      </c>
    </row>
    <row r="257" spans="1:13" x14ac:dyDescent="0.3">
      <c r="A257">
        <v>256</v>
      </c>
      <c r="B257">
        <v>6</v>
      </c>
      <c r="C257">
        <v>3</v>
      </c>
      <c r="D257" s="1">
        <v>41106</v>
      </c>
      <c r="E257">
        <v>58</v>
      </c>
      <c r="F257">
        <f>VLOOKUP(ORDERS[[#This Row],[ProductID]],Products[],4,FALSE)</f>
        <v>22</v>
      </c>
      <c r="G257">
        <v>0</v>
      </c>
      <c r="H257">
        <f>(ORDERS[[#This Row],[UnitsOrdered]]*ORDERS[[#This Row],[unit price]])-(ORDERS[[#This Row],[UnitsOrdered]]*ORDERS[[#This Row],[unit price]]*ORDERS[[#This Row],[Discount]])</f>
        <v>1276</v>
      </c>
      <c r="I257" t="str">
        <f>VLOOKUP(ORDERS[[#This Row],[CustomerID]],customers[],2,FALSE)</f>
        <v>Abracadaba Ink</v>
      </c>
      <c r="J257" s="2" t="str">
        <f>VLOOKUP(ORDERS[[#This Row],[CustomerID]],customers[],4,FALSE)</f>
        <v>Salt Lake City</v>
      </c>
      <c r="K257" s="2" t="str">
        <f>VLOOKUP(ORDERS[[#This Row],[ProductID]],Products[],3,FALSE)</f>
        <v>Both</v>
      </c>
      <c r="L257" s="2">
        <f>DAY(ORDERS[[#This Row],[OrderDate]])</f>
        <v>16</v>
      </c>
      <c r="M257" s="2">
        <f>YEAR(ORDERS[[#This Row],[OrderDate]])</f>
        <v>2012</v>
      </c>
    </row>
    <row r="258" spans="1:13" x14ac:dyDescent="0.3">
      <c r="A258">
        <v>257</v>
      </c>
      <c r="B258">
        <v>6</v>
      </c>
      <c r="C258">
        <v>4</v>
      </c>
      <c r="D258" s="1">
        <v>41107</v>
      </c>
      <c r="E258">
        <v>148</v>
      </c>
      <c r="F258">
        <f>VLOOKUP(ORDERS[[#This Row],[ProductID]],Products[],4,FALSE)</f>
        <v>30</v>
      </c>
      <c r="G258">
        <v>0</v>
      </c>
      <c r="H258">
        <f>(ORDERS[[#This Row],[UnitsOrdered]]*ORDERS[[#This Row],[unit price]])-(ORDERS[[#This Row],[UnitsOrdered]]*ORDERS[[#This Row],[unit price]]*ORDERS[[#This Row],[Discount]])</f>
        <v>4440</v>
      </c>
      <c r="I258" t="str">
        <f>VLOOKUP(ORDERS[[#This Row],[CustomerID]],customers[],2,FALSE)</f>
        <v>Abracadaba Ink</v>
      </c>
      <c r="J258" s="2" t="str">
        <f>VLOOKUP(ORDERS[[#This Row],[CustomerID]],customers[],4,FALSE)</f>
        <v>Salt Lake City</v>
      </c>
      <c r="K258" s="2" t="str">
        <f>VLOOKUP(ORDERS[[#This Row],[ProductID]],Products[],3,FALSE)</f>
        <v>Both</v>
      </c>
      <c r="L258" s="2">
        <f>DAY(ORDERS[[#This Row],[OrderDate]])</f>
        <v>17</v>
      </c>
      <c r="M258" s="2">
        <f>YEAR(ORDERS[[#This Row],[OrderDate]])</f>
        <v>2012</v>
      </c>
    </row>
    <row r="259" spans="1:13" x14ac:dyDescent="0.3">
      <c r="A259">
        <v>258</v>
      </c>
      <c r="B259">
        <v>7</v>
      </c>
      <c r="C259">
        <v>4</v>
      </c>
      <c r="D259" s="1">
        <v>41108</v>
      </c>
      <c r="E259">
        <v>142</v>
      </c>
      <c r="F259">
        <f>VLOOKUP(ORDERS[[#This Row],[ProductID]],Products[],4,FALSE)</f>
        <v>30</v>
      </c>
      <c r="G259">
        <v>0</v>
      </c>
      <c r="H259">
        <f>(ORDERS[[#This Row],[UnitsOrdered]]*ORDERS[[#This Row],[unit price]])-(ORDERS[[#This Row],[UnitsOrdered]]*ORDERS[[#This Row],[unit price]]*ORDERS[[#This Row],[Discount]])</f>
        <v>4260</v>
      </c>
      <c r="I259" t="str">
        <f>VLOOKUP(ORDERS[[#This Row],[CustomerID]],customers[],2,FALSE)</f>
        <v>The Shirt on Your Back</v>
      </c>
      <c r="J259" s="2" t="str">
        <f>VLOOKUP(ORDERS[[#This Row],[CustomerID]],customers[],4,FALSE)</f>
        <v>Bonners Ferry</v>
      </c>
      <c r="K259" s="2" t="str">
        <f>VLOOKUP(ORDERS[[#This Row],[ProductID]],Products[],3,FALSE)</f>
        <v>Both</v>
      </c>
      <c r="L259" s="2">
        <f>DAY(ORDERS[[#This Row],[OrderDate]])</f>
        <v>18</v>
      </c>
      <c r="M259" s="2">
        <f>YEAR(ORDERS[[#This Row],[OrderDate]])</f>
        <v>2012</v>
      </c>
    </row>
    <row r="260" spans="1:13" x14ac:dyDescent="0.3">
      <c r="A260">
        <v>259</v>
      </c>
      <c r="B260">
        <v>7</v>
      </c>
      <c r="C260">
        <v>7</v>
      </c>
      <c r="D260" s="1">
        <v>41109</v>
      </c>
      <c r="E260">
        <v>37</v>
      </c>
      <c r="F260">
        <f>VLOOKUP(ORDERS[[#This Row],[ProductID]],Products[],4,FALSE)</f>
        <v>38</v>
      </c>
      <c r="G260">
        <v>0</v>
      </c>
      <c r="H260">
        <f>(ORDERS[[#This Row],[UnitsOrdered]]*ORDERS[[#This Row],[unit price]])-(ORDERS[[#This Row],[UnitsOrdered]]*ORDERS[[#This Row],[unit price]]*ORDERS[[#This Row],[Discount]])</f>
        <v>1406</v>
      </c>
      <c r="I260" t="str">
        <f>VLOOKUP(ORDERS[[#This Row],[CustomerID]],customers[],2,FALSE)</f>
        <v>The Shirt on Your Back</v>
      </c>
      <c r="J260" s="2" t="str">
        <f>VLOOKUP(ORDERS[[#This Row],[CustomerID]],customers[],4,FALSE)</f>
        <v>Bonners Ferry</v>
      </c>
      <c r="K260" s="2" t="str">
        <f>VLOOKUP(ORDERS[[#This Row],[ProductID]],Products[],3,FALSE)</f>
        <v>Female</v>
      </c>
      <c r="L260" s="2">
        <f>DAY(ORDERS[[#This Row],[OrderDate]])</f>
        <v>19</v>
      </c>
      <c r="M260" s="2">
        <f>YEAR(ORDERS[[#This Row],[OrderDate]])</f>
        <v>2012</v>
      </c>
    </row>
    <row r="261" spans="1:13" x14ac:dyDescent="0.3">
      <c r="A261">
        <v>260</v>
      </c>
      <c r="B261">
        <v>1</v>
      </c>
      <c r="C261">
        <v>10</v>
      </c>
      <c r="D261" s="1">
        <v>41110</v>
      </c>
      <c r="E261">
        <v>79</v>
      </c>
      <c r="F261">
        <f>VLOOKUP(ORDERS[[#This Row],[ProductID]],Products[],4,FALSE)</f>
        <v>35</v>
      </c>
      <c r="G261">
        <v>0</v>
      </c>
      <c r="H261">
        <f>(ORDERS[[#This Row],[UnitsOrdered]]*ORDERS[[#This Row],[unit price]])-(ORDERS[[#This Row],[UnitsOrdered]]*ORDERS[[#This Row],[unit price]]*ORDERS[[#This Row],[Discount]])</f>
        <v>2765</v>
      </c>
      <c r="I261" t="str">
        <f>VLOOKUP(ORDERS[[#This Row],[CustomerID]],customers[],2,FALSE)</f>
        <v>Threads</v>
      </c>
      <c r="J261" s="2" t="str">
        <f>VLOOKUP(ORDERS[[#This Row],[CustomerID]],customers[],4,FALSE)</f>
        <v>Seattle</v>
      </c>
      <c r="K261" s="2" t="str">
        <f>VLOOKUP(ORDERS[[#This Row],[ProductID]],Products[],3,FALSE)</f>
        <v>Male</v>
      </c>
      <c r="L261" s="2">
        <f>DAY(ORDERS[[#This Row],[OrderDate]])</f>
        <v>20</v>
      </c>
      <c r="M261" s="2">
        <f>YEAR(ORDERS[[#This Row],[OrderDate]])</f>
        <v>2012</v>
      </c>
    </row>
    <row r="262" spans="1:13" x14ac:dyDescent="0.3">
      <c r="A262">
        <v>261</v>
      </c>
      <c r="B262">
        <v>6</v>
      </c>
      <c r="C262">
        <v>2</v>
      </c>
      <c r="D262" s="1">
        <v>41111</v>
      </c>
      <c r="E262">
        <v>83</v>
      </c>
      <c r="F262">
        <f>VLOOKUP(ORDERS[[#This Row],[ProductID]],Products[],4,FALSE)</f>
        <v>30</v>
      </c>
      <c r="G262">
        <v>0</v>
      </c>
      <c r="H262">
        <f>(ORDERS[[#This Row],[UnitsOrdered]]*ORDERS[[#This Row],[unit price]])-(ORDERS[[#This Row],[UnitsOrdered]]*ORDERS[[#This Row],[unit price]]*ORDERS[[#This Row],[Discount]])</f>
        <v>2490</v>
      </c>
      <c r="I262" t="str">
        <f>VLOOKUP(ORDERS[[#This Row],[CustomerID]],customers[],2,FALSE)</f>
        <v>Abracadaba Ink</v>
      </c>
      <c r="J262" s="2" t="str">
        <f>VLOOKUP(ORDERS[[#This Row],[CustomerID]],customers[],4,FALSE)</f>
        <v>Salt Lake City</v>
      </c>
      <c r="K262" s="2" t="str">
        <f>VLOOKUP(ORDERS[[#This Row],[ProductID]],Products[],3,FALSE)</f>
        <v>Both</v>
      </c>
      <c r="L262" s="2">
        <f>DAY(ORDERS[[#This Row],[OrderDate]])</f>
        <v>21</v>
      </c>
      <c r="M262" s="2">
        <f>YEAR(ORDERS[[#This Row],[OrderDate]])</f>
        <v>2012</v>
      </c>
    </row>
    <row r="263" spans="1:13" x14ac:dyDescent="0.3">
      <c r="A263">
        <v>262</v>
      </c>
      <c r="B263">
        <v>6</v>
      </c>
      <c r="C263">
        <v>9</v>
      </c>
      <c r="D263" s="1">
        <v>41112</v>
      </c>
      <c r="E263">
        <v>130</v>
      </c>
      <c r="F263">
        <f>VLOOKUP(ORDERS[[#This Row],[ProductID]],Products[],4,FALSE)</f>
        <v>25</v>
      </c>
      <c r="G263">
        <v>0.15000000599999999</v>
      </c>
      <c r="H263">
        <f>(ORDERS[[#This Row],[UnitsOrdered]]*ORDERS[[#This Row],[unit price]])-(ORDERS[[#This Row],[UnitsOrdered]]*ORDERS[[#This Row],[unit price]]*ORDERS[[#This Row],[Discount]])</f>
        <v>2762.4999805000002</v>
      </c>
      <c r="I263" t="str">
        <f>VLOOKUP(ORDERS[[#This Row],[CustomerID]],customers[],2,FALSE)</f>
        <v>Abracadaba Ink</v>
      </c>
      <c r="J263" s="2" t="str">
        <f>VLOOKUP(ORDERS[[#This Row],[CustomerID]],customers[],4,FALSE)</f>
        <v>Salt Lake City</v>
      </c>
      <c r="K263" s="2" t="str">
        <f>VLOOKUP(ORDERS[[#This Row],[ProductID]],Products[],3,FALSE)</f>
        <v>Male</v>
      </c>
      <c r="L263" s="2">
        <f>DAY(ORDERS[[#This Row],[OrderDate]])</f>
        <v>22</v>
      </c>
      <c r="M263" s="2">
        <f>YEAR(ORDERS[[#This Row],[OrderDate]])</f>
        <v>2012</v>
      </c>
    </row>
    <row r="264" spans="1:13" x14ac:dyDescent="0.3">
      <c r="A264">
        <v>263</v>
      </c>
      <c r="B264">
        <v>7</v>
      </c>
      <c r="C264">
        <v>4</v>
      </c>
      <c r="D264" s="1">
        <v>41113</v>
      </c>
      <c r="E264">
        <v>63</v>
      </c>
      <c r="F264">
        <f>VLOOKUP(ORDERS[[#This Row],[ProductID]],Products[],4,FALSE)</f>
        <v>30</v>
      </c>
      <c r="G264">
        <v>0</v>
      </c>
      <c r="H264">
        <f>(ORDERS[[#This Row],[UnitsOrdered]]*ORDERS[[#This Row],[unit price]])-(ORDERS[[#This Row],[UnitsOrdered]]*ORDERS[[#This Row],[unit price]]*ORDERS[[#This Row],[Discount]])</f>
        <v>1890</v>
      </c>
      <c r="I264" t="str">
        <f>VLOOKUP(ORDERS[[#This Row],[CustomerID]],customers[],2,FALSE)</f>
        <v>The Shirt on Your Back</v>
      </c>
      <c r="J264" s="2" t="str">
        <f>VLOOKUP(ORDERS[[#This Row],[CustomerID]],customers[],4,FALSE)</f>
        <v>Bonners Ferry</v>
      </c>
      <c r="K264" s="2" t="str">
        <f>VLOOKUP(ORDERS[[#This Row],[ProductID]],Products[],3,FALSE)</f>
        <v>Both</v>
      </c>
      <c r="L264" s="2">
        <f>DAY(ORDERS[[#This Row],[OrderDate]])</f>
        <v>23</v>
      </c>
      <c r="M264" s="2">
        <f>YEAR(ORDERS[[#This Row],[OrderDate]])</f>
        <v>2012</v>
      </c>
    </row>
    <row r="265" spans="1:13" x14ac:dyDescent="0.3">
      <c r="A265">
        <v>264</v>
      </c>
      <c r="B265">
        <v>4</v>
      </c>
      <c r="C265">
        <v>5</v>
      </c>
      <c r="D265" s="1">
        <v>41114</v>
      </c>
      <c r="E265">
        <v>138</v>
      </c>
      <c r="F265">
        <f>VLOOKUP(ORDERS[[#This Row],[ProductID]],Products[],4,FALSE)</f>
        <v>16</v>
      </c>
      <c r="G265">
        <v>0</v>
      </c>
      <c r="H265">
        <f>(ORDERS[[#This Row],[UnitsOrdered]]*ORDERS[[#This Row],[unit price]])-(ORDERS[[#This Row],[UnitsOrdered]]*ORDERS[[#This Row],[unit price]]*ORDERS[[#This Row],[Discount]])</f>
        <v>2208</v>
      </c>
      <c r="I265" t="str">
        <f>VLOOKUP(ORDERS[[#This Row],[CustomerID]],customers[],2,FALSE)</f>
        <v>Tshirt Unlimited</v>
      </c>
      <c r="J265" s="2" t="str">
        <f>VLOOKUP(ORDERS[[#This Row],[CustomerID]],customers[],4,FALSE)</f>
        <v>Phoenix</v>
      </c>
      <c r="K265" s="2" t="str">
        <f>VLOOKUP(ORDERS[[#This Row],[ProductID]],Products[],3,FALSE)</f>
        <v>Female</v>
      </c>
      <c r="L265" s="2">
        <f>DAY(ORDERS[[#This Row],[OrderDate]])</f>
        <v>24</v>
      </c>
      <c r="M265" s="2">
        <f>YEAR(ORDERS[[#This Row],[OrderDate]])</f>
        <v>2012</v>
      </c>
    </row>
    <row r="266" spans="1:13" x14ac:dyDescent="0.3">
      <c r="A266">
        <v>265</v>
      </c>
      <c r="B266">
        <v>5</v>
      </c>
      <c r="C266">
        <v>5</v>
      </c>
      <c r="D266" s="1">
        <v>41114</v>
      </c>
      <c r="E266">
        <v>148</v>
      </c>
      <c r="F266">
        <f>VLOOKUP(ORDERS[[#This Row],[ProductID]],Products[],4,FALSE)</f>
        <v>16</v>
      </c>
      <c r="G266">
        <v>0</v>
      </c>
      <c r="H266">
        <f>(ORDERS[[#This Row],[UnitsOrdered]]*ORDERS[[#This Row],[unit price]])-(ORDERS[[#This Row],[UnitsOrdered]]*ORDERS[[#This Row],[unit price]]*ORDERS[[#This Row],[Discount]])</f>
        <v>2368</v>
      </c>
      <c r="I266" t="str">
        <f>VLOOKUP(ORDERS[[#This Row],[CustomerID]],customers[],2,FALSE)</f>
        <v>Rags to Riches</v>
      </c>
      <c r="J266" s="2" t="str">
        <f>VLOOKUP(ORDERS[[#This Row],[CustomerID]],customers[],4,FALSE)</f>
        <v>Las Vegas</v>
      </c>
      <c r="K266" s="2" t="str">
        <f>VLOOKUP(ORDERS[[#This Row],[ProductID]],Products[],3,FALSE)</f>
        <v>Female</v>
      </c>
      <c r="L266" s="2">
        <f>DAY(ORDERS[[#This Row],[OrderDate]])</f>
        <v>24</v>
      </c>
      <c r="M266" s="2">
        <f>YEAR(ORDERS[[#This Row],[OrderDate]])</f>
        <v>2012</v>
      </c>
    </row>
    <row r="267" spans="1:13" x14ac:dyDescent="0.3">
      <c r="A267">
        <v>266</v>
      </c>
      <c r="B267">
        <v>3</v>
      </c>
      <c r="C267">
        <v>4</v>
      </c>
      <c r="D267" s="1">
        <v>41115</v>
      </c>
      <c r="E267">
        <v>27</v>
      </c>
      <c r="F267">
        <f>VLOOKUP(ORDERS[[#This Row],[ProductID]],Products[],4,FALSE)</f>
        <v>30</v>
      </c>
      <c r="G267">
        <v>0</v>
      </c>
      <c r="H267">
        <f>(ORDERS[[#This Row],[UnitsOrdered]]*ORDERS[[#This Row],[unit price]])-(ORDERS[[#This Row],[UnitsOrdered]]*ORDERS[[#This Row],[unit price]]*ORDERS[[#This Row],[Discount]])</f>
        <v>810</v>
      </c>
      <c r="I267" t="str">
        <f>VLOOKUP(ORDERS[[#This Row],[CustomerID]],customers[],2,FALSE)</f>
        <v>Shirts R Us</v>
      </c>
      <c r="J267" s="2" t="str">
        <f>VLOOKUP(ORDERS[[#This Row],[CustomerID]],customers[],4,FALSE)</f>
        <v>Los Angeles</v>
      </c>
      <c r="K267" s="2" t="str">
        <f>VLOOKUP(ORDERS[[#This Row],[ProductID]],Products[],3,FALSE)</f>
        <v>Both</v>
      </c>
      <c r="L267" s="2">
        <f>DAY(ORDERS[[#This Row],[OrderDate]])</f>
        <v>25</v>
      </c>
      <c r="M267" s="2">
        <f>YEAR(ORDERS[[#This Row],[OrderDate]])</f>
        <v>2012</v>
      </c>
    </row>
    <row r="268" spans="1:13" x14ac:dyDescent="0.3">
      <c r="A268">
        <v>267</v>
      </c>
      <c r="B268">
        <v>5</v>
      </c>
      <c r="C268">
        <v>1</v>
      </c>
      <c r="D268" s="1">
        <v>41116</v>
      </c>
      <c r="E268">
        <v>92</v>
      </c>
      <c r="F268">
        <f>VLOOKUP(ORDERS[[#This Row],[ProductID]],Products[],4,FALSE)</f>
        <v>20</v>
      </c>
      <c r="G268">
        <v>0</v>
      </c>
      <c r="H268">
        <f>(ORDERS[[#This Row],[UnitsOrdered]]*ORDERS[[#This Row],[unit price]])-(ORDERS[[#This Row],[UnitsOrdered]]*ORDERS[[#This Row],[unit price]]*ORDERS[[#This Row],[Discount]])</f>
        <v>1840</v>
      </c>
      <c r="I268" t="str">
        <f>VLOOKUP(ORDERS[[#This Row],[CustomerID]],customers[],2,FALSE)</f>
        <v>Rags to Riches</v>
      </c>
      <c r="J268" s="2" t="str">
        <f>VLOOKUP(ORDERS[[#This Row],[CustomerID]],customers[],4,FALSE)</f>
        <v>Las Vegas</v>
      </c>
      <c r="K268" s="2" t="str">
        <f>VLOOKUP(ORDERS[[#This Row],[ProductID]],Products[],3,FALSE)</f>
        <v>Both</v>
      </c>
      <c r="L268" s="2">
        <f>DAY(ORDERS[[#This Row],[OrderDate]])</f>
        <v>26</v>
      </c>
      <c r="M268" s="2">
        <f>YEAR(ORDERS[[#This Row],[OrderDate]])</f>
        <v>2012</v>
      </c>
    </row>
    <row r="269" spans="1:13" x14ac:dyDescent="0.3">
      <c r="A269">
        <v>268</v>
      </c>
      <c r="B269">
        <v>5</v>
      </c>
      <c r="C269">
        <v>5</v>
      </c>
      <c r="D269" s="1">
        <v>41116</v>
      </c>
      <c r="E269">
        <v>83</v>
      </c>
      <c r="F269">
        <f>VLOOKUP(ORDERS[[#This Row],[ProductID]],Products[],4,FALSE)</f>
        <v>16</v>
      </c>
      <c r="G269">
        <v>0</v>
      </c>
      <c r="H269">
        <f>(ORDERS[[#This Row],[UnitsOrdered]]*ORDERS[[#This Row],[unit price]])-(ORDERS[[#This Row],[UnitsOrdered]]*ORDERS[[#This Row],[unit price]]*ORDERS[[#This Row],[Discount]])</f>
        <v>1328</v>
      </c>
      <c r="I269" t="str">
        <f>VLOOKUP(ORDERS[[#This Row],[CustomerID]],customers[],2,FALSE)</f>
        <v>Rags to Riches</v>
      </c>
      <c r="J269" s="2" t="str">
        <f>VLOOKUP(ORDERS[[#This Row],[CustomerID]],customers[],4,FALSE)</f>
        <v>Las Vegas</v>
      </c>
      <c r="K269" s="2" t="str">
        <f>VLOOKUP(ORDERS[[#This Row],[ProductID]],Products[],3,FALSE)</f>
        <v>Female</v>
      </c>
      <c r="L269" s="2">
        <f>DAY(ORDERS[[#This Row],[OrderDate]])</f>
        <v>26</v>
      </c>
      <c r="M269" s="2">
        <f>YEAR(ORDERS[[#This Row],[OrderDate]])</f>
        <v>2012</v>
      </c>
    </row>
    <row r="270" spans="1:13" x14ac:dyDescent="0.3">
      <c r="A270">
        <v>269</v>
      </c>
      <c r="B270">
        <v>5</v>
      </c>
      <c r="C270">
        <v>9</v>
      </c>
      <c r="D270" s="1">
        <v>41117</v>
      </c>
      <c r="E270">
        <v>73</v>
      </c>
      <c r="F270">
        <f>VLOOKUP(ORDERS[[#This Row],[ProductID]],Products[],4,FALSE)</f>
        <v>25</v>
      </c>
      <c r="G270">
        <v>0</v>
      </c>
      <c r="H270">
        <f>(ORDERS[[#This Row],[UnitsOrdered]]*ORDERS[[#This Row],[unit price]])-(ORDERS[[#This Row],[UnitsOrdered]]*ORDERS[[#This Row],[unit price]]*ORDERS[[#This Row],[Discount]])</f>
        <v>1825</v>
      </c>
      <c r="I270" t="str">
        <f>VLOOKUP(ORDERS[[#This Row],[CustomerID]],customers[],2,FALSE)</f>
        <v>Rags to Riches</v>
      </c>
      <c r="J270" s="2" t="str">
        <f>VLOOKUP(ORDERS[[#This Row],[CustomerID]],customers[],4,FALSE)</f>
        <v>Las Vegas</v>
      </c>
      <c r="K270" s="2" t="str">
        <f>VLOOKUP(ORDERS[[#This Row],[ProductID]],Products[],3,FALSE)</f>
        <v>Male</v>
      </c>
      <c r="L270" s="2">
        <f>DAY(ORDERS[[#This Row],[OrderDate]])</f>
        <v>27</v>
      </c>
      <c r="M270" s="2">
        <f>YEAR(ORDERS[[#This Row],[OrderDate]])</f>
        <v>2012</v>
      </c>
    </row>
    <row r="271" spans="1:13" x14ac:dyDescent="0.3">
      <c r="A271">
        <v>270</v>
      </c>
      <c r="B271">
        <v>5</v>
      </c>
      <c r="C271">
        <v>6</v>
      </c>
      <c r="D271" s="1">
        <v>41118</v>
      </c>
      <c r="E271">
        <v>53</v>
      </c>
      <c r="F271">
        <f>VLOOKUP(ORDERS[[#This Row],[ProductID]],Products[],4,FALSE)</f>
        <v>28</v>
      </c>
      <c r="G271">
        <v>0</v>
      </c>
      <c r="H271">
        <f>(ORDERS[[#This Row],[UnitsOrdered]]*ORDERS[[#This Row],[unit price]])-(ORDERS[[#This Row],[UnitsOrdered]]*ORDERS[[#This Row],[unit price]]*ORDERS[[#This Row],[Discount]])</f>
        <v>1484</v>
      </c>
      <c r="I271" t="str">
        <f>VLOOKUP(ORDERS[[#This Row],[CustomerID]],customers[],2,FALSE)</f>
        <v>Rags to Riches</v>
      </c>
      <c r="J271" s="2" t="str">
        <f>VLOOKUP(ORDERS[[#This Row],[CustomerID]],customers[],4,FALSE)</f>
        <v>Las Vegas</v>
      </c>
      <c r="K271" s="2" t="str">
        <f>VLOOKUP(ORDERS[[#This Row],[ProductID]],Products[],3,FALSE)</f>
        <v>Female</v>
      </c>
      <c r="L271" s="2">
        <f>DAY(ORDERS[[#This Row],[OrderDate]])</f>
        <v>28</v>
      </c>
      <c r="M271" s="2">
        <f>YEAR(ORDERS[[#This Row],[OrderDate]])</f>
        <v>2012</v>
      </c>
    </row>
    <row r="272" spans="1:13" x14ac:dyDescent="0.3">
      <c r="A272">
        <v>271</v>
      </c>
      <c r="B272">
        <v>5</v>
      </c>
      <c r="C272">
        <v>8</v>
      </c>
      <c r="D272" s="1">
        <v>41118</v>
      </c>
      <c r="E272">
        <v>52</v>
      </c>
      <c r="F272">
        <f>VLOOKUP(ORDERS[[#This Row],[ProductID]],Products[],4,FALSE)</f>
        <v>27</v>
      </c>
      <c r="G272">
        <v>0</v>
      </c>
      <c r="H272">
        <f>(ORDERS[[#This Row],[UnitsOrdered]]*ORDERS[[#This Row],[unit price]])-(ORDERS[[#This Row],[UnitsOrdered]]*ORDERS[[#This Row],[unit price]]*ORDERS[[#This Row],[Discount]])</f>
        <v>1404</v>
      </c>
      <c r="I272" t="str">
        <f>VLOOKUP(ORDERS[[#This Row],[CustomerID]],customers[],2,FALSE)</f>
        <v>Rags to Riches</v>
      </c>
      <c r="J272" s="2" t="str">
        <f>VLOOKUP(ORDERS[[#This Row],[CustomerID]],customers[],4,FALSE)</f>
        <v>Las Vegas</v>
      </c>
      <c r="K272" s="2" t="str">
        <f>VLOOKUP(ORDERS[[#This Row],[ProductID]],Products[],3,FALSE)</f>
        <v>Female</v>
      </c>
      <c r="L272" s="2">
        <f>DAY(ORDERS[[#This Row],[OrderDate]])</f>
        <v>28</v>
      </c>
      <c r="M272" s="2">
        <f>YEAR(ORDERS[[#This Row],[OrderDate]])</f>
        <v>2012</v>
      </c>
    </row>
    <row r="273" spans="1:13" x14ac:dyDescent="0.3">
      <c r="A273">
        <v>272</v>
      </c>
      <c r="B273">
        <v>1</v>
      </c>
      <c r="C273">
        <v>5</v>
      </c>
      <c r="D273" s="1">
        <v>41119</v>
      </c>
      <c r="E273">
        <v>143</v>
      </c>
      <c r="F273">
        <f>VLOOKUP(ORDERS[[#This Row],[ProductID]],Products[],4,FALSE)</f>
        <v>16</v>
      </c>
      <c r="G273">
        <v>0</v>
      </c>
      <c r="H273">
        <f>(ORDERS[[#This Row],[UnitsOrdered]]*ORDERS[[#This Row],[unit price]])-(ORDERS[[#This Row],[UnitsOrdered]]*ORDERS[[#This Row],[unit price]]*ORDERS[[#This Row],[Discount]])</f>
        <v>2288</v>
      </c>
      <c r="I273" t="str">
        <f>VLOOKUP(ORDERS[[#This Row],[CustomerID]],customers[],2,FALSE)</f>
        <v>Threads</v>
      </c>
      <c r="J273" s="2" t="str">
        <f>VLOOKUP(ORDERS[[#This Row],[CustomerID]],customers[],4,FALSE)</f>
        <v>Seattle</v>
      </c>
      <c r="K273" s="2" t="str">
        <f>VLOOKUP(ORDERS[[#This Row],[ProductID]],Products[],3,FALSE)</f>
        <v>Female</v>
      </c>
      <c r="L273" s="2">
        <f>DAY(ORDERS[[#This Row],[OrderDate]])</f>
        <v>29</v>
      </c>
      <c r="M273" s="2">
        <f>YEAR(ORDERS[[#This Row],[OrderDate]])</f>
        <v>2012</v>
      </c>
    </row>
    <row r="274" spans="1:13" x14ac:dyDescent="0.3">
      <c r="A274">
        <v>273</v>
      </c>
      <c r="B274">
        <v>1</v>
      </c>
      <c r="C274">
        <v>10</v>
      </c>
      <c r="D274" s="1">
        <v>41120</v>
      </c>
      <c r="E274">
        <v>124</v>
      </c>
      <c r="F274">
        <f>VLOOKUP(ORDERS[[#This Row],[ProductID]],Products[],4,FALSE)</f>
        <v>35</v>
      </c>
      <c r="G274">
        <v>0</v>
      </c>
      <c r="H274">
        <f>(ORDERS[[#This Row],[UnitsOrdered]]*ORDERS[[#This Row],[unit price]])-(ORDERS[[#This Row],[UnitsOrdered]]*ORDERS[[#This Row],[unit price]]*ORDERS[[#This Row],[Discount]])</f>
        <v>4340</v>
      </c>
      <c r="I274" t="str">
        <f>VLOOKUP(ORDERS[[#This Row],[CustomerID]],customers[],2,FALSE)</f>
        <v>Threads</v>
      </c>
      <c r="J274" s="2" t="str">
        <f>VLOOKUP(ORDERS[[#This Row],[CustomerID]],customers[],4,FALSE)</f>
        <v>Seattle</v>
      </c>
      <c r="K274" s="2" t="str">
        <f>VLOOKUP(ORDERS[[#This Row],[ProductID]],Products[],3,FALSE)</f>
        <v>Male</v>
      </c>
      <c r="L274" s="2">
        <f>DAY(ORDERS[[#This Row],[OrderDate]])</f>
        <v>30</v>
      </c>
      <c r="M274" s="2">
        <f>YEAR(ORDERS[[#This Row],[OrderDate]])</f>
        <v>2012</v>
      </c>
    </row>
    <row r="275" spans="1:13" x14ac:dyDescent="0.3">
      <c r="A275">
        <v>274</v>
      </c>
      <c r="B275">
        <v>2</v>
      </c>
      <c r="C275">
        <v>1</v>
      </c>
      <c r="D275" s="1">
        <v>41120</v>
      </c>
      <c r="E275">
        <v>115</v>
      </c>
      <c r="F275">
        <f>VLOOKUP(ORDERS[[#This Row],[ProductID]],Products[],4,FALSE)</f>
        <v>20</v>
      </c>
      <c r="G275">
        <v>0.15000000599999999</v>
      </c>
      <c r="H275">
        <f>(ORDERS[[#This Row],[UnitsOrdered]]*ORDERS[[#This Row],[unit price]])-(ORDERS[[#This Row],[UnitsOrdered]]*ORDERS[[#This Row],[unit price]]*ORDERS[[#This Row],[Discount]])</f>
        <v>1954.9999862</v>
      </c>
      <c r="I275" t="str">
        <f>VLOOKUP(ORDERS[[#This Row],[CustomerID]],customers[],2,FALSE)</f>
        <v>A Shirts Life</v>
      </c>
      <c r="J275" s="2" t="str">
        <f>VLOOKUP(ORDERS[[#This Row],[CustomerID]],customers[],4,FALSE)</f>
        <v>Portland</v>
      </c>
      <c r="K275" s="2" t="str">
        <f>VLOOKUP(ORDERS[[#This Row],[ProductID]],Products[],3,FALSE)</f>
        <v>Both</v>
      </c>
      <c r="L275" s="2">
        <f>DAY(ORDERS[[#This Row],[OrderDate]])</f>
        <v>30</v>
      </c>
      <c r="M275" s="2">
        <f>YEAR(ORDERS[[#This Row],[OrderDate]])</f>
        <v>2012</v>
      </c>
    </row>
    <row r="276" spans="1:13" x14ac:dyDescent="0.3">
      <c r="A276">
        <v>275</v>
      </c>
      <c r="B276">
        <v>6</v>
      </c>
      <c r="C276">
        <v>10</v>
      </c>
      <c r="D276" s="1">
        <v>41120</v>
      </c>
      <c r="E276">
        <v>37</v>
      </c>
      <c r="F276">
        <f>VLOOKUP(ORDERS[[#This Row],[ProductID]],Products[],4,FALSE)</f>
        <v>35</v>
      </c>
      <c r="G276">
        <v>0</v>
      </c>
      <c r="H276">
        <f>(ORDERS[[#This Row],[UnitsOrdered]]*ORDERS[[#This Row],[unit price]])-(ORDERS[[#This Row],[UnitsOrdered]]*ORDERS[[#This Row],[unit price]]*ORDERS[[#This Row],[Discount]])</f>
        <v>1295</v>
      </c>
      <c r="I276" t="str">
        <f>VLOOKUP(ORDERS[[#This Row],[CustomerID]],customers[],2,FALSE)</f>
        <v>Abracadaba Ink</v>
      </c>
      <c r="J276" s="2" t="str">
        <f>VLOOKUP(ORDERS[[#This Row],[CustomerID]],customers[],4,FALSE)</f>
        <v>Salt Lake City</v>
      </c>
      <c r="K276" s="2" t="str">
        <f>VLOOKUP(ORDERS[[#This Row],[ProductID]],Products[],3,FALSE)</f>
        <v>Male</v>
      </c>
      <c r="L276" s="2">
        <f>DAY(ORDERS[[#This Row],[OrderDate]])</f>
        <v>30</v>
      </c>
      <c r="M276" s="2">
        <f>YEAR(ORDERS[[#This Row],[OrderDate]])</f>
        <v>2012</v>
      </c>
    </row>
    <row r="277" spans="1:13" x14ac:dyDescent="0.3">
      <c r="A277">
        <v>276</v>
      </c>
      <c r="B277">
        <v>5</v>
      </c>
      <c r="C277">
        <v>10</v>
      </c>
      <c r="D277" s="1">
        <v>41122</v>
      </c>
      <c r="E277">
        <v>45</v>
      </c>
      <c r="F277">
        <f>VLOOKUP(ORDERS[[#This Row],[ProductID]],Products[],4,FALSE)</f>
        <v>35</v>
      </c>
      <c r="G277">
        <v>0</v>
      </c>
      <c r="H277">
        <f>(ORDERS[[#This Row],[UnitsOrdered]]*ORDERS[[#This Row],[unit price]])-(ORDERS[[#This Row],[UnitsOrdered]]*ORDERS[[#This Row],[unit price]]*ORDERS[[#This Row],[Discount]])</f>
        <v>1575</v>
      </c>
      <c r="I277" t="str">
        <f>VLOOKUP(ORDERS[[#This Row],[CustomerID]],customers[],2,FALSE)</f>
        <v>Rags to Riches</v>
      </c>
      <c r="J277" s="2" t="str">
        <f>VLOOKUP(ORDERS[[#This Row],[CustomerID]],customers[],4,FALSE)</f>
        <v>Las Vegas</v>
      </c>
      <c r="K277" s="2" t="str">
        <f>VLOOKUP(ORDERS[[#This Row],[ProductID]],Products[],3,FALSE)</f>
        <v>Male</v>
      </c>
      <c r="L277" s="2">
        <f>DAY(ORDERS[[#This Row],[OrderDate]])</f>
        <v>1</v>
      </c>
      <c r="M277" s="2">
        <f>YEAR(ORDERS[[#This Row],[OrderDate]])</f>
        <v>2012</v>
      </c>
    </row>
    <row r="278" spans="1:13" x14ac:dyDescent="0.3">
      <c r="A278">
        <v>277</v>
      </c>
      <c r="B278">
        <v>1</v>
      </c>
      <c r="C278">
        <v>8</v>
      </c>
      <c r="D278" s="1">
        <v>41124</v>
      </c>
      <c r="E278">
        <v>79</v>
      </c>
      <c r="F278">
        <f>VLOOKUP(ORDERS[[#This Row],[ProductID]],Products[],4,FALSE)</f>
        <v>27</v>
      </c>
      <c r="G278">
        <v>0</v>
      </c>
      <c r="H278">
        <f>(ORDERS[[#This Row],[UnitsOrdered]]*ORDERS[[#This Row],[unit price]])-(ORDERS[[#This Row],[UnitsOrdered]]*ORDERS[[#This Row],[unit price]]*ORDERS[[#This Row],[Discount]])</f>
        <v>2133</v>
      </c>
      <c r="I278" t="str">
        <f>VLOOKUP(ORDERS[[#This Row],[CustomerID]],customers[],2,FALSE)</f>
        <v>Threads</v>
      </c>
      <c r="J278" s="2" t="str">
        <f>VLOOKUP(ORDERS[[#This Row],[CustomerID]],customers[],4,FALSE)</f>
        <v>Seattle</v>
      </c>
      <c r="K278" s="2" t="str">
        <f>VLOOKUP(ORDERS[[#This Row],[ProductID]],Products[],3,FALSE)</f>
        <v>Female</v>
      </c>
      <c r="L278" s="2">
        <f>DAY(ORDERS[[#This Row],[OrderDate]])</f>
        <v>3</v>
      </c>
      <c r="M278" s="2">
        <f>YEAR(ORDERS[[#This Row],[OrderDate]])</f>
        <v>2012</v>
      </c>
    </row>
    <row r="279" spans="1:13" x14ac:dyDescent="0.3">
      <c r="A279">
        <v>278</v>
      </c>
      <c r="B279">
        <v>7</v>
      </c>
      <c r="C279">
        <v>2</v>
      </c>
      <c r="D279" s="1">
        <v>41125</v>
      </c>
      <c r="E279">
        <v>110</v>
      </c>
      <c r="F279">
        <f>VLOOKUP(ORDERS[[#This Row],[ProductID]],Products[],4,FALSE)</f>
        <v>30</v>
      </c>
      <c r="G279">
        <v>0</v>
      </c>
      <c r="H279">
        <f>(ORDERS[[#This Row],[UnitsOrdered]]*ORDERS[[#This Row],[unit price]])-(ORDERS[[#This Row],[UnitsOrdered]]*ORDERS[[#This Row],[unit price]]*ORDERS[[#This Row],[Discount]])</f>
        <v>3300</v>
      </c>
      <c r="I279" t="str">
        <f>VLOOKUP(ORDERS[[#This Row],[CustomerID]],customers[],2,FALSE)</f>
        <v>The Shirt on Your Back</v>
      </c>
      <c r="J279" s="2" t="str">
        <f>VLOOKUP(ORDERS[[#This Row],[CustomerID]],customers[],4,FALSE)</f>
        <v>Bonners Ferry</v>
      </c>
      <c r="K279" s="2" t="str">
        <f>VLOOKUP(ORDERS[[#This Row],[ProductID]],Products[],3,FALSE)</f>
        <v>Both</v>
      </c>
      <c r="L279" s="2">
        <f>DAY(ORDERS[[#This Row],[OrderDate]])</f>
        <v>4</v>
      </c>
      <c r="M279" s="2">
        <f>YEAR(ORDERS[[#This Row],[OrderDate]])</f>
        <v>2012</v>
      </c>
    </row>
    <row r="280" spans="1:13" x14ac:dyDescent="0.3">
      <c r="A280">
        <v>279</v>
      </c>
      <c r="B280">
        <v>3</v>
      </c>
      <c r="C280">
        <v>4</v>
      </c>
      <c r="D280" s="1">
        <v>41127</v>
      </c>
      <c r="E280">
        <v>70</v>
      </c>
      <c r="F280">
        <f>VLOOKUP(ORDERS[[#This Row],[ProductID]],Products[],4,FALSE)</f>
        <v>30</v>
      </c>
      <c r="G280">
        <v>0</v>
      </c>
      <c r="H280">
        <f>(ORDERS[[#This Row],[UnitsOrdered]]*ORDERS[[#This Row],[unit price]])-(ORDERS[[#This Row],[UnitsOrdered]]*ORDERS[[#This Row],[unit price]]*ORDERS[[#This Row],[Discount]])</f>
        <v>2100</v>
      </c>
      <c r="I280" t="str">
        <f>VLOOKUP(ORDERS[[#This Row],[CustomerID]],customers[],2,FALSE)</f>
        <v>Shirts R Us</v>
      </c>
      <c r="J280" s="2" t="str">
        <f>VLOOKUP(ORDERS[[#This Row],[CustomerID]],customers[],4,FALSE)</f>
        <v>Los Angeles</v>
      </c>
      <c r="K280" s="2" t="str">
        <f>VLOOKUP(ORDERS[[#This Row],[ProductID]],Products[],3,FALSE)</f>
        <v>Both</v>
      </c>
      <c r="L280" s="2">
        <f>DAY(ORDERS[[#This Row],[OrderDate]])</f>
        <v>6</v>
      </c>
      <c r="M280" s="2">
        <f>YEAR(ORDERS[[#This Row],[OrderDate]])</f>
        <v>2012</v>
      </c>
    </row>
    <row r="281" spans="1:13" x14ac:dyDescent="0.3">
      <c r="A281">
        <v>280</v>
      </c>
      <c r="B281">
        <v>4</v>
      </c>
      <c r="C281">
        <v>2</v>
      </c>
      <c r="D281" s="1">
        <v>41131</v>
      </c>
      <c r="E281">
        <v>96</v>
      </c>
      <c r="F281">
        <f>VLOOKUP(ORDERS[[#This Row],[ProductID]],Products[],4,FALSE)</f>
        <v>30</v>
      </c>
      <c r="G281">
        <v>5.0000001000000002E-2</v>
      </c>
      <c r="H281">
        <f>(ORDERS[[#This Row],[UnitsOrdered]]*ORDERS[[#This Row],[unit price]])-(ORDERS[[#This Row],[UnitsOrdered]]*ORDERS[[#This Row],[unit price]]*ORDERS[[#This Row],[Discount]])</f>
        <v>2735.99999712</v>
      </c>
      <c r="I281" t="str">
        <f>VLOOKUP(ORDERS[[#This Row],[CustomerID]],customers[],2,FALSE)</f>
        <v>Tshirt Unlimited</v>
      </c>
      <c r="J281" s="2" t="str">
        <f>VLOOKUP(ORDERS[[#This Row],[CustomerID]],customers[],4,FALSE)</f>
        <v>Phoenix</v>
      </c>
      <c r="K281" s="2" t="str">
        <f>VLOOKUP(ORDERS[[#This Row],[ProductID]],Products[],3,FALSE)</f>
        <v>Both</v>
      </c>
      <c r="L281" s="2">
        <f>DAY(ORDERS[[#This Row],[OrderDate]])</f>
        <v>10</v>
      </c>
      <c r="M281" s="2">
        <f>YEAR(ORDERS[[#This Row],[OrderDate]])</f>
        <v>2012</v>
      </c>
    </row>
    <row r="282" spans="1:13" x14ac:dyDescent="0.3">
      <c r="A282">
        <v>281</v>
      </c>
      <c r="B282">
        <v>1</v>
      </c>
      <c r="C282">
        <v>1</v>
      </c>
      <c r="D282" s="1">
        <v>41133</v>
      </c>
      <c r="E282">
        <v>125</v>
      </c>
      <c r="F282">
        <f>VLOOKUP(ORDERS[[#This Row],[ProductID]],Products[],4,FALSE)</f>
        <v>20</v>
      </c>
      <c r="G282">
        <v>0</v>
      </c>
      <c r="H282">
        <f>(ORDERS[[#This Row],[UnitsOrdered]]*ORDERS[[#This Row],[unit price]])-(ORDERS[[#This Row],[UnitsOrdered]]*ORDERS[[#This Row],[unit price]]*ORDERS[[#This Row],[Discount]])</f>
        <v>2500</v>
      </c>
      <c r="I282" t="str">
        <f>VLOOKUP(ORDERS[[#This Row],[CustomerID]],customers[],2,FALSE)</f>
        <v>Threads</v>
      </c>
      <c r="J282" s="2" t="str">
        <f>VLOOKUP(ORDERS[[#This Row],[CustomerID]],customers[],4,FALSE)</f>
        <v>Seattle</v>
      </c>
      <c r="K282" s="2" t="str">
        <f>VLOOKUP(ORDERS[[#This Row],[ProductID]],Products[],3,FALSE)</f>
        <v>Both</v>
      </c>
      <c r="L282" s="2">
        <f>DAY(ORDERS[[#This Row],[OrderDate]])</f>
        <v>12</v>
      </c>
      <c r="M282" s="2">
        <f>YEAR(ORDERS[[#This Row],[OrderDate]])</f>
        <v>2012</v>
      </c>
    </row>
    <row r="283" spans="1:13" x14ac:dyDescent="0.3">
      <c r="A283">
        <v>282</v>
      </c>
      <c r="B283">
        <v>6</v>
      </c>
      <c r="C283">
        <v>1</v>
      </c>
      <c r="D283" s="1">
        <v>41134</v>
      </c>
      <c r="E283">
        <v>51</v>
      </c>
      <c r="F283">
        <f>VLOOKUP(ORDERS[[#This Row],[ProductID]],Products[],4,FALSE)</f>
        <v>20</v>
      </c>
      <c r="G283">
        <v>5.0000001000000002E-2</v>
      </c>
      <c r="H283">
        <f>(ORDERS[[#This Row],[UnitsOrdered]]*ORDERS[[#This Row],[unit price]])-(ORDERS[[#This Row],[UnitsOrdered]]*ORDERS[[#This Row],[unit price]]*ORDERS[[#This Row],[Discount]])</f>
        <v>968.99999897999999</v>
      </c>
      <c r="I283" t="str">
        <f>VLOOKUP(ORDERS[[#This Row],[CustomerID]],customers[],2,FALSE)</f>
        <v>Abracadaba Ink</v>
      </c>
      <c r="J283" s="2" t="str">
        <f>VLOOKUP(ORDERS[[#This Row],[CustomerID]],customers[],4,FALSE)</f>
        <v>Salt Lake City</v>
      </c>
      <c r="K283" s="2" t="str">
        <f>VLOOKUP(ORDERS[[#This Row],[ProductID]],Products[],3,FALSE)</f>
        <v>Both</v>
      </c>
      <c r="L283" s="2">
        <f>DAY(ORDERS[[#This Row],[OrderDate]])</f>
        <v>13</v>
      </c>
      <c r="M283" s="2">
        <f>YEAR(ORDERS[[#This Row],[OrderDate]])</f>
        <v>2012</v>
      </c>
    </row>
    <row r="284" spans="1:13" x14ac:dyDescent="0.3">
      <c r="A284">
        <v>283</v>
      </c>
      <c r="B284">
        <v>7</v>
      </c>
      <c r="C284">
        <v>8</v>
      </c>
      <c r="D284" s="1">
        <v>41134</v>
      </c>
      <c r="E284">
        <v>79</v>
      </c>
      <c r="F284">
        <f>VLOOKUP(ORDERS[[#This Row],[ProductID]],Products[],4,FALSE)</f>
        <v>27</v>
      </c>
      <c r="G284">
        <v>0</v>
      </c>
      <c r="H284">
        <f>(ORDERS[[#This Row],[UnitsOrdered]]*ORDERS[[#This Row],[unit price]])-(ORDERS[[#This Row],[UnitsOrdered]]*ORDERS[[#This Row],[unit price]]*ORDERS[[#This Row],[Discount]])</f>
        <v>2133</v>
      </c>
      <c r="I284" t="str">
        <f>VLOOKUP(ORDERS[[#This Row],[CustomerID]],customers[],2,FALSE)</f>
        <v>The Shirt on Your Back</v>
      </c>
      <c r="J284" s="2" t="str">
        <f>VLOOKUP(ORDERS[[#This Row],[CustomerID]],customers[],4,FALSE)</f>
        <v>Bonners Ferry</v>
      </c>
      <c r="K284" s="2" t="str">
        <f>VLOOKUP(ORDERS[[#This Row],[ProductID]],Products[],3,FALSE)</f>
        <v>Female</v>
      </c>
      <c r="L284" s="2">
        <f>DAY(ORDERS[[#This Row],[OrderDate]])</f>
        <v>13</v>
      </c>
      <c r="M284" s="2">
        <f>YEAR(ORDERS[[#This Row],[OrderDate]])</f>
        <v>2012</v>
      </c>
    </row>
    <row r="285" spans="1:13" x14ac:dyDescent="0.3">
      <c r="A285">
        <v>284</v>
      </c>
      <c r="B285">
        <v>3</v>
      </c>
      <c r="C285">
        <v>5</v>
      </c>
      <c r="D285" s="1">
        <v>41135</v>
      </c>
      <c r="E285">
        <v>76</v>
      </c>
      <c r="F285">
        <f>VLOOKUP(ORDERS[[#This Row],[ProductID]],Products[],4,FALSE)</f>
        <v>16</v>
      </c>
      <c r="G285">
        <v>0.10000000100000001</v>
      </c>
      <c r="H285">
        <f>(ORDERS[[#This Row],[UnitsOrdered]]*ORDERS[[#This Row],[unit price]])-(ORDERS[[#This Row],[UnitsOrdered]]*ORDERS[[#This Row],[unit price]]*ORDERS[[#This Row],[Discount]])</f>
        <v>1094.399998784</v>
      </c>
      <c r="I285" t="str">
        <f>VLOOKUP(ORDERS[[#This Row],[CustomerID]],customers[],2,FALSE)</f>
        <v>Shirts R Us</v>
      </c>
      <c r="J285" s="2" t="str">
        <f>VLOOKUP(ORDERS[[#This Row],[CustomerID]],customers[],4,FALSE)</f>
        <v>Los Angeles</v>
      </c>
      <c r="K285" s="2" t="str">
        <f>VLOOKUP(ORDERS[[#This Row],[ProductID]],Products[],3,FALSE)</f>
        <v>Female</v>
      </c>
      <c r="L285" s="2">
        <f>DAY(ORDERS[[#This Row],[OrderDate]])</f>
        <v>14</v>
      </c>
      <c r="M285" s="2">
        <f>YEAR(ORDERS[[#This Row],[OrderDate]])</f>
        <v>2012</v>
      </c>
    </row>
    <row r="286" spans="1:13" x14ac:dyDescent="0.3">
      <c r="A286">
        <v>285</v>
      </c>
      <c r="B286">
        <v>5</v>
      </c>
      <c r="C286">
        <v>1</v>
      </c>
      <c r="D286" s="1">
        <v>41135</v>
      </c>
      <c r="E286">
        <v>105</v>
      </c>
      <c r="F286">
        <f>VLOOKUP(ORDERS[[#This Row],[ProductID]],Products[],4,FALSE)</f>
        <v>20</v>
      </c>
      <c r="G286">
        <v>0</v>
      </c>
      <c r="H286">
        <f>(ORDERS[[#This Row],[UnitsOrdered]]*ORDERS[[#This Row],[unit price]])-(ORDERS[[#This Row],[UnitsOrdered]]*ORDERS[[#This Row],[unit price]]*ORDERS[[#This Row],[Discount]])</f>
        <v>2100</v>
      </c>
      <c r="I286" t="str">
        <f>VLOOKUP(ORDERS[[#This Row],[CustomerID]],customers[],2,FALSE)</f>
        <v>Rags to Riches</v>
      </c>
      <c r="J286" s="2" t="str">
        <f>VLOOKUP(ORDERS[[#This Row],[CustomerID]],customers[],4,FALSE)</f>
        <v>Las Vegas</v>
      </c>
      <c r="K286" s="2" t="str">
        <f>VLOOKUP(ORDERS[[#This Row],[ProductID]],Products[],3,FALSE)</f>
        <v>Both</v>
      </c>
      <c r="L286" s="2">
        <f>DAY(ORDERS[[#This Row],[OrderDate]])</f>
        <v>14</v>
      </c>
      <c r="M286" s="2">
        <f>YEAR(ORDERS[[#This Row],[OrderDate]])</f>
        <v>2012</v>
      </c>
    </row>
    <row r="287" spans="1:13" x14ac:dyDescent="0.3">
      <c r="A287">
        <v>286</v>
      </c>
      <c r="B287">
        <v>1</v>
      </c>
      <c r="C287">
        <v>6</v>
      </c>
      <c r="D287" s="1">
        <v>41136</v>
      </c>
      <c r="E287">
        <v>86</v>
      </c>
      <c r="F287">
        <f>VLOOKUP(ORDERS[[#This Row],[ProductID]],Products[],4,FALSE)</f>
        <v>28</v>
      </c>
      <c r="G287">
        <v>0</v>
      </c>
      <c r="H287">
        <f>(ORDERS[[#This Row],[UnitsOrdered]]*ORDERS[[#This Row],[unit price]])-(ORDERS[[#This Row],[UnitsOrdered]]*ORDERS[[#This Row],[unit price]]*ORDERS[[#This Row],[Discount]])</f>
        <v>2408</v>
      </c>
      <c r="I287" t="str">
        <f>VLOOKUP(ORDERS[[#This Row],[CustomerID]],customers[],2,FALSE)</f>
        <v>Threads</v>
      </c>
      <c r="J287" s="2" t="str">
        <f>VLOOKUP(ORDERS[[#This Row],[CustomerID]],customers[],4,FALSE)</f>
        <v>Seattle</v>
      </c>
      <c r="K287" s="2" t="str">
        <f>VLOOKUP(ORDERS[[#This Row],[ProductID]],Products[],3,FALSE)</f>
        <v>Female</v>
      </c>
      <c r="L287" s="2">
        <f>DAY(ORDERS[[#This Row],[OrderDate]])</f>
        <v>15</v>
      </c>
      <c r="M287" s="2">
        <f>YEAR(ORDERS[[#This Row],[OrderDate]])</f>
        <v>2012</v>
      </c>
    </row>
    <row r="288" spans="1:13" x14ac:dyDescent="0.3">
      <c r="A288">
        <v>287</v>
      </c>
      <c r="B288">
        <v>7</v>
      </c>
      <c r="C288">
        <v>2</v>
      </c>
      <c r="D288" s="1">
        <v>41136</v>
      </c>
      <c r="E288">
        <v>108</v>
      </c>
      <c r="F288">
        <f>VLOOKUP(ORDERS[[#This Row],[ProductID]],Products[],4,FALSE)</f>
        <v>30</v>
      </c>
      <c r="G288">
        <v>0</v>
      </c>
      <c r="H288">
        <f>(ORDERS[[#This Row],[UnitsOrdered]]*ORDERS[[#This Row],[unit price]])-(ORDERS[[#This Row],[UnitsOrdered]]*ORDERS[[#This Row],[unit price]]*ORDERS[[#This Row],[Discount]])</f>
        <v>3240</v>
      </c>
      <c r="I288" t="str">
        <f>VLOOKUP(ORDERS[[#This Row],[CustomerID]],customers[],2,FALSE)</f>
        <v>The Shirt on Your Back</v>
      </c>
      <c r="J288" s="2" t="str">
        <f>VLOOKUP(ORDERS[[#This Row],[CustomerID]],customers[],4,FALSE)</f>
        <v>Bonners Ferry</v>
      </c>
      <c r="K288" s="2" t="str">
        <f>VLOOKUP(ORDERS[[#This Row],[ProductID]],Products[],3,FALSE)</f>
        <v>Both</v>
      </c>
      <c r="L288" s="2">
        <f>DAY(ORDERS[[#This Row],[OrderDate]])</f>
        <v>15</v>
      </c>
      <c r="M288" s="2">
        <f>YEAR(ORDERS[[#This Row],[OrderDate]])</f>
        <v>2012</v>
      </c>
    </row>
    <row r="289" spans="1:13" x14ac:dyDescent="0.3">
      <c r="A289">
        <v>288</v>
      </c>
      <c r="B289">
        <v>5</v>
      </c>
      <c r="C289">
        <v>8</v>
      </c>
      <c r="D289" s="1">
        <v>41137</v>
      </c>
      <c r="E289">
        <v>27</v>
      </c>
      <c r="F289">
        <f>VLOOKUP(ORDERS[[#This Row],[ProductID]],Products[],4,FALSE)</f>
        <v>27</v>
      </c>
      <c r="G289">
        <v>0.10000000100000001</v>
      </c>
      <c r="H289">
        <f>(ORDERS[[#This Row],[UnitsOrdered]]*ORDERS[[#This Row],[unit price]])-(ORDERS[[#This Row],[UnitsOrdered]]*ORDERS[[#This Row],[unit price]]*ORDERS[[#This Row],[Discount]])</f>
        <v>656.099999271</v>
      </c>
      <c r="I289" t="str">
        <f>VLOOKUP(ORDERS[[#This Row],[CustomerID]],customers[],2,FALSE)</f>
        <v>Rags to Riches</v>
      </c>
      <c r="J289" s="2" t="str">
        <f>VLOOKUP(ORDERS[[#This Row],[CustomerID]],customers[],4,FALSE)</f>
        <v>Las Vegas</v>
      </c>
      <c r="K289" s="2" t="str">
        <f>VLOOKUP(ORDERS[[#This Row],[ProductID]],Products[],3,FALSE)</f>
        <v>Female</v>
      </c>
      <c r="L289" s="2">
        <f>DAY(ORDERS[[#This Row],[OrderDate]])</f>
        <v>16</v>
      </c>
      <c r="M289" s="2">
        <f>YEAR(ORDERS[[#This Row],[OrderDate]])</f>
        <v>2012</v>
      </c>
    </row>
    <row r="290" spans="1:13" x14ac:dyDescent="0.3">
      <c r="A290">
        <v>289</v>
      </c>
      <c r="B290">
        <v>6</v>
      </c>
      <c r="C290">
        <v>2</v>
      </c>
      <c r="D290" s="1">
        <v>41137</v>
      </c>
      <c r="E290">
        <v>64</v>
      </c>
      <c r="F290">
        <f>VLOOKUP(ORDERS[[#This Row],[ProductID]],Products[],4,FALSE)</f>
        <v>30</v>
      </c>
      <c r="G290">
        <v>0</v>
      </c>
      <c r="H290">
        <f>(ORDERS[[#This Row],[UnitsOrdered]]*ORDERS[[#This Row],[unit price]])-(ORDERS[[#This Row],[UnitsOrdered]]*ORDERS[[#This Row],[unit price]]*ORDERS[[#This Row],[Discount]])</f>
        <v>1920</v>
      </c>
      <c r="I290" t="str">
        <f>VLOOKUP(ORDERS[[#This Row],[CustomerID]],customers[],2,FALSE)</f>
        <v>Abracadaba Ink</v>
      </c>
      <c r="J290" s="2" t="str">
        <f>VLOOKUP(ORDERS[[#This Row],[CustomerID]],customers[],4,FALSE)</f>
        <v>Salt Lake City</v>
      </c>
      <c r="K290" s="2" t="str">
        <f>VLOOKUP(ORDERS[[#This Row],[ProductID]],Products[],3,FALSE)</f>
        <v>Both</v>
      </c>
      <c r="L290" s="2">
        <f>DAY(ORDERS[[#This Row],[OrderDate]])</f>
        <v>16</v>
      </c>
      <c r="M290" s="2">
        <f>YEAR(ORDERS[[#This Row],[OrderDate]])</f>
        <v>2012</v>
      </c>
    </row>
    <row r="291" spans="1:13" x14ac:dyDescent="0.3">
      <c r="A291">
        <v>290</v>
      </c>
      <c r="B291">
        <v>7</v>
      </c>
      <c r="C291">
        <v>10</v>
      </c>
      <c r="D291" s="1">
        <v>41137</v>
      </c>
      <c r="E291">
        <v>136</v>
      </c>
      <c r="F291">
        <f>VLOOKUP(ORDERS[[#This Row],[ProductID]],Products[],4,FALSE)</f>
        <v>35</v>
      </c>
      <c r="G291">
        <v>0</v>
      </c>
      <c r="H291">
        <f>(ORDERS[[#This Row],[UnitsOrdered]]*ORDERS[[#This Row],[unit price]])-(ORDERS[[#This Row],[UnitsOrdered]]*ORDERS[[#This Row],[unit price]]*ORDERS[[#This Row],[Discount]])</f>
        <v>4760</v>
      </c>
      <c r="I291" t="str">
        <f>VLOOKUP(ORDERS[[#This Row],[CustomerID]],customers[],2,FALSE)</f>
        <v>The Shirt on Your Back</v>
      </c>
      <c r="J291" s="2" t="str">
        <f>VLOOKUP(ORDERS[[#This Row],[CustomerID]],customers[],4,FALSE)</f>
        <v>Bonners Ferry</v>
      </c>
      <c r="K291" s="2" t="str">
        <f>VLOOKUP(ORDERS[[#This Row],[ProductID]],Products[],3,FALSE)</f>
        <v>Male</v>
      </c>
      <c r="L291" s="2">
        <f>DAY(ORDERS[[#This Row],[OrderDate]])</f>
        <v>16</v>
      </c>
      <c r="M291" s="2">
        <f>YEAR(ORDERS[[#This Row],[OrderDate]])</f>
        <v>2012</v>
      </c>
    </row>
    <row r="292" spans="1:13" x14ac:dyDescent="0.3">
      <c r="A292">
        <v>291</v>
      </c>
      <c r="B292">
        <v>7</v>
      </c>
      <c r="C292">
        <v>5</v>
      </c>
      <c r="D292" s="1">
        <v>41138</v>
      </c>
      <c r="E292">
        <v>33</v>
      </c>
      <c r="F292">
        <f>VLOOKUP(ORDERS[[#This Row],[ProductID]],Products[],4,FALSE)</f>
        <v>16</v>
      </c>
      <c r="G292">
        <v>0</v>
      </c>
      <c r="H292">
        <f>(ORDERS[[#This Row],[UnitsOrdered]]*ORDERS[[#This Row],[unit price]])-(ORDERS[[#This Row],[UnitsOrdered]]*ORDERS[[#This Row],[unit price]]*ORDERS[[#This Row],[Discount]])</f>
        <v>528</v>
      </c>
      <c r="I292" t="str">
        <f>VLOOKUP(ORDERS[[#This Row],[CustomerID]],customers[],2,FALSE)</f>
        <v>The Shirt on Your Back</v>
      </c>
      <c r="J292" s="2" t="str">
        <f>VLOOKUP(ORDERS[[#This Row],[CustomerID]],customers[],4,FALSE)</f>
        <v>Bonners Ferry</v>
      </c>
      <c r="K292" s="2" t="str">
        <f>VLOOKUP(ORDERS[[#This Row],[ProductID]],Products[],3,FALSE)</f>
        <v>Female</v>
      </c>
      <c r="L292" s="2">
        <f>DAY(ORDERS[[#This Row],[OrderDate]])</f>
        <v>17</v>
      </c>
      <c r="M292" s="2">
        <f>YEAR(ORDERS[[#This Row],[OrderDate]])</f>
        <v>2012</v>
      </c>
    </row>
    <row r="293" spans="1:13" x14ac:dyDescent="0.3">
      <c r="A293">
        <v>292</v>
      </c>
      <c r="B293">
        <v>4</v>
      </c>
      <c r="C293">
        <v>2</v>
      </c>
      <c r="D293" s="1">
        <v>41143</v>
      </c>
      <c r="E293">
        <v>107</v>
      </c>
      <c r="F293">
        <f>VLOOKUP(ORDERS[[#This Row],[ProductID]],Products[],4,FALSE)</f>
        <v>30</v>
      </c>
      <c r="G293">
        <v>0</v>
      </c>
      <c r="H293">
        <f>(ORDERS[[#This Row],[UnitsOrdered]]*ORDERS[[#This Row],[unit price]])-(ORDERS[[#This Row],[UnitsOrdered]]*ORDERS[[#This Row],[unit price]]*ORDERS[[#This Row],[Discount]])</f>
        <v>3210</v>
      </c>
      <c r="I293" t="str">
        <f>VLOOKUP(ORDERS[[#This Row],[CustomerID]],customers[],2,FALSE)</f>
        <v>Tshirt Unlimited</v>
      </c>
      <c r="J293" s="2" t="str">
        <f>VLOOKUP(ORDERS[[#This Row],[CustomerID]],customers[],4,FALSE)</f>
        <v>Phoenix</v>
      </c>
      <c r="K293" s="2" t="str">
        <f>VLOOKUP(ORDERS[[#This Row],[ProductID]],Products[],3,FALSE)</f>
        <v>Both</v>
      </c>
      <c r="L293" s="2">
        <f>DAY(ORDERS[[#This Row],[OrderDate]])</f>
        <v>22</v>
      </c>
      <c r="M293" s="2">
        <f>YEAR(ORDERS[[#This Row],[OrderDate]])</f>
        <v>2012</v>
      </c>
    </row>
    <row r="294" spans="1:13" x14ac:dyDescent="0.3">
      <c r="A294">
        <v>293</v>
      </c>
      <c r="B294">
        <v>6</v>
      </c>
      <c r="C294">
        <v>10</v>
      </c>
      <c r="D294" s="1">
        <v>41143</v>
      </c>
      <c r="E294">
        <v>56</v>
      </c>
      <c r="F294">
        <f>VLOOKUP(ORDERS[[#This Row],[ProductID]],Products[],4,FALSE)</f>
        <v>35</v>
      </c>
      <c r="G294">
        <v>5.0000001000000002E-2</v>
      </c>
      <c r="H294">
        <f>(ORDERS[[#This Row],[UnitsOrdered]]*ORDERS[[#This Row],[unit price]])-(ORDERS[[#This Row],[UnitsOrdered]]*ORDERS[[#This Row],[unit price]]*ORDERS[[#This Row],[Discount]])</f>
        <v>1861.99999804</v>
      </c>
      <c r="I294" t="str">
        <f>VLOOKUP(ORDERS[[#This Row],[CustomerID]],customers[],2,FALSE)</f>
        <v>Abracadaba Ink</v>
      </c>
      <c r="J294" s="2" t="str">
        <f>VLOOKUP(ORDERS[[#This Row],[CustomerID]],customers[],4,FALSE)</f>
        <v>Salt Lake City</v>
      </c>
      <c r="K294" s="2" t="str">
        <f>VLOOKUP(ORDERS[[#This Row],[ProductID]],Products[],3,FALSE)</f>
        <v>Male</v>
      </c>
      <c r="L294" s="2">
        <f>DAY(ORDERS[[#This Row],[OrderDate]])</f>
        <v>22</v>
      </c>
      <c r="M294" s="2">
        <f>YEAR(ORDERS[[#This Row],[OrderDate]])</f>
        <v>2012</v>
      </c>
    </row>
    <row r="295" spans="1:13" x14ac:dyDescent="0.3">
      <c r="A295">
        <v>294</v>
      </c>
      <c r="B295">
        <v>4</v>
      </c>
      <c r="C295">
        <v>1</v>
      </c>
      <c r="D295" s="1">
        <v>41144</v>
      </c>
      <c r="E295">
        <v>106</v>
      </c>
      <c r="F295">
        <f>VLOOKUP(ORDERS[[#This Row],[ProductID]],Products[],4,FALSE)</f>
        <v>20</v>
      </c>
      <c r="G295">
        <v>5.0000001000000002E-2</v>
      </c>
      <c r="H295">
        <f>(ORDERS[[#This Row],[UnitsOrdered]]*ORDERS[[#This Row],[unit price]])-(ORDERS[[#This Row],[UnitsOrdered]]*ORDERS[[#This Row],[unit price]]*ORDERS[[#This Row],[Discount]])</f>
        <v>2013.9999978799999</v>
      </c>
      <c r="I295" t="str">
        <f>VLOOKUP(ORDERS[[#This Row],[CustomerID]],customers[],2,FALSE)</f>
        <v>Tshirt Unlimited</v>
      </c>
      <c r="J295" s="2" t="str">
        <f>VLOOKUP(ORDERS[[#This Row],[CustomerID]],customers[],4,FALSE)</f>
        <v>Phoenix</v>
      </c>
      <c r="K295" s="2" t="str">
        <f>VLOOKUP(ORDERS[[#This Row],[ProductID]],Products[],3,FALSE)</f>
        <v>Both</v>
      </c>
      <c r="L295" s="2">
        <f>DAY(ORDERS[[#This Row],[OrderDate]])</f>
        <v>23</v>
      </c>
      <c r="M295" s="2">
        <f>YEAR(ORDERS[[#This Row],[OrderDate]])</f>
        <v>2012</v>
      </c>
    </row>
    <row r="296" spans="1:13" x14ac:dyDescent="0.3">
      <c r="A296">
        <v>295</v>
      </c>
      <c r="B296">
        <v>5</v>
      </c>
      <c r="C296">
        <v>2</v>
      </c>
      <c r="D296" s="1">
        <v>41144</v>
      </c>
      <c r="E296">
        <v>84</v>
      </c>
      <c r="F296">
        <f>VLOOKUP(ORDERS[[#This Row],[ProductID]],Products[],4,FALSE)</f>
        <v>30</v>
      </c>
      <c r="G296">
        <v>0</v>
      </c>
      <c r="H296">
        <f>(ORDERS[[#This Row],[UnitsOrdered]]*ORDERS[[#This Row],[unit price]])-(ORDERS[[#This Row],[UnitsOrdered]]*ORDERS[[#This Row],[unit price]]*ORDERS[[#This Row],[Discount]])</f>
        <v>2520</v>
      </c>
      <c r="I296" t="str">
        <f>VLOOKUP(ORDERS[[#This Row],[CustomerID]],customers[],2,FALSE)</f>
        <v>Rags to Riches</v>
      </c>
      <c r="J296" s="2" t="str">
        <f>VLOOKUP(ORDERS[[#This Row],[CustomerID]],customers[],4,FALSE)</f>
        <v>Las Vegas</v>
      </c>
      <c r="K296" s="2" t="str">
        <f>VLOOKUP(ORDERS[[#This Row],[ProductID]],Products[],3,FALSE)</f>
        <v>Both</v>
      </c>
      <c r="L296" s="2">
        <f>DAY(ORDERS[[#This Row],[OrderDate]])</f>
        <v>23</v>
      </c>
      <c r="M296" s="2">
        <f>YEAR(ORDERS[[#This Row],[OrderDate]])</f>
        <v>2012</v>
      </c>
    </row>
    <row r="297" spans="1:13" x14ac:dyDescent="0.3">
      <c r="A297">
        <v>296</v>
      </c>
      <c r="B297">
        <v>1</v>
      </c>
      <c r="C297">
        <v>7</v>
      </c>
      <c r="D297" s="1">
        <v>41147</v>
      </c>
      <c r="E297">
        <v>66</v>
      </c>
      <c r="F297">
        <f>VLOOKUP(ORDERS[[#This Row],[ProductID]],Products[],4,FALSE)</f>
        <v>38</v>
      </c>
      <c r="G297">
        <v>0</v>
      </c>
      <c r="H297">
        <f>(ORDERS[[#This Row],[UnitsOrdered]]*ORDERS[[#This Row],[unit price]])-(ORDERS[[#This Row],[UnitsOrdered]]*ORDERS[[#This Row],[unit price]]*ORDERS[[#This Row],[Discount]])</f>
        <v>2508</v>
      </c>
      <c r="I297" t="str">
        <f>VLOOKUP(ORDERS[[#This Row],[CustomerID]],customers[],2,FALSE)</f>
        <v>Threads</v>
      </c>
      <c r="J297" s="2" t="str">
        <f>VLOOKUP(ORDERS[[#This Row],[CustomerID]],customers[],4,FALSE)</f>
        <v>Seattle</v>
      </c>
      <c r="K297" s="2" t="str">
        <f>VLOOKUP(ORDERS[[#This Row],[ProductID]],Products[],3,FALSE)</f>
        <v>Female</v>
      </c>
      <c r="L297" s="2">
        <f>DAY(ORDERS[[#This Row],[OrderDate]])</f>
        <v>26</v>
      </c>
      <c r="M297" s="2">
        <f>YEAR(ORDERS[[#This Row],[OrderDate]])</f>
        <v>2012</v>
      </c>
    </row>
    <row r="298" spans="1:13" x14ac:dyDescent="0.3">
      <c r="A298">
        <v>297</v>
      </c>
      <c r="B298">
        <v>1</v>
      </c>
      <c r="C298">
        <v>9</v>
      </c>
      <c r="D298" s="1">
        <v>41147</v>
      </c>
      <c r="E298">
        <v>71</v>
      </c>
      <c r="F298">
        <f>VLOOKUP(ORDERS[[#This Row],[ProductID]],Products[],4,FALSE)</f>
        <v>25</v>
      </c>
      <c r="G298">
        <v>0</v>
      </c>
      <c r="H298">
        <f>(ORDERS[[#This Row],[UnitsOrdered]]*ORDERS[[#This Row],[unit price]])-(ORDERS[[#This Row],[UnitsOrdered]]*ORDERS[[#This Row],[unit price]]*ORDERS[[#This Row],[Discount]])</f>
        <v>1775</v>
      </c>
      <c r="I298" t="str">
        <f>VLOOKUP(ORDERS[[#This Row],[CustomerID]],customers[],2,FALSE)</f>
        <v>Threads</v>
      </c>
      <c r="J298" s="2" t="str">
        <f>VLOOKUP(ORDERS[[#This Row],[CustomerID]],customers[],4,FALSE)</f>
        <v>Seattle</v>
      </c>
      <c r="K298" s="2" t="str">
        <f>VLOOKUP(ORDERS[[#This Row],[ProductID]],Products[],3,FALSE)</f>
        <v>Male</v>
      </c>
      <c r="L298" s="2">
        <f>DAY(ORDERS[[#This Row],[OrderDate]])</f>
        <v>26</v>
      </c>
      <c r="M298" s="2">
        <f>YEAR(ORDERS[[#This Row],[OrderDate]])</f>
        <v>2012</v>
      </c>
    </row>
    <row r="299" spans="1:13" x14ac:dyDescent="0.3">
      <c r="A299">
        <v>298</v>
      </c>
      <c r="B299">
        <v>5</v>
      </c>
      <c r="C299">
        <v>3</v>
      </c>
      <c r="D299" s="1">
        <v>41147</v>
      </c>
      <c r="E299">
        <v>101</v>
      </c>
      <c r="F299">
        <f>VLOOKUP(ORDERS[[#This Row],[ProductID]],Products[],4,FALSE)</f>
        <v>22</v>
      </c>
      <c r="G299">
        <v>0</v>
      </c>
      <c r="H299">
        <f>(ORDERS[[#This Row],[UnitsOrdered]]*ORDERS[[#This Row],[unit price]])-(ORDERS[[#This Row],[UnitsOrdered]]*ORDERS[[#This Row],[unit price]]*ORDERS[[#This Row],[Discount]])</f>
        <v>2222</v>
      </c>
      <c r="I299" t="str">
        <f>VLOOKUP(ORDERS[[#This Row],[CustomerID]],customers[],2,FALSE)</f>
        <v>Rags to Riches</v>
      </c>
      <c r="J299" s="2" t="str">
        <f>VLOOKUP(ORDERS[[#This Row],[CustomerID]],customers[],4,FALSE)</f>
        <v>Las Vegas</v>
      </c>
      <c r="K299" s="2" t="str">
        <f>VLOOKUP(ORDERS[[#This Row],[ProductID]],Products[],3,FALSE)</f>
        <v>Both</v>
      </c>
      <c r="L299" s="2">
        <f>DAY(ORDERS[[#This Row],[OrderDate]])</f>
        <v>26</v>
      </c>
      <c r="M299" s="2">
        <f>YEAR(ORDERS[[#This Row],[OrderDate]])</f>
        <v>2012</v>
      </c>
    </row>
    <row r="300" spans="1:13" x14ac:dyDescent="0.3">
      <c r="A300">
        <v>299</v>
      </c>
      <c r="B300">
        <v>3</v>
      </c>
      <c r="C300">
        <v>6</v>
      </c>
      <c r="D300" s="1">
        <v>41148</v>
      </c>
      <c r="E300">
        <v>30</v>
      </c>
      <c r="F300">
        <f>VLOOKUP(ORDERS[[#This Row],[ProductID]],Products[],4,FALSE)</f>
        <v>28</v>
      </c>
      <c r="G300">
        <v>0</v>
      </c>
      <c r="H300">
        <f>(ORDERS[[#This Row],[UnitsOrdered]]*ORDERS[[#This Row],[unit price]])-(ORDERS[[#This Row],[UnitsOrdered]]*ORDERS[[#This Row],[unit price]]*ORDERS[[#This Row],[Discount]])</f>
        <v>840</v>
      </c>
      <c r="I300" t="str">
        <f>VLOOKUP(ORDERS[[#This Row],[CustomerID]],customers[],2,FALSE)</f>
        <v>Shirts R Us</v>
      </c>
      <c r="J300" s="2" t="str">
        <f>VLOOKUP(ORDERS[[#This Row],[CustomerID]],customers[],4,FALSE)</f>
        <v>Los Angeles</v>
      </c>
      <c r="K300" s="2" t="str">
        <f>VLOOKUP(ORDERS[[#This Row],[ProductID]],Products[],3,FALSE)</f>
        <v>Female</v>
      </c>
      <c r="L300" s="2">
        <f>DAY(ORDERS[[#This Row],[OrderDate]])</f>
        <v>27</v>
      </c>
      <c r="M300" s="2">
        <f>YEAR(ORDERS[[#This Row],[OrderDate]])</f>
        <v>2012</v>
      </c>
    </row>
    <row r="301" spans="1:13" x14ac:dyDescent="0.3">
      <c r="A301">
        <v>300</v>
      </c>
      <c r="B301">
        <v>5</v>
      </c>
      <c r="C301">
        <v>7</v>
      </c>
      <c r="D301" s="1">
        <v>41148</v>
      </c>
      <c r="E301">
        <v>112</v>
      </c>
      <c r="F301">
        <f>VLOOKUP(ORDERS[[#This Row],[ProductID]],Products[],4,FALSE)</f>
        <v>38</v>
      </c>
      <c r="G301">
        <v>0</v>
      </c>
      <c r="H301">
        <f>(ORDERS[[#This Row],[UnitsOrdered]]*ORDERS[[#This Row],[unit price]])-(ORDERS[[#This Row],[UnitsOrdered]]*ORDERS[[#This Row],[unit price]]*ORDERS[[#This Row],[Discount]])</f>
        <v>4256</v>
      </c>
      <c r="I301" t="str">
        <f>VLOOKUP(ORDERS[[#This Row],[CustomerID]],customers[],2,FALSE)</f>
        <v>Rags to Riches</v>
      </c>
      <c r="J301" s="2" t="str">
        <f>VLOOKUP(ORDERS[[#This Row],[CustomerID]],customers[],4,FALSE)</f>
        <v>Las Vegas</v>
      </c>
      <c r="K301" s="2" t="str">
        <f>VLOOKUP(ORDERS[[#This Row],[ProductID]],Products[],3,FALSE)</f>
        <v>Female</v>
      </c>
      <c r="L301" s="2">
        <f>DAY(ORDERS[[#This Row],[OrderDate]])</f>
        <v>27</v>
      </c>
      <c r="M301" s="2">
        <f>YEAR(ORDERS[[#This Row],[OrderDate]])</f>
        <v>2012</v>
      </c>
    </row>
    <row r="302" spans="1:13" x14ac:dyDescent="0.3">
      <c r="A302">
        <v>301</v>
      </c>
      <c r="B302">
        <v>6</v>
      </c>
      <c r="C302">
        <v>9</v>
      </c>
      <c r="D302" s="1">
        <v>41148</v>
      </c>
      <c r="E302">
        <v>35</v>
      </c>
      <c r="F302">
        <f>VLOOKUP(ORDERS[[#This Row],[ProductID]],Products[],4,FALSE)</f>
        <v>25</v>
      </c>
      <c r="G302">
        <v>0.10000000100000001</v>
      </c>
      <c r="H302">
        <f>(ORDERS[[#This Row],[UnitsOrdered]]*ORDERS[[#This Row],[unit price]])-(ORDERS[[#This Row],[UnitsOrdered]]*ORDERS[[#This Row],[unit price]]*ORDERS[[#This Row],[Discount]])</f>
        <v>787.49999912500004</v>
      </c>
      <c r="I302" t="str">
        <f>VLOOKUP(ORDERS[[#This Row],[CustomerID]],customers[],2,FALSE)</f>
        <v>Abracadaba Ink</v>
      </c>
      <c r="J302" s="2" t="str">
        <f>VLOOKUP(ORDERS[[#This Row],[CustomerID]],customers[],4,FALSE)</f>
        <v>Salt Lake City</v>
      </c>
      <c r="K302" s="2" t="str">
        <f>VLOOKUP(ORDERS[[#This Row],[ProductID]],Products[],3,FALSE)</f>
        <v>Male</v>
      </c>
      <c r="L302" s="2">
        <f>DAY(ORDERS[[#This Row],[OrderDate]])</f>
        <v>27</v>
      </c>
      <c r="M302" s="2">
        <f>YEAR(ORDERS[[#This Row],[OrderDate]])</f>
        <v>2012</v>
      </c>
    </row>
    <row r="303" spans="1:13" x14ac:dyDescent="0.3">
      <c r="A303">
        <v>302</v>
      </c>
      <c r="B303">
        <v>3</v>
      </c>
      <c r="C303">
        <v>5</v>
      </c>
      <c r="D303" s="1">
        <v>41149</v>
      </c>
      <c r="E303">
        <v>124</v>
      </c>
      <c r="F303">
        <f>VLOOKUP(ORDERS[[#This Row],[ProductID]],Products[],4,FALSE)</f>
        <v>16</v>
      </c>
      <c r="G303">
        <v>0</v>
      </c>
      <c r="H303">
        <f>(ORDERS[[#This Row],[UnitsOrdered]]*ORDERS[[#This Row],[unit price]])-(ORDERS[[#This Row],[UnitsOrdered]]*ORDERS[[#This Row],[unit price]]*ORDERS[[#This Row],[Discount]])</f>
        <v>1984</v>
      </c>
      <c r="I303" t="str">
        <f>VLOOKUP(ORDERS[[#This Row],[CustomerID]],customers[],2,FALSE)</f>
        <v>Shirts R Us</v>
      </c>
      <c r="J303" s="2" t="str">
        <f>VLOOKUP(ORDERS[[#This Row],[CustomerID]],customers[],4,FALSE)</f>
        <v>Los Angeles</v>
      </c>
      <c r="K303" s="2" t="str">
        <f>VLOOKUP(ORDERS[[#This Row],[ProductID]],Products[],3,FALSE)</f>
        <v>Female</v>
      </c>
      <c r="L303" s="2">
        <f>DAY(ORDERS[[#This Row],[OrderDate]])</f>
        <v>28</v>
      </c>
      <c r="M303" s="2">
        <f>YEAR(ORDERS[[#This Row],[OrderDate]])</f>
        <v>2012</v>
      </c>
    </row>
    <row r="304" spans="1:13" x14ac:dyDescent="0.3">
      <c r="A304">
        <v>303</v>
      </c>
      <c r="B304">
        <v>6</v>
      </c>
      <c r="C304">
        <v>10</v>
      </c>
      <c r="D304" s="1">
        <v>41149</v>
      </c>
      <c r="E304">
        <v>143</v>
      </c>
      <c r="F304">
        <f>VLOOKUP(ORDERS[[#This Row],[ProductID]],Products[],4,FALSE)</f>
        <v>35</v>
      </c>
      <c r="G304">
        <v>0</v>
      </c>
      <c r="H304">
        <f>(ORDERS[[#This Row],[UnitsOrdered]]*ORDERS[[#This Row],[unit price]])-(ORDERS[[#This Row],[UnitsOrdered]]*ORDERS[[#This Row],[unit price]]*ORDERS[[#This Row],[Discount]])</f>
        <v>5005</v>
      </c>
      <c r="I304" t="str">
        <f>VLOOKUP(ORDERS[[#This Row],[CustomerID]],customers[],2,FALSE)</f>
        <v>Abracadaba Ink</v>
      </c>
      <c r="J304" s="2" t="str">
        <f>VLOOKUP(ORDERS[[#This Row],[CustomerID]],customers[],4,FALSE)</f>
        <v>Salt Lake City</v>
      </c>
      <c r="K304" s="2" t="str">
        <f>VLOOKUP(ORDERS[[#This Row],[ProductID]],Products[],3,FALSE)</f>
        <v>Male</v>
      </c>
      <c r="L304" s="2">
        <f>DAY(ORDERS[[#This Row],[OrderDate]])</f>
        <v>28</v>
      </c>
      <c r="M304" s="2">
        <f>YEAR(ORDERS[[#This Row],[OrderDate]])</f>
        <v>2012</v>
      </c>
    </row>
    <row r="305" spans="1:13" x14ac:dyDescent="0.3">
      <c r="A305">
        <v>304</v>
      </c>
      <c r="B305">
        <v>4</v>
      </c>
      <c r="C305">
        <v>5</v>
      </c>
      <c r="D305" s="1">
        <v>41150</v>
      </c>
      <c r="E305">
        <v>39</v>
      </c>
      <c r="F305">
        <f>VLOOKUP(ORDERS[[#This Row],[ProductID]],Products[],4,FALSE)</f>
        <v>16</v>
      </c>
      <c r="G305">
        <v>0</v>
      </c>
      <c r="H305">
        <f>(ORDERS[[#This Row],[UnitsOrdered]]*ORDERS[[#This Row],[unit price]])-(ORDERS[[#This Row],[UnitsOrdered]]*ORDERS[[#This Row],[unit price]]*ORDERS[[#This Row],[Discount]])</f>
        <v>624</v>
      </c>
      <c r="I305" t="str">
        <f>VLOOKUP(ORDERS[[#This Row],[CustomerID]],customers[],2,FALSE)</f>
        <v>Tshirt Unlimited</v>
      </c>
      <c r="J305" s="2" t="str">
        <f>VLOOKUP(ORDERS[[#This Row],[CustomerID]],customers[],4,FALSE)</f>
        <v>Phoenix</v>
      </c>
      <c r="K305" s="2" t="str">
        <f>VLOOKUP(ORDERS[[#This Row],[ProductID]],Products[],3,FALSE)</f>
        <v>Female</v>
      </c>
      <c r="L305" s="2">
        <f>DAY(ORDERS[[#This Row],[OrderDate]])</f>
        <v>29</v>
      </c>
      <c r="M305" s="2">
        <f>YEAR(ORDERS[[#This Row],[OrderDate]])</f>
        <v>2012</v>
      </c>
    </row>
    <row r="306" spans="1:13" x14ac:dyDescent="0.3">
      <c r="A306">
        <v>305</v>
      </c>
      <c r="B306">
        <v>3</v>
      </c>
      <c r="C306">
        <v>4</v>
      </c>
      <c r="D306" s="1">
        <v>41151</v>
      </c>
      <c r="E306">
        <v>25</v>
      </c>
      <c r="F306">
        <f>VLOOKUP(ORDERS[[#This Row],[ProductID]],Products[],4,FALSE)</f>
        <v>30</v>
      </c>
      <c r="G306">
        <v>0</v>
      </c>
      <c r="H306">
        <f>(ORDERS[[#This Row],[UnitsOrdered]]*ORDERS[[#This Row],[unit price]])-(ORDERS[[#This Row],[UnitsOrdered]]*ORDERS[[#This Row],[unit price]]*ORDERS[[#This Row],[Discount]])</f>
        <v>750</v>
      </c>
      <c r="I306" t="str">
        <f>VLOOKUP(ORDERS[[#This Row],[CustomerID]],customers[],2,FALSE)</f>
        <v>Shirts R Us</v>
      </c>
      <c r="J306" s="2" t="str">
        <f>VLOOKUP(ORDERS[[#This Row],[CustomerID]],customers[],4,FALSE)</f>
        <v>Los Angeles</v>
      </c>
      <c r="K306" s="2" t="str">
        <f>VLOOKUP(ORDERS[[#This Row],[ProductID]],Products[],3,FALSE)</f>
        <v>Both</v>
      </c>
      <c r="L306" s="2">
        <f>DAY(ORDERS[[#This Row],[OrderDate]])</f>
        <v>30</v>
      </c>
      <c r="M306" s="2">
        <f>YEAR(ORDERS[[#This Row],[OrderDate]])</f>
        <v>2012</v>
      </c>
    </row>
    <row r="307" spans="1:13" x14ac:dyDescent="0.3">
      <c r="A307">
        <v>306</v>
      </c>
      <c r="B307">
        <v>1</v>
      </c>
      <c r="C307">
        <v>2</v>
      </c>
      <c r="D307" s="1">
        <v>41152</v>
      </c>
      <c r="E307">
        <v>36</v>
      </c>
      <c r="F307">
        <f>VLOOKUP(ORDERS[[#This Row],[ProductID]],Products[],4,FALSE)</f>
        <v>30</v>
      </c>
      <c r="G307">
        <v>0</v>
      </c>
      <c r="H307">
        <f>(ORDERS[[#This Row],[UnitsOrdered]]*ORDERS[[#This Row],[unit price]])-(ORDERS[[#This Row],[UnitsOrdered]]*ORDERS[[#This Row],[unit price]]*ORDERS[[#This Row],[Discount]])</f>
        <v>1080</v>
      </c>
      <c r="I307" t="str">
        <f>VLOOKUP(ORDERS[[#This Row],[CustomerID]],customers[],2,FALSE)</f>
        <v>Threads</v>
      </c>
      <c r="J307" s="2" t="str">
        <f>VLOOKUP(ORDERS[[#This Row],[CustomerID]],customers[],4,FALSE)</f>
        <v>Seattle</v>
      </c>
      <c r="K307" s="2" t="str">
        <f>VLOOKUP(ORDERS[[#This Row],[ProductID]],Products[],3,FALSE)</f>
        <v>Both</v>
      </c>
      <c r="L307" s="2">
        <f>DAY(ORDERS[[#This Row],[OrderDate]])</f>
        <v>31</v>
      </c>
      <c r="M307" s="2">
        <f>YEAR(ORDERS[[#This Row],[OrderDate]])</f>
        <v>2012</v>
      </c>
    </row>
    <row r="308" spans="1:13" x14ac:dyDescent="0.3">
      <c r="A308">
        <v>307</v>
      </c>
      <c r="B308">
        <v>3</v>
      </c>
      <c r="C308">
        <v>7</v>
      </c>
      <c r="D308" s="1">
        <v>41152</v>
      </c>
      <c r="E308">
        <v>94</v>
      </c>
      <c r="F308">
        <f>VLOOKUP(ORDERS[[#This Row],[ProductID]],Products[],4,FALSE)</f>
        <v>38</v>
      </c>
      <c r="G308">
        <v>0.10000000100000001</v>
      </c>
      <c r="H308">
        <f>(ORDERS[[#This Row],[UnitsOrdered]]*ORDERS[[#This Row],[unit price]])-(ORDERS[[#This Row],[UnitsOrdered]]*ORDERS[[#This Row],[unit price]]*ORDERS[[#This Row],[Discount]])</f>
        <v>3214.7999964279998</v>
      </c>
      <c r="I308" t="str">
        <f>VLOOKUP(ORDERS[[#This Row],[CustomerID]],customers[],2,FALSE)</f>
        <v>Shirts R Us</v>
      </c>
      <c r="J308" s="2" t="str">
        <f>VLOOKUP(ORDERS[[#This Row],[CustomerID]],customers[],4,FALSE)</f>
        <v>Los Angeles</v>
      </c>
      <c r="K308" s="2" t="str">
        <f>VLOOKUP(ORDERS[[#This Row],[ProductID]],Products[],3,FALSE)</f>
        <v>Female</v>
      </c>
      <c r="L308" s="2">
        <f>DAY(ORDERS[[#This Row],[OrderDate]])</f>
        <v>31</v>
      </c>
      <c r="M308" s="2">
        <f>YEAR(ORDERS[[#This Row],[OrderDate]])</f>
        <v>2012</v>
      </c>
    </row>
    <row r="309" spans="1:13" x14ac:dyDescent="0.3">
      <c r="A309">
        <v>308</v>
      </c>
      <c r="B309">
        <v>6</v>
      </c>
      <c r="C309">
        <v>3</v>
      </c>
      <c r="D309" s="1">
        <v>41152</v>
      </c>
      <c r="E309">
        <v>104</v>
      </c>
      <c r="F309">
        <f>VLOOKUP(ORDERS[[#This Row],[ProductID]],Products[],4,FALSE)</f>
        <v>22</v>
      </c>
      <c r="G309">
        <v>0</v>
      </c>
      <c r="H309">
        <f>(ORDERS[[#This Row],[UnitsOrdered]]*ORDERS[[#This Row],[unit price]])-(ORDERS[[#This Row],[UnitsOrdered]]*ORDERS[[#This Row],[unit price]]*ORDERS[[#This Row],[Discount]])</f>
        <v>2288</v>
      </c>
      <c r="I309" t="str">
        <f>VLOOKUP(ORDERS[[#This Row],[CustomerID]],customers[],2,FALSE)</f>
        <v>Abracadaba Ink</v>
      </c>
      <c r="J309" s="2" t="str">
        <f>VLOOKUP(ORDERS[[#This Row],[CustomerID]],customers[],4,FALSE)</f>
        <v>Salt Lake City</v>
      </c>
      <c r="K309" s="2" t="str">
        <f>VLOOKUP(ORDERS[[#This Row],[ProductID]],Products[],3,FALSE)</f>
        <v>Both</v>
      </c>
      <c r="L309" s="2">
        <f>DAY(ORDERS[[#This Row],[OrderDate]])</f>
        <v>31</v>
      </c>
      <c r="M309" s="2">
        <f>YEAR(ORDERS[[#This Row],[OrderDate]])</f>
        <v>2012</v>
      </c>
    </row>
    <row r="310" spans="1:13" x14ac:dyDescent="0.3">
      <c r="A310">
        <v>309</v>
      </c>
      <c r="B310">
        <v>6</v>
      </c>
      <c r="C310">
        <v>7</v>
      </c>
      <c r="D310" s="1">
        <v>41152</v>
      </c>
      <c r="E310">
        <v>90</v>
      </c>
      <c r="F310">
        <f>VLOOKUP(ORDERS[[#This Row],[ProductID]],Products[],4,FALSE)</f>
        <v>38</v>
      </c>
      <c r="G310">
        <v>0</v>
      </c>
      <c r="H310">
        <f>(ORDERS[[#This Row],[UnitsOrdered]]*ORDERS[[#This Row],[unit price]])-(ORDERS[[#This Row],[UnitsOrdered]]*ORDERS[[#This Row],[unit price]]*ORDERS[[#This Row],[Discount]])</f>
        <v>3420</v>
      </c>
      <c r="I310" t="str">
        <f>VLOOKUP(ORDERS[[#This Row],[CustomerID]],customers[],2,FALSE)</f>
        <v>Abracadaba Ink</v>
      </c>
      <c r="J310" s="2" t="str">
        <f>VLOOKUP(ORDERS[[#This Row],[CustomerID]],customers[],4,FALSE)</f>
        <v>Salt Lake City</v>
      </c>
      <c r="K310" s="2" t="str">
        <f>VLOOKUP(ORDERS[[#This Row],[ProductID]],Products[],3,FALSE)</f>
        <v>Female</v>
      </c>
      <c r="L310" s="2">
        <f>DAY(ORDERS[[#This Row],[OrderDate]])</f>
        <v>31</v>
      </c>
      <c r="M310" s="2">
        <f>YEAR(ORDERS[[#This Row],[OrderDate]])</f>
        <v>2012</v>
      </c>
    </row>
    <row r="311" spans="1:13" x14ac:dyDescent="0.3">
      <c r="A311">
        <v>310</v>
      </c>
      <c r="B311">
        <v>4</v>
      </c>
      <c r="C311">
        <v>2</v>
      </c>
      <c r="D311" s="1">
        <v>41153</v>
      </c>
      <c r="E311">
        <v>55</v>
      </c>
      <c r="F311">
        <f>VLOOKUP(ORDERS[[#This Row],[ProductID]],Products[],4,FALSE)</f>
        <v>30</v>
      </c>
      <c r="G311">
        <v>0</v>
      </c>
      <c r="H311">
        <f>(ORDERS[[#This Row],[UnitsOrdered]]*ORDERS[[#This Row],[unit price]])-(ORDERS[[#This Row],[UnitsOrdered]]*ORDERS[[#This Row],[unit price]]*ORDERS[[#This Row],[Discount]])</f>
        <v>1650</v>
      </c>
      <c r="I311" t="str">
        <f>VLOOKUP(ORDERS[[#This Row],[CustomerID]],customers[],2,FALSE)</f>
        <v>Tshirt Unlimited</v>
      </c>
      <c r="J311" s="2" t="str">
        <f>VLOOKUP(ORDERS[[#This Row],[CustomerID]],customers[],4,FALSE)</f>
        <v>Phoenix</v>
      </c>
      <c r="K311" s="2" t="str">
        <f>VLOOKUP(ORDERS[[#This Row],[ProductID]],Products[],3,FALSE)</f>
        <v>Both</v>
      </c>
      <c r="L311" s="2">
        <f>DAY(ORDERS[[#This Row],[OrderDate]])</f>
        <v>1</v>
      </c>
      <c r="M311" s="2">
        <f>YEAR(ORDERS[[#This Row],[OrderDate]])</f>
        <v>2012</v>
      </c>
    </row>
    <row r="312" spans="1:13" x14ac:dyDescent="0.3">
      <c r="A312">
        <v>311</v>
      </c>
      <c r="B312">
        <v>1</v>
      </c>
      <c r="C312">
        <v>4</v>
      </c>
      <c r="D312" s="1">
        <v>41154</v>
      </c>
      <c r="E312">
        <v>35</v>
      </c>
      <c r="F312">
        <f>VLOOKUP(ORDERS[[#This Row],[ProductID]],Products[],4,FALSE)</f>
        <v>30</v>
      </c>
      <c r="G312">
        <v>0</v>
      </c>
      <c r="H312">
        <f>(ORDERS[[#This Row],[UnitsOrdered]]*ORDERS[[#This Row],[unit price]])-(ORDERS[[#This Row],[UnitsOrdered]]*ORDERS[[#This Row],[unit price]]*ORDERS[[#This Row],[Discount]])</f>
        <v>1050</v>
      </c>
      <c r="I312" t="str">
        <f>VLOOKUP(ORDERS[[#This Row],[CustomerID]],customers[],2,FALSE)</f>
        <v>Threads</v>
      </c>
      <c r="J312" s="2" t="str">
        <f>VLOOKUP(ORDERS[[#This Row],[CustomerID]],customers[],4,FALSE)</f>
        <v>Seattle</v>
      </c>
      <c r="K312" s="2" t="str">
        <f>VLOOKUP(ORDERS[[#This Row],[ProductID]],Products[],3,FALSE)</f>
        <v>Both</v>
      </c>
      <c r="L312" s="2">
        <f>DAY(ORDERS[[#This Row],[OrderDate]])</f>
        <v>2</v>
      </c>
      <c r="M312" s="2">
        <f>YEAR(ORDERS[[#This Row],[OrderDate]])</f>
        <v>2012</v>
      </c>
    </row>
    <row r="313" spans="1:13" x14ac:dyDescent="0.3">
      <c r="A313">
        <v>312</v>
      </c>
      <c r="B313">
        <v>2</v>
      </c>
      <c r="C313">
        <v>2</v>
      </c>
      <c r="D313" s="1">
        <v>41154</v>
      </c>
      <c r="E313">
        <v>38</v>
      </c>
      <c r="F313">
        <f>VLOOKUP(ORDERS[[#This Row],[ProductID]],Products[],4,FALSE)</f>
        <v>30</v>
      </c>
      <c r="G313">
        <v>0</v>
      </c>
      <c r="H313">
        <f>(ORDERS[[#This Row],[UnitsOrdered]]*ORDERS[[#This Row],[unit price]])-(ORDERS[[#This Row],[UnitsOrdered]]*ORDERS[[#This Row],[unit price]]*ORDERS[[#This Row],[Discount]])</f>
        <v>1140</v>
      </c>
      <c r="I313" t="str">
        <f>VLOOKUP(ORDERS[[#This Row],[CustomerID]],customers[],2,FALSE)</f>
        <v>A Shirts Life</v>
      </c>
      <c r="J313" s="2" t="str">
        <f>VLOOKUP(ORDERS[[#This Row],[CustomerID]],customers[],4,FALSE)</f>
        <v>Portland</v>
      </c>
      <c r="K313" s="2" t="str">
        <f>VLOOKUP(ORDERS[[#This Row],[ProductID]],Products[],3,FALSE)</f>
        <v>Both</v>
      </c>
      <c r="L313" s="2">
        <f>DAY(ORDERS[[#This Row],[OrderDate]])</f>
        <v>2</v>
      </c>
      <c r="M313" s="2">
        <f>YEAR(ORDERS[[#This Row],[OrderDate]])</f>
        <v>2012</v>
      </c>
    </row>
    <row r="314" spans="1:13" x14ac:dyDescent="0.3">
      <c r="A314">
        <v>313</v>
      </c>
      <c r="B314">
        <v>4</v>
      </c>
      <c r="C314">
        <v>7</v>
      </c>
      <c r="D314" s="1">
        <v>41154</v>
      </c>
      <c r="E314">
        <v>121</v>
      </c>
      <c r="F314">
        <f>VLOOKUP(ORDERS[[#This Row],[ProductID]],Products[],4,FALSE)</f>
        <v>38</v>
      </c>
      <c r="G314">
        <v>0</v>
      </c>
      <c r="H314">
        <f>(ORDERS[[#This Row],[UnitsOrdered]]*ORDERS[[#This Row],[unit price]])-(ORDERS[[#This Row],[UnitsOrdered]]*ORDERS[[#This Row],[unit price]]*ORDERS[[#This Row],[Discount]])</f>
        <v>4598</v>
      </c>
      <c r="I314" t="str">
        <f>VLOOKUP(ORDERS[[#This Row],[CustomerID]],customers[],2,FALSE)</f>
        <v>Tshirt Unlimited</v>
      </c>
      <c r="J314" s="2" t="str">
        <f>VLOOKUP(ORDERS[[#This Row],[CustomerID]],customers[],4,FALSE)</f>
        <v>Phoenix</v>
      </c>
      <c r="K314" s="2" t="str">
        <f>VLOOKUP(ORDERS[[#This Row],[ProductID]],Products[],3,FALSE)</f>
        <v>Female</v>
      </c>
      <c r="L314" s="2">
        <f>DAY(ORDERS[[#This Row],[OrderDate]])</f>
        <v>2</v>
      </c>
      <c r="M314" s="2">
        <f>YEAR(ORDERS[[#This Row],[OrderDate]])</f>
        <v>2012</v>
      </c>
    </row>
    <row r="315" spans="1:13" x14ac:dyDescent="0.3">
      <c r="A315">
        <v>314</v>
      </c>
      <c r="B315">
        <v>5</v>
      </c>
      <c r="C315">
        <v>7</v>
      </c>
      <c r="D315" s="1">
        <v>41155</v>
      </c>
      <c r="E315">
        <v>141</v>
      </c>
      <c r="F315">
        <f>VLOOKUP(ORDERS[[#This Row],[ProductID]],Products[],4,FALSE)</f>
        <v>38</v>
      </c>
      <c r="G315">
        <v>0</v>
      </c>
      <c r="H315">
        <f>(ORDERS[[#This Row],[UnitsOrdered]]*ORDERS[[#This Row],[unit price]])-(ORDERS[[#This Row],[UnitsOrdered]]*ORDERS[[#This Row],[unit price]]*ORDERS[[#This Row],[Discount]])</f>
        <v>5358</v>
      </c>
      <c r="I315" t="str">
        <f>VLOOKUP(ORDERS[[#This Row],[CustomerID]],customers[],2,FALSE)</f>
        <v>Rags to Riches</v>
      </c>
      <c r="J315" s="2" t="str">
        <f>VLOOKUP(ORDERS[[#This Row],[CustomerID]],customers[],4,FALSE)</f>
        <v>Las Vegas</v>
      </c>
      <c r="K315" s="2" t="str">
        <f>VLOOKUP(ORDERS[[#This Row],[ProductID]],Products[],3,FALSE)</f>
        <v>Female</v>
      </c>
      <c r="L315" s="2">
        <f>DAY(ORDERS[[#This Row],[OrderDate]])</f>
        <v>3</v>
      </c>
      <c r="M315" s="2">
        <f>YEAR(ORDERS[[#This Row],[OrderDate]])</f>
        <v>2012</v>
      </c>
    </row>
    <row r="316" spans="1:13" x14ac:dyDescent="0.3">
      <c r="A316">
        <v>315</v>
      </c>
      <c r="B316">
        <v>2</v>
      </c>
      <c r="C316">
        <v>4</v>
      </c>
      <c r="D316" s="1">
        <v>41156</v>
      </c>
      <c r="E316">
        <v>42</v>
      </c>
      <c r="F316">
        <f>VLOOKUP(ORDERS[[#This Row],[ProductID]],Products[],4,FALSE)</f>
        <v>30</v>
      </c>
      <c r="G316">
        <v>5.0000001000000002E-2</v>
      </c>
      <c r="H316">
        <f>(ORDERS[[#This Row],[UnitsOrdered]]*ORDERS[[#This Row],[unit price]])-(ORDERS[[#This Row],[UnitsOrdered]]*ORDERS[[#This Row],[unit price]]*ORDERS[[#This Row],[Discount]])</f>
        <v>1196.9999987399999</v>
      </c>
      <c r="I316" t="str">
        <f>VLOOKUP(ORDERS[[#This Row],[CustomerID]],customers[],2,FALSE)</f>
        <v>A Shirts Life</v>
      </c>
      <c r="J316" s="2" t="str">
        <f>VLOOKUP(ORDERS[[#This Row],[CustomerID]],customers[],4,FALSE)</f>
        <v>Portland</v>
      </c>
      <c r="K316" s="2" t="str">
        <f>VLOOKUP(ORDERS[[#This Row],[ProductID]],Products[],3,FALSE)</f>
        <v>Both</v>
      </c>
      <c r="L316" s="2">
        <f>DAY(ORDERS[[#This Row],[OrderDate]])</f>
        <v>4</v>
      </c>
      <c r="M316" s="2">
        <f>YEAR(ORDERS[[#This Row],[OrderDate]])</f>
        <v>2012</v>
      </c>
    </row>
    <row r="317" spans="1:13" x14ac:dyDescent="0.3">
      <c r="A317">
        <v>316</v>
      </c>
      <c r="B317">
        <v>2</v>
      </c>
      <c r="C317">
        <v>10</v>
      </c>
      <c r="D317" s="1">
        <v>41156</v>
      </c>
      <c r="E317">
        <v>98</v>
      </c>
      <c r="F317">
        <f>VLOOKUP(ORDERS[[#This Row],[ProductID]],Products[],4,FALSE)</f>
        <v>35</v>
      </c>
      <c r="G317">
        <v>0</v>
      </c>
      <c r="H317">
        <f>(ORDERS[[#This Row],[UnitsOrdered]]*ORDERS[[#This Row],[unit price]])-(ORDERS[[#This Row],[UnitsOrdered]]*ORDERS[[#This Row],[unit price]]*ORDERS[[#This Row],[Discount]])</f>
        <v>3430</v>
      </c>
      <c r="I317" t="str">
        <f>VLOOKUP(ORDERS[[#This Row],[CustomerID]],customers[],2,FALSE)</f>
        <v>A Shirts Life</v>
      </c>
      <c r="J317" s="2" t="str">
        <f>VLOOKUP(ORDERS[[#This Row],[CustomerID]],customers[],4,FALSE)</f>
        <v>Portland</v>
      </c>
      <c r="K317" s="2" t="str">
        <f>VLOOKUP(ORDERS[[#This Row],[ProductID]],Products[],3,FALSE)</f>
        <v>Male</v>
      </c>
      <c r="L317" s="2">
        <f>DAY(ORDERS[[#This Row],[OrderDate]])</f>
        <v>4</v>
      </c>
      <c r="M317" s="2">
        <f>YEAR(ORDERS[[#This Row],[OrderDate]])</f>
        <v>2012</v>
      </c>
    </row>
    <row r="318" spans="1:13" x14ac:dyDescent="0.3">
      <c r="A318">
        <v>317</v>
      </c>
      <c r="B318">
        <v>4</v>
      </c>
      <c r="C318">
        <v>8</v>
      </c>
      <c r="D318" s="1">
        <v>41156</v>
      </c>
      <c r="E318">
        <v>112</v>
      </c>
      <c r="F318">
        <f>VLOOKUP(ORDERS[[#This Row],[ProductID]],Products[],4,FALSE)</f>
        <v>27</v>
      </c>
      <c r="G318">
        <v>0</v>
      </c>
      <c r="H318">
        <f>(ORDERS[[#This Row],[UnitsOrdered]]*ORDERS[[#This Row],[unit price]])-(ORDERS[[#This Row],[UnitsOrdered]]*ORDERS[[#This Row],[unit price]]*ORDERS[[#This Row],[Discount]])</f>
        <v>3024</v>
      </c>
      <c r="I318" t="str">
        <f>VLOOKUP(ORDERS[[#This Row],[CustomerID]],customers[],2,FALSE)</f>
        <v>Tshirt Unlimited</v>
      </c>
      <c r="J318" s="2" t="str">
        <f>VLOOKUP(ORDERS[[#This Row],[CustomerID]],customers[],4,FALSE)</f>
        <v>Phoenix</v>
      </c>
      <c r="K318" s="2" t="str">
        <f>VLOOKUP(ORDERS[[#This Row],[ProductID]],Products[],3,FALSE)</f>
        <v>Female</v>
      </c>
      <c r="L318" s="2">
        <f>DAY(ORDERS[[#This Row],[OrderDate]])</f>
        <v>4</v>
      </c>
      <c r="M318" s="2">
        <f>YEAR(ORDERS[[#This Row],[OrderDate]])</f>
        <v>2012</v>
      </c>
    </row>
    <row r="319" spans="1:13" x14ac:dyDescent="0.3">
      <c r="A319">
        <v>318</v>
      </c>
      <c r="B319">
        <v>6</v>
      </c>
      <c r="C319">
        <v>6</v>
      </c>
      <c r="D319" s="1">
        <v>41156</v>
      </c>
      <c r="E319">
        <v>58</v>
      </c>
      <c r="F319">
        <f>VLOOKUP(ORDERS[[#This Row],[ProductID]],Products[],4,FALSE)</f>
        <v>28</v>
      </c>
      <c r="G319">
        <v>0</v>
      </c>
      <c r="H319">
        <f>(ORDERS[[#This Row],[UnitsOrdered]]*ORDERS[[#This Row],[unit price]])-(ORDERS[[#This Row],[UnitsOrdered]]*ORDERS[[#This Row],[unit price]]*ORDERS[[#This Row],[Discount]])</f>
        <v>1624</v>
      </c>
      <c r="I319" t="str">
        <f>VLOOKUP(ORDERS[[#This Row],[CustomerID]],customers[],2,FALSE)</f>
        <v>Abracadaba Ink</v>
      </c>
      <c r="J319" s="2" t="str">
        <f>VLOOKUP(ORDERS[[#This Row],[CustomerID]],customers[],4,FALSE)</f>
        <v>Salt Lake City</v>
      </c>
      <c r="K319" s="2" t="str">
        <f>VLOOKUP(ORDERS[[#This Row],[ProductID]],Products[],3,FALSE)</f>
        <v>Female</v>
      </c>
      <c r="L319" s="2">
        <f>DAY(ORDERS[[#This Row],[OrderDate]])</f>
        <v>4</v>
      </c>
      <c r="M319" s="2">
        <f>YEAR(ORDERS[[#This Row],[OrderDate]])</f>
        <v>2012</v>
      </c>
    </row>
    <row r="320" spans="1:13" x14ac:dyDescent="0.3">
      <c r="A320">
        <v>319</v>
      </c>
      <c r="B320">
        <v>7</v>
      </c>
      <c r="C320">
        <v>5</v>
      </c>
      <c r="D320" s="1">
        <v>41157</v>
      </c>
      <c r="E320">
        <v>61</v>
      </c>
      <c r="F320">
        <f>VLOOKUP(ORDERS[[#This Row],[ProductID]],Products[],4,FALSE)</f>
        <v>16</v>
      </c>
      <c r="G320">
        <v>0</v>
      </c>
      <c r="H320">
        <f>(ORDERS[[#This Row],[UnitsOrdered]]*ORDERS[[#This Row],[unit price]])-(ORDERS[[#This Row],[UnitsOrdered]]*ORDERS[[#This Row],[unit price]]*ORDERS[[#This Row],[Discount]])</f>
        <v>976</v>
      </c>
      <c r="I320" t="str">
        <f>VLOOKUP(ORDERS[[#This Row],[CustomerID]],customers[],2,FALSE)</f>
        <v>The Shirt on Your Back</v>
      </c>
      <c r="J320" s="2" t="str">
        <f>VLOOKUP(ORDERS[[#This Row],[CustomerID]],customers[],4,FALSE)</f>
        <v>Bonners Ferry</v>
      </c>
      <c r="K320" s="2" t="str">
        <f>VLOOKUP(ORDERS[[#This Row],[ProductID]],Products[],3,FALSE)</f>
        <v>Female</v>
      </c>
      <c r="L320" s="2">
        <f>DAY(ORDERS[[#This Row],[OrderDate]])</f>
        <v>5</v>
      </c>
      <c r="M320" s="2">
        <f>YEAR(ORDERS[[#This Row],[OrderDate]])</f>
        <v>2012</v>
      </c>
    </row>
    <row r="321" spans="1:13" x14ac:dyDescent="0.3">
      <c r="A321">
        <v>320</v>
      </c>
      <c r="B321">
        <v>5</v>
      </c>
      <c r="C321">
        <v>9</v>
      </c>
      <c r="D321" s="1">
        <v>41158</v>
      </c>
      <c r="E321">
        <v>48</v>
      </c>
      <c r="F321">
        <f>VLOOKUP(ORDERS[[#This Row],[ProductID]],Products[],4,FALSE)</f>
        <v>25</v>
      </c>
      <c r="G321">
        <v>0</v>
      </c>
      <c r="H321">
        <f>(ORDERS[[#This Row],[UnitsOrdered]]*ORDERS[[#This Row],[unit price]])-(ORDERS[[#This Row],[UnitsOrdered]]*ORDERS[[#This Row],[unit price]]*ORDERS[[#This Row],[Discount]])</f>
        <v>1200</v>
      </c>
      <c r="I321" t="str">
        <f>VLOOKUP(ORDERS[[#This Row],[CustomerID]],customers[],2,FALSE)</f>
        <v>Rags to Riches</v>
      </c>
      <c r="J321" s="2" t="str">
        <f>VLOOKUP(ORDERS[[#This Row],[CustomerID]],customers[],4,FALSE)</f>
        <v>Las Vegas</v>
      </c>
      <c r="K321" s="2" t="str">
        <f>VLOOKUP(ORDERS[[#This Row],[ProductID]],Products[],3,FALSE)</f>
        <v>Male</v>
      </c>
      <c r="L321" s="2">
        <f>DAY(ORDERS[[#This Row],[OrderDate]])</f>
        <v>6</v>
      </c>
      <c r="M321" s="2">
        <f>YEAR(ORDERS[[#This Row],[OrderDate]])</f>
        <v>2012</v>
      </c>
    </row>
    <row r="322" spans="1:13" x14ac:dyDescent="0.3">
      <c r="A322">
        <v>321</v>
      </c>
      <c r="B322">
        <v>2</v>
      </c>
      <c r="C322">
        <v>5</v>
      </c>
      <c r="D322" s="1">
        <v>41159</v>
      </c>
      <c r="E322">
        <v>93</v>
      </c>
      <c r="F322">
        <f>VLOOKUP(ORDERS[[#This Row],[ProductID]],Products[],4,FALSE)</f>
        <v>16</v>
      </c>
      <c r="G322">
        <v>5.0000001000000002E-2</v>
      </c>
      <c r="H322">
        <f>(ORDERS[[#This Row],[UnitsOrdered]]*ORDERS[[#This Row],[unit price]])-(ORDERS[[#This Row],[UnitsOrdered]]*ORDERS[[#This Row],[unit price]]*ORDERS[[#This Row],[Discount]])</f>
        <v>1413.599998512</v>
      </c>
      <c r="I322" t="str">
        <f>VLOOKUP(ORDERS[[#This Row],[CustomerID]],customers[],2,FALSE)</f>
        <v>A Shirts Life</v>
      </c>
      <c r="J322" s="2" t="str">
        <f>VLOOKUP(ORDERS[[#This Row],[CustomerID]],customers[],4,FALSE)</f>
        <v>Portland</v>
      </c>
      <c r="K322" s="2" t="str">
        <f>VLOOKUP(ORDERS[[#This Row],[ProductID]],Products[],3,FALSE)</f>
        <v>Female</v>
      </c>
      <c r="L322" s="2">
        <f>DAY(ORDERS[[#This Row],[OrderDate]])</f>
        <v>7</v>
      </c>
      <c r="M322" s="2">
        <f>YEAR(ORDERS[[#This Row],[OrderDate]])</f>
        <v>2012</v>
      </c>
    </row>
    <row r="323" spans="1:13" x14ac:dyDescent="0.3">
      <c r="A323">
        <v>322</v>
      </c>
      <c r="B323">
        <v>3</v>
      </c>
      <c r="C323">
        <v>5</v>
      </c>
      <c r="D323" s="1">
        <v>41159</v>
      </c>
      <c r="E323">
        <v>121</v>
      </c>
      <c r="F323">
        <f>VLOOKUP(ORDERS[[#This Row],[ProductID]],Products[],4,FALSE)</f>
        <v>16</v>
      </c>
      <c r="G323">
        <v>0</v>
      </c>
      <c r="H323">
        <f>(ORDERS[[#This Row],[UnitsOrdered]]*ORDERS[[#This Row],[unit price]])-(ORDERS[[#This Row],[UnitsOrdered]]*ORDERS[[#This Row],[unit price]]*ORDERS[[#This Row],[Discount]])</f>
        <v>1936</v>
      </c>
      <c r="I323" t="str">
        <f>VLOOKUP(ORDERS[[#This Row],[CustomerID]],customers[],2,FALSE)</f>
        <v>Shirts R Us</v>
      </c>
      <c r="J323" s="2" t="str">
        <f>VLOOKUP(ORDERS[[#This Row],[CustomerID]],customers[],4,FALSE)</f>
        <v>Los Angeles</v>
      </c>
      <c r="K323" s="2" t="str">
        <f>VLOOKUP(ORDERS[[#This Row],[ProductID]],Products[],3,FALSE)</f>
        <v>Female</v>
      </c>
      <c r="L323" s="2">
        <f>DAY(ORDERS[[#This Row],[OrderDate]])</f>
        <v>7</v>
      </c>
      <c r="M323" s="2">
        <f>YEAR(ORDERS[[#This Row],[OrderDate]])</f>
        <v>2012</v>
      </c>
    </row>
    <row r="324" spans="1:13" x14ac:dyDescent="0.3">
      <c r="A324">
        <v>323</v>
      </c>
      <c r="B324">
        <v>2</v>
      </c>
      <c r="C324">
        <v>1</v>
      </c>
      <c r="D324" s="1">
        <v>41160</v>
      </c>
      <c r="E324">
        <v>126</v>
      </c>
      <c r="F324">
        <f>VLOOKUP(ORDERS[[#This Row],[ProductID]],Products[],4,FALSE)</f>
        <v>20</v>
      </c>
      <c r="G324">
        <v>0</v>
      </c>
      <c r="H324">
        <f>(ORDERS[[#This Row],[UnitsOrdered]]*ORDERS[[#This Row],[unit price]])-(ORDERS[[#This Row],[UnitsOrdered]]*ORDERS[[#This Row],[unit price]]*ORDERS[[#This Row],[Discount]])</f>
        <v>2520</v>
      </c>
      <c r="I324" t="str">
        <f>VLOOKUP(ORDERS[[#This Row],[CustomerID]],customers[],2,FALSE)</f>
        <v>A Shirts Life</v>
      </c>
      <c r="J324" s="2" t="str">
        <f>VLOOKUP(ORDERS[[#This Row],[CustomerID]],customers[],4,FALSE)</f>
        <v>Portland</v>
      </c>
      <c r="K324" s="2" t="str">
        <f>VLOOKUP(ORDERS[[#This Row],[ProductID]],Products[],3,FALSE)</f>
        <v>Both</v>
      </c>
      <c r="L324" s="2">
        <f>DAY(ORDERS[[#This Row],[OrderDate]])</f>
        <v>8</v>
      </c>
      <c r="M324" s="2">
        <f>YEAR(ORDERS[[#This Row],[OrderDate]])</f>
        <v>2012</v>
      </c>
    </row>
    <row r="325" spans="1:13" x14ac:dyDescent="0.3">
      <c r="A325">
        <v>324</v>
      </c>
      <c r="B325">
        <v>2</v>
      </c>
      <c r="C325">
        <v>8</v>
      </c>
      <c r="D325" s="1">
        <v>41160</v>
      </c>
      <c r="E325">
        <v>30</v>
      </c>
      <c r="F325">
        <f>VLOOKUP(ORDERS[[#This Row],[ProductID]],Products[],4,FALSE)</f>
        <v>27</v>
      </c>
      <c r="G325">
        <v>0</v>
      </c>
      <c r="H325">
        <f>(ORDERS[[#This Row],[UnitsOrdered]]*ORDERS[[#This Row],[unit price]])-(ORDERS[[#This Row],[UnitsOrdered]]*ORDERS[[#This Row],[unit price]]*ORDERS[[#This Row],[Discount]])</f>
        <v>810</v>
      </c>
      <c r="I325" t="str">
        <f>VLOOKUP(ORDERS[[#This Row],[CustomerID]],customers[],2,FALSE)</f>
        <v>A Shirts Life</v>
      </c>
      <c r="J325" s="2" t="str">
        <f>VLOOKUP(ORDERS[[#This Row],[CustomerID]],customers[],4,FALSE)</f>
        <v>Portland</v>
      </c>
      <c r="K325" s="2" t="str">
        <f>VLOOKUP(ORDERS[[#This Row],[ProductID]],Products[],3,FALSE)</f>
        <v>Female</v>
      </c>
      <c r="L325" s="2">
        <f>DAY(ORDERS[[#This Row],[OrderDate]])</f>
        <v>8</v>
      </c>
      <c r="M325" s="2">
        <f>YEAR(ORDERS[[#This Row],[OrderDate]])</f>
        <v>2012</v>
      </c>
    </row>
    <row r="326" spans="1:13" x14ac:dyDescent="0.3">
      <c r="A326">
        <v>325</v>
      </c>
      <c r="B326">
        <v>7</v>
      </c>
      <c r="C326">
        <v>3</v>
      </c>
      <c r="D326" s="1">
        <v>41160</v>
      </c>
      <c r="E326">
        <v>137</v>
      </c>
      <c r="F326">
        <f>VLOOKUP(ORDERS[[#This Row],[ProductID]],Products[],4,FALSE)</f>
        <v>22</v>
      </c>
      <c r="G326">
        <v>0.10000000100000001</v>
      </c>
      <c r="H326">
        <f>(ORDERS[[#This Row],[UnitsOrdered]]*ORDERS[[#This Row],[unit price]])-(ORDERS[[#This Row],[UnitsOrdered]]*ORDERS[[#This Row],[unit price]]*ORDERS[[#This Row],[Discount]])</f>
        <v>2712.599996986</v>
      </c>
      <c r="I326" t="str">
        <f>VLOOKUP(ORDERS[[#This Row],[CustomerID]],customers[],2,FALSE)</f>
        <v>The Shirt on Your Back</v>
      </c>
      <c r="J326" s="2" t="str">
        <f>VLOOKUP(ORDERS[[#This Row],[CustomerID]],customers[],4,FALSE)</f>
        <v>Bonners Ferry</v>
      </c>
      <c r="K326" s="2" t="str">
        <f>VLOOKUP(ORDERS[[#This Row],[ProductID]],Products[],3,FALSE)</f>
        <v>Both</v>
      </c>
      <c r="L326" s="2">
        <f>DAY(ORDERS[[#This Row],[OrderDate]])</f>
        <v>8</v>
      </c>
      <c r="M326" s="2">
        <f>YEAR(ORDERS[[#This Row],[OrderDate]])</f>
        <v>2012</v>
      </c>
    </row>
    <row r="327" spans="1:13" x14ac:dyDescent="0.3">
      <c r="A327">
        <v>326</v>
      </c>
      <c r="B327">
        <v>7</v>
      </c>
      <c r="C327">
        <v>10</v>
      </c>
      <c r="D327" s="1">
        <v>41160</v>
      </c>
      <c r="E327">
        <v>150</v>
      </c>
      <c r="F327">
        <f>VLOOKUP(ORDERS[[#This Row],[ProductID]],Products[],4,FALSE)</f>
        <v>35</v>
      </c>
      <c r="G327">
        <v>0</v>
      </c>
      <c r="H327">
        <f>(ORDERS[[#This Row],[UnitsOrdered]]*ORDERS[[#This Row],[unit price]])-(ORDERS[[#This Row],[UnitsOrdered]]*ORDERS[[#This Row],[unit price]]*ORDERS[[#This Row],[Discount]])</f>
        <v>5250</v>
      </c>
      <c r="I327" t="str">
        <f>VLOOKUP(ORDERS[[#This Row],[CustomerID]],customers[],2,FALSE)</f>
        <v>The Shirt on Your Back</v>
      </c>
      <c r="J327" s="2" t="str">
        <f>VLOOKUP(ORDERS[[#This Row],[CustomerID]],customers[],4,FALSE)</f>
        <v>Bonners Ferry</v>
      </c>
      <c r="K327" s="2" t="str">
        <f>VLOOKUP(ORDERS[[#This Row],[ProductID]],Products[],3,FALSE)</f>
        <v>Male</v>
      </c>
      <c r="L327" s="2">
        <f>DAY(ORDERS[[#This Row],[OrderDate]])</f>
        <v>8</v>
      </c>
      <c r="M327" s="2">
        <f>YEAR(ORDERS[[#This Row],[OrderDate]])</f>
        <v>2012</v>
      </c>
    </row>
    <row r="328" spans="1:13" x14ac:dyDescent="0.3">
      <c r="A328">
        <v>327</v>
      </c>
      <c r="B328">
        <v>1</v>
      </c>
      <c r="C328">
        <v>7</v>
      </c>
      <c r="D328" s="1">
        <v>41161</v>
      </c>
      <c r="E328">
        <v>146</v>
      </c>
      <c r="F328">
        <f>VLOOKUP(ORDERS[[#This Row],[ProductID]],Products[],4,FALSE)</f>
        <v>38</v>
      </c>
      <c r="G328">
        <v>0</v>
      </c>
      <c r="H328">
        <f>(ORDERS[[#This Row],[UnitsOrdered]]*ORDERS[[#This Row],[unit price]])-(ORDERS[[#This Row],[UnitsOrdered]]*ORDERS[[#This Row],[unit price]]*ORDERS[[#This Row],[Discount]])</f>
        <v>5548</v>
      </c>
      <c r="I328" t="str">
        <f>VLOOKUP(ORDERS[[#This Row],[CustomerID]],customers[],2,FALSE)</f>
        <v>Threads</v>
      </c>
      <c r="J328" s="2" t="str">
        <f>VLOOKUP(ORDERS[[#This Row],[CustomerID]],customers[],4,FALSE)</f>
        <v>Seattle</v>
      </c>
      <c r="K328" s="2" t="str">
        <f>VLOOKUP(ORDERS[[#This Row],[ProductID]],Products[],3,FALSE)</f>
        <v>Female</v>
      </c>
      <c r="L328" s="2">
        <f>DAY(ORDERS[[#This Row],[OrderDate]])</f>
        <v>9</v>
      </c>
      <c r="M328" s="2">
        <f>YEAR(ORDERS[[#This Row],[OrderDate]])</f>
        <v>2012</v>
      </c>
    </row>
    <row r="329" spans="1:13" x14ac:dyDescent="0.3">
      <c r="A329">
        <v>328</v>
      </c>
      <c r="B329">
        <v>5</v>
      </c>
      <c r="C329">
        <v>5</v>
      </c>
      <c r="D329" s="1">
        <v>41161</v>
      </c>
      <c r="E329">
        <v>81</v>
      </c>
      <c r="F329">
        <f>VLOOKUP(ORDERS[[#This Row],[ProductID]],Products[],4,FALSE)</f>
        <v>16</v>
      </c>
      <c r="G329">
        <v>0</v>
      </c>
      <c r="H329">
        <f>(ORDERS[[#This Row],[UnitsOrdered]]*ORDERS[[#This Row],[unit price]])-(ORDERS[[#This Row],[UnitsOrdered]]*ORDERS[[#This Row],[unit price]]*ORDERS[[#This Row],[Discount]])</f>
        <v>1296</v>
      </c>
      <c r="I329" t="str">
        <f>VLOOKUP(ORDERS[[#This Row],[CustomerID]],customers[],2,FALSE)</f>
        <v>Rags to Riches</v>
      </c>
      <c r="J329" s="2" t="str">
        <f>VLOOKUP(ORDERS[[#This Row],[CustomerID]],customers[],4,FALSE)</f>
        <v>Las Vegas</v>
      </c>
      <c r="K329" s="2" t="str">
        <f>VLOOKUP(ORDERS[[#This Row],[ProductID]],Products[],3,FALSE)</f>
        <v>Female</v>
      </c>
      <c r="L329" s="2">
        <f>DAY(ORDERS[[#This Row],[OrderDate]])</f>
        <v>9</v>
      </c>
      <c r="M329" s="2">
        <f>YEAR(ORDERS[[#This Row],[OrderDate]])</f>
        <v>2012</v>
      </c>
    </row>
    <row r="330" spans="1:13" x14ac:dyDescent="0.3">
      <c r="A330">
        <v>329</v>
      </c>
      <c r="B330">
        <v>2</v>
      </c>
      <c r="C330">
        <v>2</v>
      </c>
      <c r="D330" s="1">
        <v>41164</v>
      </c>
      <c r="E330">
        <v>77</v>
      </c>
      <c r="F330">
        <f>VLOOKUP(ORDERS[[#This Row],[ProductID]],Products[],4,FALSE)</f>
        <v>30</v>
      </c>
      <c r="G330">
        <v>0</v>
      </c>
      <c r="H330">
        <f>(ORDERS[[#This Row],[UnitsOrdered]]*ORDERS[[#This Row],[unit price]])-(ORDERS[[#This Row],[UnitsOrdered]]*ORDERS[[#This Row],[unit price]]*ORDERS[[#This Row],[Discount]])</f>
        <v>2310</v>
      </c>
      <c r="I330" t="str">
        <f>VLOOKUP(ORDERS[[#This Row],[CustomerID]],customers[],2,FALSE)</f>
        <v>A Shirts Life</v>
      </c>
      <c r="J330" s="2" t="str">
        <f>VLOOKUP(ORDERS[[#This Row],[CustomerID]],customers[],4,FALSE)</f>
        <v>Portland</v>
      </c>
      <c r="K330" s="2" t="str">
        <f>VLOOKUP(ORDERS[[#This Row],[ProductID]],Products[],3,FALSE)</f>
        <v>Both</v>
      </c>
      <c r="L330" s="2">
        <f>DAY(ORDERS[[#This Row],[OrderDate]])</f>
        <v>12</v>
      </c>
      <c r="M330" s="2">
        <f>YEAR(ORDERS[[#This Row],[OrderDate]])</f>
        <v>2012</v>
      </c>
    </row>
    <row r="331" spans="1:13" x14ac:dyDescent="0.3">
      <c r="A331">
        <v>330</v>
      </c>
      <c r="B331">
        <v>3</v>
      </c>
      <c r="C331">
        <v>2</v>
      </c>
      <c r="D331" s="1">
        <v>41164</v>
      </c>
      <c r="E331">
        <v>46</v>
      </c>
      <c r="F331">
        <f>VLOOKUP(ORDERS[[#This Row],[ProductID]],Products[],4,FALSE)</f>
        <v>30</v>
      </c>
      <c r="G331">
        <v>0</v>
      </c>
      <c r="H331">
        <f>(ORDERS[[#This Row],[UnitsOrdered]]*ORDERS[[#This Row],[unit price]])-(ORDERS[[#This Row],[UnitsOrdered]]*ORDERS[[#This Row],[unit price]]*ORDERS[[#This Row],[Discount]])</f>
        <v>1380</v>
      </c>
      <c r="I331" t="str">
        <f>VLOOKUP(ORDERS[[#This Row],[CustomerID]],customers[],2,FALSE)</f>
        <v>Shirts R Us</v>
      </c>
      <c r="J331" s="2" t="str">
        <f>VLOOKUP(ORDERS[[#This Row],[CustomerID]],customers[],4,FALSE)</f>
        <v>Los Angeles</v>
      </c>
      <c r="K331" s="2" t="str">
        <f>VLOOKUP(ORDERS[[#This Row],[ProductID]],Products[],3,FALSE)</f>
        <v>Both</v>
      </c>
      <c r="L331" s="2">
        <f>DAY(ORDERS[[#This Row],[OrderDate]])</f>
        <v>12</v>
      </c>
      <c r="M331" s="2">
        <f>YEAR(ORDERS[[#This Row],[OrderDate]])</f>
        <v>2012</v>
      </c>
    </row>
    <row r="332" spans="1:13" x14ac:dyDescent="0.3">
      <c r="A332">
        <v>331</v>
      </c>
      <c r="B332">
        <v>3</v>
      </c>
      <c r="C332">
        <v>10</v>
      </c>
      <c r="D332" s="1">
        <v>41164</v>
      </c>
      <c r="E332">
        <v>52</v>
      </c>
      <c r="F332">
        <f>VLOOKUP(ORDERS[[#This Row],[ProductID]],Products[],4,FALSE)</f>
        <v>35</v>
      </c>
      <c r="G332">
        <v>5.0000001000000002E-2</v>
      </c>
      <c r="H332">
        <f>(ORDERS[[#This Row],[UnitsOrdered]]*ORDERS[[#This Row],[unit price]])-(ORDERS[[#This Row],[UnitsOrdered]]*ORDERS[[#This Row],[unit price]]*ORDERS[[#This Row],[Discount]])</f>
        <v>1728.9999981799999</v>
      </c>
      <c r="I332" t="str">
        <f>VLOOKUP(ORDERS[[#This Row],[CustomerID]],customers[],2,FALSE)</f>
        <v>Shirts R Us</v>
      </c>
      <c r="J332" s="2" t="str">
        <f>VLOOKUP(ORDERS[[#This Row],[CustomerID]],customers[],4,FALSE)</f>
        <v>Los Angeles</v>
      </c>
      <c r="K332" s="2" t="str">
        <f>VLOOKUP(ORDERS[[#This Row],[ProductID]],Products[],3,FALSE)</f>
        <v>Male</v>
      </c>
      <c r="L332" s="2">
        <f>DAY(ORDERS[[#This Row],[OrderDate]])</f>
        <v>12</v>
      </c>
      <c r="M332" s="2">
        <f>YEAR(ORDERS[[#This Row],[OrderDate]])</f>
        <v>2012</v>
      </c>
    </row>
    <row r="333" spans="1:13" x14ac:dyDescent="0.3">
      <c r="A333">
        <v>332</v>
      </c>
      <c r="B333">
        <v>6</v>
      </c>
      <c r="C333">
        <v>5</v>
      </c>
      <c r="D333" s="1">
        <v>41164</v>
      </c>
      <c r="E333">
        <v>57</v>
      </c>
      <c r="F333">
        <f>VLOOKUP(ORDERS[[#This Row],[ProductID]],Products[],4,FALSE)</f>
        <v>16</v>
      </c>
      <c r="G333">
        <v>5.0000001000000002E-2</v>
      </c>
      <c r="H333">
        <f>(ORDERS[[#This Row],[UnitsOrdered]]*ORDERS[[#This Row],[unit price]])-(ORDERS[[#This Row],[UnitsOrdered]]*ORDERS[[#This Row],[unit price]]*ORDERS[[#This Row],[Discount]])</f>
        <v>866.39999908799996</v>
      </c>
      <c r="I333" t="str">
        <f>VLOOKUP(ORDERS[[#This Row],[CustomerID]],customers[],2,FALSE)</f>
        <v>Abracadaba Ink</v>
      </c>
      <c r="J333" s="2" t="str">
        <f>VLOOKUP(ORDERS[[#This Row],[CustomerID]],customers[],4,FALSE)</f>
        <v>Salt Lake City</v>
      </c>
      <c r="K333" s="2" t="str">
        <f>VLOOKUP(ORDERS[[#This Row],[ProductID]],Products[],3,FALSE)</f>
        <v>Female</v>
      </c>
      <c r="L333" s="2">
        <f>DAY(ORDERS[[#This Row],[OrderDate]])</f>
        <v>12</v>
      </c>
      <c r="M333" s="2">
        <f>YEAR(ORDERS[[#This Row],[OrderDate]])</f>
        <v>2012</v>
      </c>
    </row>
    <row r="334" spans="1:13" x14ac:dyDescent="0.3">
      <c r="A334">
        <v>333</v>
      </c>
      <c r="B334">
        <v>7</v>
      </c>
      <c r="C334">
        <v>6</v>
      </c>
      <c r="D334" s="1">
        <v>41164</v>
      </c>
      <c r="E334">
        <v>64</v>
      </c>
      <c r="F334">
        <f>VLOOKUP(ORDERS[[#This Row],[ProductID]],Products[],4,FALSE)</f>
        <v>28</v>
      </c>
      <c r="G334">
        <v>0</v>
      </c>
      <c r="H334">
        <f>(ORDERS[[#This Row],[UnitsOrdered]]*ORDERS[[#This Row],[unit price]])-(ORDERS[[#This Row],[UnitsOrdered]]*ORDERS[[#This Row],[unit price]]*ORDERS[[#This Row],[Discount]])</f>
        <v>1792</v>
      </c>
      <c r="I334" t="str">
        <f>VLOOKUP(ORDERS[[#This Row],[CustomerID]],customers[],2,FALSE)</f>
        <v>The Shirt on Your Back</v>
      </c>
      <c r="J334" s="2" t="str">
        <f>VLOOKUP(ORDERS[[#This Row],[CustomerID]],customers[],4,FALSE)</f>
        <v>Bonners Ferry</v>
      </c>
      <c r="K334" s="2" t="str">
        <f>VLOOKUP(ORDERS[[#This Row],[ProductID]],Products[],3,FALSE)</f>
        <v>Female</v>
      </c>
      <c r="L334" s="2">
        <f>DAY(ORDERS[[#This Row],[OrderDate]])</f>
        <v>12</v>
      </c>
      <c r="M334" s="2">
        <f>YEAR(ORDERS[[#This Row],[OrderDate]])</f>
        <v>2012</v>
      </c>
    </row>
    <row r="335" spans="1:13" x14ac:dyDescent="0.3">
      <c r="A335">
        <v>334</v>
      </c>
      <c r="B335">
        <v>1</v>
      </c>
      <c r="C335">
        <v>3</v>
      </c>
      <c r="D335" s="1">
        <v>41165</v>
      </c>
      <c r="E335">
        <v>120</v>
      </c>
      <c r="F335">
        <f>VLOOKUP(ORDERS[[#This Row],[ProductID]],Products[],4,FALSE)</f>
        <v>22</v>
      </c>
      <c r="G335">
        <v>5.0000001000000002E-2</v>
      </c>
      <c r="H335">
        <f>(ORDERS[[#This Row],[UnitsOrdered]]*ORDERS[[#This Row],[unit price]])-(ORDERS[[#This Row],[UnitsOrdered]]*ORDERS[[#This Row],[unit price]]*ORDERS[[#This Row],[Discount]])</f>
        <v>2507.9999973600002</v>
      </c>
      <c r="I335" t="str">
        <f>VLOOKUP(ORDERS[[#This Row],[CustomerID]],customers[],2,FALSE)</f>
        <v>Threads</v>
      </c>
      <c r="J335" s="2" t="str">
        <f>VLOOKUP(ORDERS[[#This Row],[CustomerID]],customers[],4,FALSE)</f>
        <v>Seattle</v>
      </c>
      <c r="K335" s="2" t="str">
        <f>VLOOKUP(ORDERS[[#This Row],[ProductID]],Products[],3,FALSE)</f>
        <v>Both</v>
      </c>
      <c r="L335" s="2">
        <f>DAY(ORDERS[[#This Row],[OrderDate]])</f>
        <v>13</v>
      </c>
      <c r="M335" s="2">
        <f>YEAR(ORDERS[[#This Row],[OrderDate]])</f>
        <v>2012</v>
      </c>
    </row>
    <row r="336" spans="1:13" x14ac:dyDescent="0.3">
      <c r="A336">
        <v>335</v>
      </c>
      <c r="B336">
        <v>3</v>
      </c>
      <c r="C336">
        <v>4</v>
      </c>
      <c r="D336" s="1">
        <v>41165</v>
      </c>
      <c r="E336">
        <v>124</v>
      </c>
      <c r="F336">
        <f>VLOOKUP(ORDERS[[#This Row],[ProductID]],Products[],4,FALSE)</f>
        <v>30</v>
      </c>
      <c r="G336">
        <v>0</v>
      </c>
      <c r="H336">
        <f>(ORDERS[[#This Row],[UnitsOrdered]]*ORDERS[[#This Row],[unit price]])-(ORDERS[[#This Row],[UnitsOrdered]]*ORDERS[[#This Row],[unit price]]*ORDERS[[#This Row],[Discount]])</f>
        <v>3720</v>
      </c>
      <c r="I336" t="str">
        <f>VLOOKUP(ORDERS[[#This Row],[CustomerID]],customers[],2,FALSE)</f>
        <v>Shirts R Us</v>
      </c>
      <c r="J336" s="2" t="str">
        <f>VLOOKUP(ORDERS[[#This Row],[CustomerID]],customers[],4,FALSE)</f>
        <v>Los Angeles</v>
      </c>
      <c r="K336" s="2" t="str">
        <f>VLOOKUP(ORDERS[[#This Row],[ProductID]],Products[],3,FALSE)</f>
        <v>Both</v>
      </c>
      <c r="L336" s="2">
        <f>DAY(ORDERS[[#This Row],[OrderDate]])</f>
        <v>13</v>
      </c>
      <c r="M336" s="2">
        <f>YEAR(ORDERS[[#This Row],[OrderDate]])</f>
        <v>2012</v>
      </c>
    </row>
    <row r="337" spans="1:13" x14ac:dyDescent="0.3">
      <c r="A337">
        <v>336</v>
      </c>
      <c r="B337">
        <v>2</v>
      </c>
      <c r="C337">
        <v>7</v>
      </c>
      <c r="D337" s="1">
        <v>41167</v>
      </c>
      <c r="E337">
        <v>54</v>
      </c>
      <c r="F337">
        <f>VLOOKUP(ORDERS[[#This Row],[ProductID]],Products[],4,FALSE)</f>
        <v>38</v>
      </c>
      <c r="G337">
        <v>0</v>
      </c>
      <c r="H337">
        <f>(ORDERS[[#This Row],[UnitsOrdered]]*ORDERS[[#This Row],[unit price]])-(ORDERS[[#This Row],[UnitsOrdered]]*ORDERS[[#This Row],[unit price]]*ORDERS[[#This Row],[Discount]])</f>
        <v>2052</v>
      </c>
      <c r="I337" t="str">
        <f>VLOOKUP(ORDERS[[#This Row],[CustomerID]],customers[],2,FALSE)</f>
        <v>A Shirts Life</v>
      </c>
      <c r="J337" s="2" t="str">
        <f>VLOOKUP(ORDERS[[#This Row],[CustomerID]],customers[],4,FALSE)</f>
        <v>Portland</v>
      </c>
      <c r="K337" s="2" t="str">
        <f>VLOOKUP(ORDERS[[#This Row],[ProductID]],Products[],3,FALSE)</f>
        <v>Female</v>
      </c>
      <c r="L337" s="2">
        <f>DAY(ORDERS[[#This Row],[OrderDate]])</f>
        <v>15</v>
      </c>
      <c r="M337" s="2">
        <f>YEAR(ORDERS[[#This Row],[OrderDate]])</f>
        <v>2012</v>
      </c>
    </row>
    <row r="338" spans="1:13" x14ac:dyDescent="0.3">
      <c r="A338">
        <v>337</v>
      </c>
      <c r="B338">
        <v>7</v>
      </c>
      <c r="C338">
        <v>4</v>
      </c>
      <c r="D338" s="1">
        <v>41167</v>
      </c>
      <c r="E338">
        <v>45</v>
      </c>
      <c r="F338">
        <f>VLOOKUP(ORDERS[[#This Row],[ProductID]],Products[],4,FALSE)</f>
        <v>30</v>
      </c>
      <c r="G338">
        <v>0</v>
      </c>
      <c r="H338">
        <f>(ORDERS[[#This Row],[UnitsOrdered]]*ORDERS[[#This Row],[unit price]])-(ORDERS[[#This Row],[UnitsOrdered]]*ORDERS[[#This Row],[unit price]]*ORDERS[[#This Row],[Discount]])</f>
        <v>1350</v>
      </c>
      <c r="I338" t="str">
        <f>VLOOKUP(ORDERS[[#This Row],[CustomerID]],customers[],2,FALSE)</f>
        <v>The Shirt on Your Back</v>
      </c>
      <c r="J338" s="2" t="str">
        <f>VLOOKUP(ORDERS[[#This Row],[CustomerID]],customers[],4,FALSE)</f>
        <v>Bonners Ferry</v>
      </c>
      <c r="K338" s="2" t="str">
        <f>VLOOKUP(ORDERS[[#This Row],[ProductID]],Products[],3,FALSE)</f>
        <v>Both</v>
      </c>
      <c r="L338" s="2">
        <f>DAY(ORDERS[[#This Row],[OrderDate]])</f>
        <v>15</v>
      </c>
      <c r="M338" s="2">
        <f>YEAR(ORDERS[[#This Row],[OrderDate]])</f>
        <v>2012</v>
      </c>
    </row>
    <row r="339" spans="1:13" x14ac:dyDescent="0.3">
      <c r="A339">
        <v>338</v>
      </c>
      <c r="B339">
        <v>1</v>
      </c>
      <c r="C339">
        <v>6</v>
      </c>
      <c r="D339" s="1">
        <v>41168</v>
      </c>
      <c r="E339">
        <v>57</v>
      </c>
      <c r="F339">
        <f>VLOOKUP(ORDERS[[#This Row],[ProductID]],Products[],4,FALSE)</f>
        <v>28</v>
      </c>
      <c r="G339">
        <v>5.0000001000000002E-2</v>
      </c>
      <c r="H339">
        <f>(ORDERS[[#This Row],[UnitsOrdered]]*ORDERS[[#This Row],[unit price]])-(ORDERS[[#This Row],[UnitsOrdered]]*ORDERS[[#This Row],[unit price]]*ORDERS[[#This Row],[Discount]])</f>
        <v>1516.1999984040001</v>
      </c>
      <c r="I339" t="str">
        <f>VLOOKUP(ORDERS[[#This Row],[CustomerID]],customers[],2,FALSE)</f>
        <v>Threads</v>
      </c>
      <c r="J339" s="2" t="str">
        <f>VLOOKUP(ORDERS[[#This Row],[CustomerID]],customers[],4,FALSE)</f>
        <v>Seattle</v>
      </c>
      <c r="K339" s="2" t="str">
        <f>VLOOKUP(ORDERS[[#This Row],[ProductID]],Products[],3,FALSE)</f>
        <v>Female</v>
      </c>
      <c r="L339" s="2">
        <f>DAY(ORDERS[[#This Row],[OrderDate]])</f>
        <v>16</v>
      </c>
      <c r="M339" s="2">
        <f>YEAR(ORDERS[[#This Row],[OrderDate]])</f>
        <v>2012</v>
      </c>
    </row>
    <row r="340" spans="1:13" x14ac:dyDescent="0.3">
      <c r="A340">
        <v>339</v>
      </c>
      <c r="B340">
        <v>7</v>
      </c>
      <c r="C340">
        <v>6</v>
      </c>
      <c r="D340" s="1">
        <v>41170</v>
      </c>
      <c r="E340">
        <v>47</v>
      </c>
      <c r="F340">
        <f>VLOOKUP(ORDERS[[#This Row],[ProductID]],Products[],4,FALSE)</f>
        <v>28</v>
      </c>
      <c r="G340">
        <v>0</v>
      </c>
      <c r="H340">
        <f>(ORDERS[[#This Row],[UnitsOrdered]]*ORDERS[[#This Row],[unit price]])-(ORDERS[[#This Row],[UnitsOrdered]]*ORDERS[[#This Row],[unit price]]*ORDERS[[#This Row],[Discount]])</f>
        <v>1316</v>
      </c>
      <c r="I340" t="str">
        <f>VLOOKUP(ORDERS[[#This Row],[CustomerID]],customers[],2,FALSE)</f>
        <v>The Shirt on Your Back</v>
      </c>
      <c r="J340" s="2" t="str">
        <f>VLOOKUP(ORDERS[[#This Row],[CustomerID]],customers[],4,FALSE)</f>
        <v>Bonners Ferry</v>
      </c>
      <c r="K340" s="2" t="str">
        <f>VLOOKUP(ORDERS[[#This Row],[ProductID]],Products[],3,FALSE)</f>
        <v>Female</v>
      </c>
      <c r="L340" s="2">
        <f>DAY(ORDERS[[#This Row],[OrderDate]])</f>
        <v>18</v>
      </c>
      <c r="M340" s="2">
        <f>YEAR(ORDERS[[#This Row],[OrderDate]])</f>
        <v>2012</v>
      </c>
    </row>
    <row r="341" spans="1:13" x14ac:dyDescent="0.3">
      <c r="A341">
        <v>340</v>
      </c>
      <c r="B341">
        <v>4</v>
      </c>
      <c r="C341">
        <v>6</v>
      </c>
      <c r="D341" s="1">
        <v>41172</v>
      </c>
      <c r="E341">
        <v>149</v>
      </c>
      <c r="F341">
        <f>VLOOKUP(ORDERS[[#This Row],[ProductID]],Products[],4,FALSE)</f>
        <v>28</v>
      </c>
      <c r="G341">
        <v>0</v>
      </c>
      <c r="H341">
        <f>(ORDERS[[#This Row],[UnitsOrdered]]*ORDERS[[#This Row],[unit price]])-(ORDERS[[#This Row],[UnitsOrdered]]*ORDERS[[#This Row],[unit price]]*ORDERS[[#This Row],[Discount]])</f>
        <v>4172</v>
      </c>
      <c r="I341" t="str">
        <f>VLOOKUP(ORDERS[[#This Row],[CustomerID]],customers[],2,FALSE)</f>
        <v>Tshirt Unlimited</v>
      </c>
      <c r="J341" s="2" t="str">
        <f>VLOOKUP(ORDERS[[#This Row],[CustomerID]],customers[],4,FALSE)</f>
        <v>Phoenix</v>
      </c>
      <c r="K341" s="2" t="str">
        <f>VLOOKUP(ORDERS[[#This Row],[ProductID]],Products[],3,FALSE)</f>
        <v>Female</v>
      </c>
      <c r="L341" s="2">
        <f>DAY(ORDERS[[#This Row],[OrderDate]])</f>
        <v>20</v>
      </c>
      <c r="M341" s="2">
        <f>YEAR(ORDERS[[#This Row],[OrderDate]])</f>
        <v>2012</v>
      </c>
    </row>
    <row r="342" spans="1:13" x14ac:dyDescent="0.3">
      <c r="A342">
        <v>341</v>
      </c>
      <c r="B342">
        <v>7</v>
      </c>
      <c r="C342">
        <v>4</v>
      </c>
      <c r="D342" s="1">
        <v>41173</v>
      </c>
      <c r="E342">
        <v>137</v>
      </c>
      <c r="F342">
        <f>VLOOKUP(ORDERS[[#This Row],[ProductID]],Products[],4,FALSE)</f>
        <v>30</v>
      </c>
      <c r="G342">
        <v>0</v>
      </c>
      <c r="H342">
        <f>(ORDERS[[#This Row],[UnitsOrdered]]*ORDERS[[#This Row],[unit price]])-(ORDERS[[#This Row],[UnitsOrdered]]*ORDERS[[#This Row],[unit price]]*ORDERS[[#This Row],[Discount]])</f>
        <v>4110</v>
      </c>
      <c r="I342" t="str">
        <f>VLOOKUP(ORDERS[[#This Row],[CustomerID]],customers[],2,FALSE)</f>
        <v>The Shirt on Your Back</v>
      </c>
      <c r="J342" s="2" t="str">
        <f>VLOOKUP(ORDERS[[#This Row],[CustomerID]],customers[],4,FALSE)</f>
        <v>Bonners Ferry</v>
      </c>
      <c r="K342" s="2" t="str">
        <f>VLOOKUP(ORDERS[[#This Row],[ProductID]],Products[],3,FALSE)</f>
        <v>Both</v>
      </c>
      <c r="L342" s="2">
        <f>DAY(ORDERS[[#This Row],[OrderDate]])</f>
        <v>21</v>
      </c>
      <c r="M342" s="2">
        <f>YEAR(ORDERS[[#This Row],[OrderDate]])</f>
        <v>2012</v>
      </c>
    </row>
    <row r="343" spans="1:13" x14ac:dyDescent="0.3">
      <c r="A343">
        <v>342</v>
      </c>
      <c r="B343">
        <v>7</v>
      </c>
      <c r="C343">
        <v>8</v>
      </c>
      <c r="D343" s="1">
        <v>41174</v>
      </c>
      <c r="E343">
        <v>128</v>
      </c>
      <c r="F343">
        <f>VLOOKUP(ORDERS[[#This Row],[ProductID]],Products[],4,FALSE)</f>
        <v>27</v>
      </c>
      <c r="G343">
        <v>0</v>
      </c>
      <c r="H343">
        <f>(ORDERS[[#This Row],[UnitsOrdered]]*ORDERS[[#This Row],[unit price]])-(ORDERS[[#This Row],[UnitsOrdered]]*ORDERS[[#This Row],[unit price]]*ORDERS[[#This Row],[Discount]])</f>
        <v>3456</v>
      </c>
      <c r="I343" t="str">
        <f>VLOOKUP(ORDERS[[#This Row],[CustomerID]],customers[],2,FALSE)</f>
        <v>The Shirt on Your Back</v>
      </c>
      <c r="J343" s="2" t="str">
        <f>VLOOKUP(ORDERS[[#This Row],[CustomerID]],customers[],4,FALSE)</f>
        <v>Bonners Ferry</v>
      </c>
      <c r="K343" s="2" t="str">
        <f>VLOOKUP(ORDERS[[#This Row],[ProductID]],Products[],3,FALSE)</f>
        <v>Female</v>
      </c>
      <c r="L343" s="2">
        <f>DAY(ORDERS[[#This Row],[OrderDate]])</f>
        <v>22</v>
      </c>
      <c r="M343" s="2">
        <f>YEAR(ORDERS[[#This Row],[OrderDate]])</f>
        <v>2012</v>
      </c>
    </row>
    <row r="344" spans="1:13" x14ac:dyDescent="0.3">
      <c r="A344">
        <v>343</v>
      </c>
      <c r="B344">
        <v>3</v>
      </c>
      <c r="C344">
        <v>2</v>
      </c>
      <c r="D344" s="1">
        <v>41177</v>
      </c>
      <c r="E344">
        <v>98</v>
      </c>
      <c r="F344">
        <f>VLOOKUP(ORDERS[[#This Row],[ProductID]],Products[],4,FALSE)</f>
        <v>30</v>
      </c>
      <c r="G344">
        <v>0</v>
      </c>
      <c r="H344">
        <f>(ORDERS[[#This Row],[UnitsOrdered]]*ORDERS[[#This Row],[unit price]])-(ORDERS[[#This Row],[UnitsOrdered]]*ORDERS[[#This Row],[unit price]]*ORDERS[[#This Row],[Discount]])</f>
        <v>2940</v>
      </c>
      <c r="I344" t="str">
        <f>VLOOKUP(ORDERS[[#This Row],[CustomerID]],customers[],2,FALSE)</f>
        <v>Shirts R Us</v>
      </c>
      <c r="J344" s="2" t="str">
        <f>VLOOKUP(ORDERS[[#This Row],[CustomerID]],customers[],4,FALSE)</f>
        <v>Los Angeles</v>
      </c>
      <c r="K344" s="2" t="str">
        <f>VLOOKUP(ORDERS[[#This Row],[ProductID]],Products[],3,FALSE)</f>
        <v>Both</v>
      </c>
      <c r="L344" s="2">
        <f>DAY(ORDERS[[#This Row],[OrderDate]])</f>
        <v>25</v>
      </c>
      <c r="M344" s="2">
        <f>YEAR(ORDERS[[#This Row],[OrderDate]])</f>
        <v>2012</v>
      </c>
    </row>
    <row r="345" spans="1:13" x14ac:dyDescent="0.3">
      <c r="A345">
        <v>344</v>
      </c>
      <c r="B345">
        <v>3</v>
      </c>
      <c r="C345">
        <v>10</v>
      </c>
      <c r="D345" s="1">
        <v>41177</v>
      </c>
      <c r="E345">
        <v>75</v>
      </c>
      <c r="F345">
        <f>VLOOKUP(ORDERS[[#This Row],[ProductID]],Products[],4,FALSE)</f>
        <v>35</v>
      </c>
      <c r="G345">
        <v>0</v>
      </c>
      <c r="H345">
        <f>(ORDERS[[#This Row],[UnitsOrdered]]*ORDERS[[#This Row],[unit price]])-(ORDERS[[#This Row],[UnitsOrdered]]*ORDERS[[#This Row],[unit price]]*ORDERS[[#This Row],[Discount]])</f>
        <v>2625</v>
      </c>
      <c r="I345" t="str">
        <f>VLOOKUP(ORDERS[[#This Row],[CustomerID]],customers[],2,FALSE)</f>
        <v>Shirts R Us</v>
      </c>
      <c r="J345" s="2" t="str">
        <f>VLOOKUP(ORDERS[[#This Row],[CustomerID]],customers[],4,FALSE)</f>
        <v>Los Angeles</v>
      </c>
      <c r="K345" s="2" t="str">
        <f>VLOOKUP(ORDERS[[#This Row],[ProductID]],Products[],3,FALSE)</f>
        <v>Male</v>
      </c>
      <c r="L345" s="2">
        <f>DAY(ORDERS[[#This Row],[OrderDate]])</f>
        <v>25</v>
      </c>
      <c r="M345" s="2">
        <f>YEAR(ORDERS[[#This Row],[OrderDate]])</f>
        <v>2012</v>
      </c>
    </row>
    <row r="346" spans="1:13" x14ac:dyDescent="0.3">
      <c r="A346">
        <v>345</v>
      </c>
      <c r="B346">
        <v>7</v>
      </c>
      <c r="C346">
        <v>8</v>
      </c>
      <c r="D346" s="1">
        <v>41177</v>
      </c>
      <c r="E346">
        <v>114</v>
      </c>
      <c r="F346">
        <f>VLOOKUP(ORDERS[[#This Row],[ProductID]],Products[],4,FALSE)</f>
        <v>27</v>
      </c>
      <c r="G346">
        <v>5.0000001000000002E-2</v>
      </c>
      <c r="H346">
        <f>(ORDERS[[#This Row],[UnitsOrdered]]*ORDERS[[#This Row],[unit price]])-(ORDERS[[#This Row],[UnitsOrdered]]*ORDERS[[#This Row],[unit price]]*ORDERS[[#This Row],[Discount]])</f>
        <v>2924.0999969220002</v>
      </c>
      <c r="I346" t="str">
        <f>VLOOKUP(ORDERS[[#This Row],[CustomerID]],customers[],2,FALSE)</f>
        <v>The Shirt on Your Back</v>
      </c>
      <c r="J346" s="2" t="str">
        <f>VLOOKUP(ORDERS[[#This Row],[CustomerID]],customers[],4,FALSE)</f>
        <v>Bonners Ferry</v>
      </c>
      <c r="K346" s="2" t="str">
        <f>VLOOKUP(ORDERS[[#This Row],[ProductID]],Products[],3,FALSE)</f>
        <v>Female</v>
      </c>
      <c r="L346" s="2">
        <f>DAY(ORDERS[[#This Row],[OrderDate]])</f>
        <v>25</v>
      </c>
      <c r="M346" s="2">
        <f>YEAR(ORDERS[[#This Row],[OrderDate]])</f>
        <v>2012</v>
      </c>
    </row>
    <row r="347" spans="1:13" x14ac:dyDescent="0.3">
      <c r="A347">
        <v>346</v>
      </c>
      <c r="B347">
        <v>1</v>
      </c>
      <c r="C347">
        <v>10</v>
      </c>
      <c r="D347" s="1">
        <v>41178</v>
      </c>
      <c r="E347">
        <v>35</v>
      </c>
      <c r="F347">
        <f>VLOOKUP(ORDERS[[#This Row],[ProductID]],Products[],4,FALSE)</f>
        <v>35</v>
      </c>
      <c r="G347">
        <v>0</v>
      </c>
      <c r="H347">
        <f>(ORDERS[[#This Row],[UnitsOrdered]]*ORDERS[[#This Row],[unit price]])-(ORDERS[[#This Row],[UnitsOrdered]]*ORDERS[[#This Row],[unit price]]*ORDERS[[#This Row],[Discount]])</f>
        <v>1225</v>
      </c>
      <c r="I347" t="str">
        <f>VLOOKUP(ORDERS[[#This Row],[CustomerID]],customers[],2,FALSE)</f>
        <v>Threads</v>
      </c>
      <c r="J347" s="2" t="str">
        <f>VLOOKUP(ORDERS[[#This Row],[CustomerID]],customers[],4,FALSE)</f>
        <v>Seattle</v>
      </c>
      <c r="K347" s="2" t="str">
        <f>VLOOKUP(ORDERS[[#This Row],[ProductID]],Products[],3,FALSE)</f>
        <v>Male</v>
      </c>
      <c r="L347" s="2">
        <f>DAY(ORDERS[[#This Row],[OrderDate]])</f>
        <v>26</v>
      </c>
      <c r="M347" s="2">
        <f>YEAR(ORDERS[[#This Row],[OrderDate]])</f>
        <v>2012</v>
      </c>
    </row>
    <row r="348" spans="1:13" x14ac:dyDescent="0.3">
      <c r="A348">
        <v>347</v>
      </c>
      <c r="B348">
        <v>5</v>
      </c>
      <c r="C348">
        <v>7</v>
      </c>
      <c r="D348" s="1">
        <v>41178</v>
      </c>
      <c r="E348">
        <v>149</v>
      </c>
      <c r="F348">
        <f>VLOOKUP(ORDERS[[#This Row],[ProductID]],Products[],4,FALSE)</f>
        <v>38</v>
      </c>
      <c r="G348">
        <v>0</v>
      </c>
      <c r="H348">
        <f>(ORDERS[[#This Row],[UnitsOrdered]]*ORDERS[[#This Row],[unit price]])-(ORDERS[[#This Row],[UnitsOrdered]]*ORDERS[[#This Row],[unit price]]*ORDERS[[#This Row],[Discount]])</f>
        <v>5662</v>
      </c>
      <c r="I348" t="str">
        <f>VLOOKUP(ORDERS[[#This Row],[CustomerID]],customers[],2,FALSE)</f>
        <v>Rags to Riches</v>
      </c>
      <c r="J348" s="2" t="str">
        <f>VLOOKUP(ORDERS[[#This Row],[CustomerID]],customers[],4,FALSE)</f>
        <v>Las Vegas</v>
      </c>
      <c r="K348" s="2" t="str">
        <f>VLOOKUP(ORDERS[[#This Row],[ProductID]],Products[],3,FALSE)</f>
        <v>Female</v>
      </c>
      <c r="L348" s="2">
        <f>DAY(ORDERS[[#This Row],[OrderDate]])</f>
        <v>26</v>
      </c>
      <c r="M348" s="2">
        <f>YEAR(ORDERS[[#This Row],[OrderDate]])</f>
        <v>2012</v>
      </c>
    </row>
    <row r="349" spans="1:13" x14ac:dyDescent="0.3">
      <c r="A349">
        <v>348</v>
      </c>
      <c r="B349">
        <v>6</v>
      </c>
      <c r="C349">
        <v>4</v>
      </c>
      <c r="D349" s="1">
        <v>41178</v>
      </c>
      <c r="E349">
        <v>101</v>
      </c>
      <c r="F349">
        <f>VLOOKUP(ORDERS[[#This Row],[ProductID]],Products[],4,FALSE)</f>
        <v>30</v>
      </c>
      <c r="G349">
        <v>0</v>
      </c>
      <c r="H349">
        <f>(ORDERS[[#This Row],[UnitsOrdered]]*ORDERS[[#This Row],[unit price]])-(ORDERS[[#This Row],[UnitsOrdered]]*ORDERS[[#This Row],[unit price]]*ORDERS[[#This Row],[Discount]])</f>
        <v>3030</v>
      </c>
      <c r="I349" t="str">
        <f>VLOOKUP(ORDERS[[#This Row],[CustomerID]],customers[],2,FALSE)</f>
        <v>Abracadaba Ink</v>
      </c>
      <c r="J349" s="2" t="str">
        <f>VLOOKUP(ORDERS[[#This Row],[CustomerID]],customers[],4,FALSE)</f>
        <v>Salt Lake City</v>
      </c>
      <c r="K349" s="2" t="str">
        <f>VLOOKUP(ORDERS[[#This Row],[ProductID]],Products[],3,FALSE)</f>
        <v>Both</v>
      </c>
      <c r="L349" s="2">
        <f>DAY(ORDERS[[#This Row],[OrderDate]])</f>
        <v>26</v>
      </c>
      <c r="M349" s="2">
        <f>YEAR(ORDERS[[#This Row],[OrderDate]])</f>
        <v>2012</v>
      </c>
    </row>
    <row r="350" spans="1:13" x14ac:dyDescent="0.3">
      <c r="A350">
        <v>349</v>
      </c>
      <c r="B350">
        <v>1</v>
      </c>
      <c r="C350">
        <v>3</v>
      </c>
      <c r="D350" s="1">
        <v>41179</v>
      </c>
      <c r="E350">
        <v>102</v>
      </c>
      <c r="F350">
        <f>VLOOKUP(ORDERS[[#This Row],[ProductID]],Products[],4,FALSE)</f>
        <v>22</v>
      </c>
      <c r="G350">
        <v>0</v>
      </c>
      <c r="H350">
        <f>(ORDERS[[#This Row],[UnitsOrdered]]*ORDERS[[#This Row],[unit price]])-(ORDERS[[#This Row],[UnitsOrdered]]*ORDERS[[#This Row],[unit price]]*ORDERS[[#This Row],[Discount]])</f>
        <v>2244</v>
      </c>
      <c r="I350" t="str">
        <f>VLOOKUP(ORDERS[[#This Row],[CustomerID]],customers[],2,FALSE)</f>
        <v>Threads</v>
      </c>
      <c r="J350" s="2" t="str">
        <f>VLOOKUP(ORDERS[[#This Row],[CustomerID]],customers[],4,FALSE)</f>
        <v>Seattle</v>
      </c>
      <c r="K350" s="2" t="str">
        <f>VLOOKUP(ORDERS[[#This Row],[ProductID]],Products[],3,FALSE)</f>
        <v>Both</v>
      </c>
      <c r="L350" s="2">
        <f>DAY(ORDERS[[#This Row],[OrderDate]])</f>
        <v>27</v>
      </c>
      <c r="M350" s="2">
        <f>YEAR(ORDERS[[#This Row],[OrderDate]])</f>
        <v>2012</v>
      </c>
    </row>
    <row r="351" spans="1:13" x14ac:dyDescent="0.3">
      <c r="A351">
        <v>350</v>
      </c>
      <c r="B351">
        <v>3</v>
      </c>
      <c r="C351">
        <v>2</v>
      </c>
      <c r="D351" s="1">
        <v>41179</v>
      </c>
      <c r="E351">
        <v>143</v>
      </c>
      <c r="F351">
        <f>VLOOKUP(ORDERS[[#This Row],[ProductID]],Products[],4,FALSE)</f>
        <v>30</v>
      </c>
      <c r="G351">
        <v>5.0000001000000002E-2</v>
      </c>
      <c r="H351">
        <f>(ORDERS[[#This Row],[UnitsOrdered]]*ORDERS[[#This Row],[unit price]])-(ORDERS[[#This Row],[UnitsOrdered]]*ORDERS[[#This Row],[unit price]]*ORDERS[[#This Row],[Discount]])</f>
        <v>4075.4999957099999</v>
      </c>
      <c r="I351" t="str">
        <f>VLOOKUP(ORDERS[[#This Row],[CustomerID]],customers[],2,FALSE)</f>
        <v>Shirts R Us</v>
      </c>
      <c r="J351" s="2" t="str">
        <f>VLOOKUP(ORDERS[[#This Row],[CustomerID]],customers[],4,FALSE)</f>
        <v>Los Angeles</v>
      </c>
      <c r="K351" s="2" t="str">
        <f>VLOOKUP(ORDERS[[#This Row],[ProductID]],Products[],3,FALSE)</f>
        <v>Both</v>
      </c>
      <c r="L351" s="2">
        <f>DAY(ORDERS[[#This Row],[OrderDate]])</f>
        <v>27</v>
      </c>
      <c r="M351" s="2">
        <f>YEAR(ORDERS[[#This Row],[OrderDate]])</f>
        <v>2012</v>
      </c>
    </row>
    <row r="352" spans="1:13" x14ac:dyDescent="0.3">
      <c r="A352">
        <v>351</v>
      </c>
      <c r="B352">
        <v>6</v>
      </c>
      <c r="C352">
        <v>1</v>
      </c>
      <c r="D352" s="1">
        <v>41179</v>
      </c>
      <c r="E352">
        <v>116</v>
      </c>
      <c r="F352">
        <f>VLOOKUP(ORDERS[[#This Row],[ProductID]],Products[],4,FALSE)</f>
        <v>20</v>
      </c>
      <c r="G352">
        <v>0</v>
      </c>
      <c r="H352">
        <f>(ORDERS[[#This Row],[UnitsOrdered]]*ORDERS[[#This Row],[unit price]])-(ORDERS[[#This Row],[UnitsOrdered]]*ORDERS[[#This Row],[unit price]]*ORDERS[[#This Row],[Discount]])</f>
        <v>2320</v>
      </c>
      <c r="I352" t="str">
        <f>VLOOKUP(ORDERS[[#This Row],[CustomerID]],customers[],2,FALSE)</f>
        <v>Abracadaba Ink</v>
      </c>
      <c r="J352" s="2" t="str">
        <f>VLOOKUP(ORDERS[[#This Row],[CustomerID]],customers[],4,FALSE)</f>
        <v>Salt Lake City</v>
      </c>
      <c r="K352" s="2" t="str">
        <f>VLOOKUP(ORDERS[[#This Row],[ProductID]],Products[],3,FALSE)</f>
        <v>Both</v>
      </c>
      <c r="L352" s="2">
        <f>DAY(ORDERS[[#This Row],[OrderDate]])</f>
        <v>27</v>
      </c>
      <c r="M352" s="2">
        <f>YEAR(ORDERS[[#This Row],[OrderDate]])</f>
        <v>2012</v>
      </c>
    </row>
    <row r="353" spans="1:13" x14ac:dyDescent="0.3">
      <c r="A353">
        <v>352</v>
      </c>
      <c r="B353">
        <v>6</v>
      </c>
      <c r="C353">
        <v>9</v>
      </c>
      <c r="D353" s="1">
        <v>41180</v>
      </c>
      <c r="E353">
        <v>132</v>
      </c>
      <c r="F353">
        <f>VLOOKUP(ORDERS[[#This Row],[ProductID]],Products[],4,FALSE)</f>
        <v>25</v>
      </c>
      <c r="G353">
        <v>0</v>
      </c>
      <c r="H353">
        <f>(ORDERS[[#This Row],[UnitsOrdered]]*ORDERS[[#This Row],[unit price]])-(ORDERS[[#This Row],[UnitsOrdered]]*ORDERS[[#This Row],[unit price]]*ORDERS[[#This Row],[Discount]])</f>
        <v>3300</v>
      </c>
      <c r="I353" t="str">
        <f>VLOOKUP(ORDERS[[#This Row],[CustomerID]],customers[],2,FALSE)</f>
        <v>Abracadaba Ink</v>
      </c>
      <c r="J353" s="2" t="str">
        <f>VLOOKUP(ORDERS[[#This Row],[CustomerID]],customers[],4,FALSE)</f>
        <v>Salt Lake City</v>
      </c>
      <c r="K353" s="2" t="str">
        <f>VLOOKUP(ORDERS[[#This Row],[ProductID]],Products[],3,FALSE)</f>
        <v>Male</v>
      </c>
      <c r="L353" s="2">
        <f>DAY(ORDERS[[#This Row],[OrderDate]])</f>
        <v>28</v>
      </c>
      <c r="M353" s="2">
        <f>YEAR(ORDERS[[#This Row],[OrderDate]])</f>
        <v>2012</v>
      </c>
    </row>
    <row r="354" spans="1:13" x14ac:dyDescent="0.3">
      <c r="A354">
        <v>353</v>
      </c>
      <c r="B354">
        <v>1</v>
      </c>
      <c r="C354">
        <v>9</v>
      </c>
      <c r="D354" s="1">
        <v>41183</v>
      </c>
      <c r="E354">
        <v>107</v>
      </c>
      <c r="F354">
        <f>VLOOKUP(ORDERS[[#This Row],[ProductID]],Products[],4,FALSE)</f>
        <v>25</v>
      </c>
      <c r="G354">
        <v>0</v>
      </c>
      <c r="H354">
        <f>(ORDERS[[#This Row],[UnitsOrdered]]*ORDERS[[#This Row],[unit price]])-(ORDERS[[#This Row],[UnitsOrdered]]*ORDERS[[#This Row],[unit price]]*ORDERS[[#This Row],[Discount]])</f>
        <v>2675</v>
      </c>
      <c r="I354" t="str">
        <f>VLOOKUP(ORDERS[[#This Row],[CustomerID]],customers[],2,FALSE)</f>
        <v>Threads</v>
      </c>
      <c r="J354" s="2" t="str">
        <f>VLOOKUP(ORDERS[[#This Row],[CustomerID]],customers[],4,FALSE)</f>
        <v>Seattle</v>
      </c>
      <c r="K354" s="2" t="str">
        <f>VLOOKUP(ORDERS[[#This Row],[ProductID]],Products[],3,FALSE)</f>
        <v>Male</v>
      </c>
      <c r="L354" s="2">
        <f>DAY(ORDERS[[#This Row],[OrderDate]])</f>
        <v>1</v>
      </c>
      <c r="M354" s="2">
        <f>YEAR(ORDERS[[#This Row],[OrderDate]])</f>
        <v>2012</v>
      </c>
    </row>
    <row r="355" spans="1:13" x14ac:dyDescent="0.3">
      <c r="A355">
        <v>354</v>
      </c>
      <c r="B355">
        <v>4</v>
      </c>
      <c r="C355">
        <v>5</v>
      </c>
      <c r="D355" s="1">
        <v>41183</v>
      </c>
      <c r="E355">
        <v>27</v>
      </c>
      <c r="F355">
        <f>VLOOKUP(ORDERS[[#This Row],[ProductID]],Products[],4,FALSE)</f>
        <v>16</v>
      </c>
      <c r="G355">
        <v>5.0000001000000002E-2</v>
      </c>
      <c r="H355">
        <f>(ORDERS[[#This Row],[UnitsOrdered]]*ORDERS[[#This Row],[unit price]])-(ORDERS[[#This Row],[UnitsOrdered]]*ORDERS[[#This Row],[unit price]]*ORDERS[[#This Row],[Discount]])</f>
        <v>410.399999568</v>
      </c>
      <c r="I355" t="str">
        <f>VLOOKUP(ORDERS[[#This Row],[CustomerID]],customers[],2,FALSE)</f>
        <v>Tshirt Unlimited</v>
      </c>
      <c r="J355" s="2" t="str">
        <f>VLOOKUP(ORDERS[[#This Row],[CustomerID]],customers[],4,FALSE)</f>
        <v>Phoenix</v>
      </c>
      <c r="K355" s="2" t="str">
        <f>VLOOKUP(ORDERS[[#This Row],[ProductID]],Products[],3,FALSE)</f>
        <v>Female</v>
      </c>
      <c r="L355" s="2">
        <f>DAY(ORDERS[[#This Row],[OrderDate]])</f>
        <v>1</v>
      </c>
      <c r="M355" s="2">
        <f>YEAR(ORDERS[[#This Row],[OrderDate]])</f>
        <v>2012</v>
      </c>
    </row>
    <row r="356" spans="1:13" x14ac:dyDescent="0.3">
      <c r="A356">
        <v>355</v>
      </c>
      <c r="B356">
        <v>1</v>
      </c>
      <c r="C356">
        <v>2</v>
      </c>
      <c r="D356" s="1">
        <v>41184</v>
      </c>
      <c r="E356">
        <v>145</v>
      </c>
      <c r="F356">
        <f>VLOOKUP(ORDERS[[#This Row],[ProductID]],Products[],4,FALSE)</f>
        <v>30</v>
      </c>
      <c r="G356">
        <v>0</v>
      </c>
      <c r="H356">
        <f>(ORDERS[[#This Row],[UnitsOrdered]]*ORDERS[[#This Row],[unit price]])-(ORDERS[[#This Row],[UnitsOrdered]]*ORDERS[[#This Row],[unit price]]*ORDERS[[#This Row],[Discount]])</f>
        <v>4350</v>
      </c>
      <c r="I356" t="str">
        <f>VLOOKUP(ORDERS[[#This Row],[CustomerID]],customers[],2,FALSE)</f>
        <v>Threads</v>
      </c>
      <c r="J356" s="2" t="str">
        <f>VLOOKUP(ORDERS[[#This Row],[CustomerID]],customers[],4,FALSE)</f>
        <v>Seattle</v>
      </c>
      <c r="K356" s="2" t="str">
        <f>VLOOKUP(ORDERS[[#This Row],[ProductID]],Products[],3,FALSE)</f>
        <v>Both</v>
      </c>
      <c r="L356" s="2">
        <f>DAY(ORDERS[[#This Row],[OrderDate]])</f>
        <v>2</v>
      </c>
      <c r="M356" s="2">
        <f>YEAR(ORDERS[[#This Row],[OrderDate]])</f>
        <v>2012</v>
      </c>
    </row>
    <row r="357" spans="1:13" x14ac:dyDescent="0.3">
      <c r="A357">
        <v>356</v>
      </c>
      <c r="B357">
        <v>5</v>
      </c>
      <c r="C357">
        <v>1</v>
      </c>
      <c r="D357" s="1">
        <v>41184</v>
      </c>
      <c r="E357">
        <v>87</v>
      </c>
      <c r="F357">
        <f>VLOOKUP(ORDERS[[#This Row],[ProductID]],Products[],4,FALSE)</f>
        <v>20</v>
      </c>
      <c r="G357">
        <v>0.10000000100000001</v>
      </c>
      <c r="H357">
        <f>(ORDERS[[#This Row],[UnitsOrdered]]*ORDERS[[#This Row],[unit price]])-(ORDERS[[#This Row],[UnitsOrdered]]*ORDERS[[#This Row],[unit price]]*ORDERS[[#This Row],[Discount]])</f>
        <v>1565.99999826</v>
      </c>
      <c r="I357" t="str">
        <f>VLOOKUP(ORDERS[[#This Row],[CustomerID]],customers[],2,FALSE)</f>
        <v>Rags to Riches</v>
      </c>
      <c r="J357" s="2" t="str">
        <f>VLOOKUP(ORDERS[[#This Row],[CustomerID]],customers[],4,FALSE)</f>
        <v>Las Vegas</v>
      </c>
      <c r="K357" s="2" t="str">
        <f>VLOOKUP(ORDERS[[#This Row],[ProductID]],Products[],3,FALSE)</f>
        <v>Both</v>
      </c>
      <c r="L357" s="2">
        <f>DAY(ORDERS[[#This Row],[OrderDate]])</f>
        <v>2</v>
      </c>
      <c r="M357" s="2">
        <f>YEAR(ORDERS[[#This Row],[OrderDate]])</f>
        <v>2012</v>
      </c>
    </row>
    <row r="358" spans="1:13" x14ac:dyDescent="0.3">
      <c r="A358">
        <v>357</v>
      </c>
      <c r="B358">
        <v>6</v>
      </c>
      <c r="C358">
        <v>9</v>
      </c>
      <c r="D358" s="1">
        <v>41184</v>
      </c>
      <c r="E358">
        <v>74</v>
      </c>
      <c r="F358">
        <f>VLOOKUP(ORDERS[[#This Row],[ProductID]],Products[],4,FALSE)</f>
        <v>25</v>
      </c>
      <c r="G358">
        <v>0</v>
      </c>
      <c r="H358">
        <f>(ORDERS[[#This Row],[UnitsOrdered]]*ORDERS[[#This Row],[unit price]])-(ORDERS[[#This Row],[UnitsOrdered]]*ORDERS[[#This Row],[unit price]]*ORDERS[[#This Row],[Discount]])</f>
        <v>1850</v>
      </c>
      <c r="I358" t="str">
        <f>VLOOKUP(ORDERS[[#This Row],[CustomerID]],customers[],2,FALSE)</f>
        <v>Abracadaba Ink</v>
      </c>
      <c r="J358" s="2" t="str">
        <f>VLOOKUP(ORDERS[[#This Row],[CustomerID]],customers[],4,FALSE)</f>
        <v>Salt Lake City</v>
      </c>
      <c r="K358" s="2" t="str">
        <f>VLOOKUP(ORDERS[[#This Row],[ProductID]],Products[],3,FALSE)</f>
        <v>Male</v>
      </c>
      <c r="L358" s="2">
        <f>DAY(ORDERS[[#This Row],[OrderDate]])</f>
        <v>2</v>
      </c>
      <c r="M358" s="2">
        <f>YEAR(ORDERS[[#This Row],[OrderDate]])</f>
        <v>2012</v>
      </c>
    </row>
    <row r="359" spans="1:13" x14ac:dyDescent="0.3">
      <c r="A359">
        <v>358</v>
      </c>
      <c r="B359">
        <v>3</v>
      </c>
      <c r="C359">
        <v>10</v>
      </c>
      <c r="D359" s="1">
        <v>41185</v>
      </c>
      <c r="E359">
        <v>117</v>
      </c>
      <c r="F359">
        <f>VLOOKUP(ORDERS[[#This Row],[ProductID]],Products[],4,FALSE)</f>
        <v>35</v>
      </c>
      <c r="G359">
        <v>0</v>
      </c>
      <c r="H359">
        <f>(ORDERS[[#This Row],[UnitsOrdered]]*ORDERS[[#This Row],[unit price]])-(ORDERS[[#This Row],[UnitsOrdered]]*ORDERS[[#This Row],[unit price]]*ORDERS[[#This Row],[Discount]])</f>
        <v>4095</v>
      </c>
      <c r="I359" t="str">
        <f>VLOOKUP(ORDERS[[#This Row],[CustomerID]],customers[],2,FALSE)</f>
        <v>Shirts R Us</v>
      </c>
      <c r="J359" s="2" t="str">
        <f>VLOOKUP(ORDERS[[#This Row],[CustomerID]],customers[],4,FALSE)</f>
        <v>Los Angeles</v>
      </c>
      <c r="K359" s="2" t="str">
        <f>VLOOKUP(ORDERS[[#This Row],[ProductID]],Products[],3,FALSE)</f>
        <v>Male</v>
      </c>
      <c r="L359" s="2">
        <f>DAY(ORDERS[[#This Row],[OrderDate]])</f>
        <v>3</v>
      </c>
      <c r="M359" s="2">
        <f>YEAR(ORDERS[[#This Row],[OrderDate]])</f>
        <v>2012</v>
      </c>
    </row>
    <row r="360" spans="1:13" x14ac:dyDescent="0.3">
      <c r="A360">
        <v>359</v>
      </c>
      <c r="B360">
        <v>4</v>
      </c>
      <c r="C360">
        <v>8</v>
      </c>
      <c r="D360" s="1">
        <v>41185</v>
      </c>
      <c r="E360">
        <v>84</v>
      </c>
      <c r="F360">
        <f>VLOOKUP(ORDERS[[#This Row],[ProductID]],Products[],4,FALSE)</f>
        <v>27</v>
      </c>
      <c r="G360">
        <v>0</v>
      </c>
      <c r="H360">
        <f>(ORDERS[[#This Row],[UnitsOrdered]]*ORDERS[[#This Row],[unit price]])-(ORDERS[[#This Row],[UnitsOrdered]]*ORDERS[[#This Row],[unit price]]*ORDERS[[#This Row],[Discount]])</f>
        <v>2268</v>
      </c>
      <c r="I360" t="str">
        <f>VLOOKUP(ORDERS[[#This Row],[CustomerID]],customers[],2,FALSE)</f>
        <v>Tshirt Unlimited</v>
      </c>
      <c r="J360" s="2" t="str">
        <f>VLOOKUP(ORDERS[[#This Row],[CustomerID]],customers[],4,FALSE)</f>
        <v>Phoenix</v>
      </c>
      <c r="K360" s="2" t="str">
        <f>VLOOKUP(ORDERS[[#This Row],[ProductID]],Products[],3,FALSE)</f>
        <v>Female</v>
      </c>
      <c r="L360" s="2">
        <f>DAY(ORDERS[[#This Row],[OrderDate]])</f>
        <v>3</v>
      </c>
      <c r="M360" s="2">
        <f>YEAR(ORDERS[[#This Row],[OrderDate]])</f>
        <v>2012</v>
      </c>
    </row>
    <row r="361" spans="1:13" x14ac:dyDescent="0.3">
      <c r="A361">
        <v>360</v>
      </c>
      <c r="B361">
        <v>2</v>
      </c>
      <c r="C361">
        <v>4</v>
      </c>
      <c r="D361" s="1">
        <v>41186</v>
      </c>
      <c r="E361">
        <v>75</v>
      </c>
      <c r="F361">
        <f>VLOOKUP(ORDERS[[#This Row],[ProductID]],Products[],4,FALSE)</f>
        <v>30</v>
      </c>
      <c r="G361">
        <v>0</v>
      </c>
      <c r="H361">
        <f>(ORDERS[[#This Row],[UnitsOrdered]]*ORDERS[[#This Row],[unit price]])-(ORDERS[[#This Row],[UnitsOrdered]]*ORDERS[[#This Row],[unit price]]*ORDERS[[#This Row],[Discount]])</f>
        <v>2250</v>
      </c>
      <c r="I361" t="str">
        <f>VLOOKUP(ORDERS[[#This Row],[CustomerID]],customers[],2,FALSE)</f>
        <v>A Shirts Life</v>
      </c>
      <c r="J361" s="2" t="str">
        <f>VLOOKUP(ORDERS[[#This Row],[CustomerID]],customers[],4,FALSE)</f>
        <v>Portland</v>
      </c>
      <c r="K361" s="2" t="str">
        <f>VLOOKUP(ORDERS[[#This Row],[ProductID]],Products[],3,FALSE)</f>
        <v>Both</v>
      </c>
      <c r="L361" s="2">
        <f>DAY(ORDERS[[#This Row],[OrderDate]])</f>
        <v>4</v>
      </c>
      <c r="M361" s="2">
        <f>YEAR(ORDERS[[#This Row],[OrderDate]])</f>
        <v>2012</v>
      </c>
    </row>
    <row r="362" spans="1:13" x14ac:dyDescent="0.3">
      <c r="A362">
        <v>361</v>
      </c>
      <c r="B362">
        <v>2</v>
      </c>
      <c r="C362">
        <v>2</v>
      </c>
      <c r="D362" s="1">
        <v>41190</v>
      </c>
      <c r="E362">
        <v>34</v>
      </c>
      <c r="F362">
        <f>VLOOKUP(ORDERS[[#This Row],[ProductID]],Products[],4,FALSE)</f>
        <v>30</v>
      </c>
      <c r="G362">
        <v>0</v>
      </c>
      <c r="H362">
        <f>(ORDERS[[#This Row],[UnitsOrdered]]*ORDERS[[#This Row],[unit price]])-(ORDERS[[#This Row],[UnitsOrdered]]*ORDERS[[#This Row],[unit price]]*ORDERS[[#This Row],[Discount]])</f>
        <v>1020</v>
      </c>
      <c r="I362" t="str">
        <f>VLOOKUP(ORDERS[[#This Row],[CustomerID]],customers[],2,FALSE)</f>
        <v>A Shirts Life</v>
      </c>
      <c r="J362" s="2" t="str">
        <f>VLOOKUP(ORDERS[[#This Row],[CustomerID]],customers[],4,FALSE)</f>
        <v>Portland</v>
      </c>
      <c r="K362" s="2" t="str">
        <f>VLOOKUP(ORDERS[[#This Row],[ProductID]],Products[],3,FALSE)</f>
        <v>Both</v>
      </c>
      <c r="L362" s="2">
        <f>DAY(ORDERS[[#This Row],[OrderDate]])</f>
        <v>8</v>
      </c>
      <c r="M362" s="2">
        <f>YEAR(ORDERS[[#This Row],[OrderDate]])</f>
        <v>2012</v>
      </c>
    </row>
    <row r="363" spans="1:13" x14ac:dyDescent="0.3">
      <c r="A363">
        <v>362</v>
      </c>
      <c r="B363">
        <v>2</v>
      </c>
      <c r="C363">
        <v>3</v>
      </c>
      <c r="D363" s="1">
        <v>41190</v>
      </c>
      <c r="E363">
        <v>130</v>
      </c>
      <c r="F363">
        <f>VLOOKUP(ORDERS[[#This Row],[ProductID]],Products[],4,FALSE)</f>
        <v>22</v>
      </c>
      <c r="G363">
        <v>5.0000001000000002E-2</v>
      </c>
      <c r="H363">
        <f>(ORDERS[[#This Row],[UnitsOrdered]]*ORDERS[[#This Row],[unit price]])-(ORDERS[[#This Row],[UnitsOrdered]]*ORDERS[[#This Row],[unit price]]*ORDERS[[#This Row],[Discount]])</f>
        <v>2716.9999971400002</v>
      </c>
      <c r="I363" t="str">
        <f>VLOOKUP(ORDERS[[#This Row],[CustomerID]],customers[],2,FALSE)</f>
        <v>A Shirts Life</v>
      </c>
      <c r="J363" s="2" t="str">
        <f>VLOOKUP(ORDERS[[#This Row],[CustomerID]],customers[],4,FALSE)</f>
        <v>Portland</v>
      </c>
      <c r="K363" s="2" t="str">
        <f>VLOOKUP(ORDERS[[#This Row],[ProductID]],Products[],3,FALSE)</f>
        <v>Both</v>
      </c>
      <c r="L363" s="2">
        <f>DAY(ORDERS[[#This Row],[OrderDate]])</f>
        <v>8</v>
      </c>
      <c r="M363" s="2">
        <f>YEAR(ORDERS[[#This Row],[OrderDate]])</f>
        <v>2012</v>
      </c>
    </row>
    <row r="364" spans="1:13" x14ac:dyDescent="0.3">
      <c r="A364">
        <v>363</v>
      </c>
      <c r="B364">
        <v>6</v>
      </c>
      <c r="C364">
        <v>7</v>
      </c>
      <c r="D364" s="1">
        <v>41190</v>
      </c>
      <c r="E364">
        <v>52</v>
      </c>
      <c r="F364">
        <f>VLOOKUP(ORDERS[[#This Row],[ProductID]],Products[],4,FALSE)</f>
        <v>38</v>
      </c>
      <c r="G364">
        <v>5.0000001000000002E-2</v>
      </c>
      <c r="H364">
        <f>(ORDERS[[#This Row],[UnitsOrdered]]*ORDERS[[#This Row],[unit price]])-(ORDERS[[#This Row],[UnitsOrdered]]*ORDERS[[#This Row],[unit price]]*ORDERS[[#This Row],[Discount]])</f>
        <v>1877.199998024</v>
      </c>
      <c r="I364" t="str">
        <f>VLOOKUP(ORDERS[[#This Row],[CustomerID]],customers[],2,FALSE)</f>
        <v>Abracadaba Ink</v>
      </c>
      <c r="J364" s="2" t="str">
        <f>VLOOKUP(ORDERS[[#This Row],[CustomerID]],customers[],4,FALSE)</f>
        <v>Salt Lake City</v>
      </c>
      <c r="K364" s="2" t="str">
        <f>VLOOKUP(ORDERS[[#This Row],[ProductID]],Products[],3,FALSE)</f>
        <v>Female</v>
      </c>
      <c r="L364" s="2">
        <f>DAY(ORDERS[[#This Row],[OrderDate]])</f>
        <v>8</v>
      </c>
      <c r="M364" s="2">
        <f>YEAR(ORDERS[[#This Row],[OrderDate]])</f>
        <v>2012</v>
      </c>
    </row>
    <row r="365" spans="1:13" x14ac:dyDescent="0.3">
      <c r="A365">
        <v>364</v>
      </c>
      <c r="B365">
        <v>4</v>
      </c>
      <c r="C365">
        <v>10</v>
      </c>
      <c r="D365" s="1">
        <v>41193</v>
      </c>
      <c r="E365">
        <v>150</v>
      </c>
      <c r="F365">
        <f>VLOOKUP(ORDERS[[#This Row],[ProductID]],Products[],4,FALSE)</f>
        <v>35</v>
      </c>
      <c r="G365">
        <v>0</v>
      </c>
      <c r="H365">
        <f>(ORDERS[[#This Row],[UnitsOrdered]]*ORDERS[[#This Row],[unit price]])-(ORDERS[[#This Row],[UnitsOrdered]]*ORDERS[[#This Row],[unit price]]*ORDERS[[#This Row],[Discount]])</f>
        <v>5250</v>
      </c>
      <c r="I365" t="str">
        <f>VLOOKUP(ORDERS[[#This Row],[CustomerID]],customers[],2,FALSE)</f>
        <v>Tshirt Unlimited</v>
      </c>
      <c r="J365" s="2" t="str">
        <f>VLOOKUP(ORDERS[[#This Row],[CustomerID]],customers[],4,FALSE)</f>
        <v>Phoenix</v>
      </c>
      <c r="K365" s="2" t="str">
        <f>VLOOKUP(ORDERS[[#This Row],[ProductID]],Products[],3,FALSE)</f>
        <v>Male</v>
      </c>
      <c r="L365" s="2">
        <f>DAY(ORDERS[[#This Row],[OrderDate]])</f>
        <v>11</v>
      </c>
      <c r="M365" s="2">
        <f>YEAR(ORDERS[[#This Row],[OrderDate]])</f>
        <v>2012</v>
      </c>
    </row>
    <row r="366" spans="1:13" x14ac:dyDescent="0.3">
      <c r="A366">
        <v>365</v>
      </c>
      <c r="B366">
        <v>1</v>
      </c>
      <c r="C366">
        <v>1</v>
      </c>
      <c r="D366" s="1">
        <v>41194</v>
      </c>
      <c r="E366">
        <v>115</v>
      </c>
      <c r="F366">
        <f>VLOOKUP(ORDERS[[#This Row],[ProductID]],Products[],4,FALSE)</f>
        <v>20</v>
      </c>
      <c r="G366">
        <v>0</v>
      </c>
      <c r="H366">
        <f>(ORDERS[[#This Row],[UnitsOrdered]]*ORDERS[[#This Row],[unit price]])-(ORDERS[[#This Row],[UnitsOrdered]]*ORDERS[[#This Row],[unit price]]*ORDERS[[#This Row],[Discount]])</f>
        <v>2300</v>
      </c>
      <c r="I366" t="str">
        <f>VLOOKUP(ORDERS[[#This Row],[CustomerID]],customers[],2,FALSE)</f>
        <v>Threads</v>
      </c>
      <c r="J366" s="2" t="str">
        <f>VLOOKUP(ORDERS[[#This Row],[CustomerID]],customers[],4,FALSE)</f>
        <v>Seattle</v>
      </c>
      <c r="K366" s="2" t="str">
        <f>VLOOKUP(ORDERS[[#This Row],[ProductID]],Products[],3,FALSE)</f>
        <v>Both</v>
      </c>
      <c r="L366" s="2">
        <f>DAY(ORDERS[[#This Row],[OrderDate]])</f>
        <v>12</v>
      </c>
      <c r="M366" s="2">
        <f>YEAR(ORDERS[[#This Row],[OrderDate]])</f>
        <v>2012</v>
      </c>
    </row>
    <row r="367" spans="1:13" x14ac:dyDescent="0.3">
      <c r="A367">
        <v>366</v>
      </c>
      <c r="B367">
        <v>4</v>
      </c>
      <c r="C367">
        <v>1</v>
      </c>
      <c r="D367" s="1">
        <v>41194</v>
      </c>
      <c r="E367">
        <v>65</v>
      </c>
      <c r="F367">
        <f>VLOOKUP(ORDERS[[#This Row],[ProductID]],Products[],4,FALSE)</f>
        <v>20</v>
      </c>
      <c r="G367">
        <v>0</v>
      </c>
      <c r="H367">
        <f>(ORDERS[[#This Row],[UnitsOrdered]]*ORDERS[[#This Row],[unit price]])-(ORDERS[[#This Row],[UnitsOrdered]]*ORDERS[[#This Row],[unit price]]*ORDERS[[#This Row],[Discount]])</f>
        <v>1300</v>
      </c>
      <c r="I367" t="str">
        <f>VLOOKUP(ORDERS[[#This Row],[CustomerID]],customers[],2,FALSE)</f>
        <v>Tshirt Unlimited</v>
      </c>
      <c r="J367" s="2" t="str">
        <f>VLOOKUP(ORDERS[[#This Row],[CustomerID]],customers[],4,FALSE)</f>
        <v>Phoenix</v>
      </c>
      <c r="K367" s="2" t="str">
        <f>VLOOKUP(ORDERS[[#This Row],[ProductID]],Products[],3,FALSE)</f>
        <v>Both</v>
      </c>
      <c r="L367" s="2">
        <f>DAY(ORDERS[[#This Row],[OrderDate]])</f>
        <v>12</v>
      </c>
      <c r="M367" s="2">
        <f>YEAR(ORDERS[[#This Row],[OrderDate]])</f>
        <v>2012</v>
      </c>
    </row>
    <row r="368" spans="1:13" x14ac:dyDescent="0.3">
      <c r="A368">
        <v>367</v>
      </c>
      <c r="B368">
        <v>4</v>
      </c>
      <c r="C368">
        <v>8</v>
      </c>
      <c r="D368" s="1">
        <v>41194</v>
      </c>
      <c r="E368">
        <v>113</v>
      </c>
      <c r="F368">
        <f>VLOOKUP(ORDERS[[#This Row],[ProductID]],Products[],4,FALSE)</f>
        <v>27</v>
      </c>
      <c r="G368">
        <v>0</v>
      </c>
      <c r="H368">
        <f>(ORDERS[[#This Row],[UnitsOrdered]]*ORDERS[[#This Row],[unit price]])-(ORDERS[[#This Row],[UnitsOrdered]]*ORDERS[[#This Row],[unit price]]*ORDERS[[#This Row],[Discount]])</f>
        <v>3051</v>
      </c>
      <c r="I368" t="str">
        <f>VLOOKUP(ORDERS[[#This Row],[CustomerID]],customers[],2,FALSE)</f>
        <v>Tshirt Unlimited</v>
      </c>
      <c r="J368" s="2" t="str">
        <f>VLOOKUP(ORDERS[[#This Row],[CustomerID]],customers[],4,FALSE)</f>
        <v>Phoenix</v>
      </c>
      <c r="K368" s="2" t="str">
        <f>VLOOKUP(ORDERS[[#This Row],[ProductID]],Products[],3,FALSE)</f>
        <v>Female</v>
      </c>
      <c r="L368" s="2">
        <f>DAY(ORDERS[[#This Row],[OrderDate]])</f>
        <v>12</v>
      </c>
      <c r="M368" s="2">
        <f>YEAR(ORDERS[[#This Row],[OrderDate]])</f>
        <v>2012</v>
      </c>
    </row>
    <row r="369" spans="1:13" x14ac:dyDescent="0.3">
      <c r="A369">
        <v>368</v>
      </c>
      <c r="B369">
        <v>7</v>
      </c>
      <c r="C369">
        <v>3</v>
      </c>
      <c r="D369" s="1">
        <v>41194</v>
      </c>
      <c r="E369">
        <v>34</v>
      </c>
      <c r="F369">
        <f>VLOOKUP(ORDERS[[#This Row],[ProductID]],Products[],4,FALSE)</f>
        <v>22</v>
      </c>
      <c r="G369">
        <v>0</v>
      </c>
      <c r="H369">
        <f>(ORDERS[[#This Row],[UnitsOrdered]]*ORDERS[[#This Row],[unit price]])-(ORDERS[[#This Row],[UnitsOrdered]]*ORDERS[[#This Row],[unit price]]*ORDERS[[#This Row],[Discount]])</f>
        <v>748</v>
      </c>
      <c r="I369" t="str">
        <f>VLOOKUP(ORDERS[[#This Row],[CustomerID]],customers[],2,FALSE)</f>
        <v>The Shirt on Your Back</v>
      </c>
      <c r="J369" s="2" t="str">
        <f>VLOOKUP(ORDERS[[#This Row],[CustomerID]],customers[],4,FALSE)</f>
        <v>Bonners Ferry</v>
      </c>
      <c r="K369" s="2" t="str">
        <f>VLOOKUP(ORDERS[[#This Row],[ProductID]],Products[],3,FALSE)</f>
        <v>Both</v>
      </c>
      <c r="L369" s="2">
        <f>DAY(ORDERS[[#This Row],[OrderDate]])</f>
        <v>12</v>
      </c>
      <c r="M369" s="2">
        <f>YEAR(ORDERS[[#This Row],[OrderDate]])</f>
        <v>2012</v>
      </c>
    </row>
    <row r="370" spans="1:13" x14ac:dyDescent="0.3">
      <c r="A370">
        <v>369</v>
      </c>
      <c r="B370">
        <v>7</v>
      </c>
      <c r="C370">
        <v>9</v>
      </c>
      <c r="D370" s="1">
        <v>41194</v>
      </c>
      <c r="E370">
        <v>112</v>
      </c>
      <c r="F370">
        <f>VLOOKUP(ORDERS[[#This Row],[ProductID]],Products[],4,FALSE)</f>
        <v>25</v>
      </c>
      <c r="G370">
        <v>0</v>
      </c>
      <c r="H370">
        <f>(ORDERS[[#This Row],[UnitsOrdered]]*ORDERS[[#This Row],[unit price]])-(ORDERS[[#This Row],[UnitsOrdered]]*ORDERS[[#This Row],[unit price]]*ORDERS[[#This Row],[Discount]])</f>
        <v>2800</v>
      </c>
      <c r="I370" t="str">
        <f>VLOOKUP(ORDERS[[#This Row],[CustomerID]],customers[],2,FALSE)</f>
        <v>The Shirt on Your Back</v>
      </c>
      <c r="J370" s="2" t="str">
        <f>VLOOKUP(ORDERS[[#This Row],[CustomerID]],customers[],4,FALSE)</f>
        <v>Bonners Ferry</v>
      </c>
      <c r="K370" s="2" t="str">
        <f>VLOOKUP(ORDERS[[#This Row],[ProductID]],Products[],3,FALSE)</f>
        <v>Male</v>
      </c>
      <c r="L370" s="2">
        <f>DAY(ORDERS[[#This Row],[OrderDate]])</f>
        <v>12</v>
      </c>
      <c r="M370" s="2">
        <f>YEAR(ORDERS[[#This Row],[OrderDate]])</f>
        <v>2012</v>
      </c>
    </row>
    <row r="371" spans="1:13" x14ac:dyDescent="0.3">
      <c r="A371">
        <v>370</v>
      </c>
      <c r="B371">
        <v>1</v>
      </c>
      <c r="C371">
        <v>10</v>
      </c>
      <c r="D371" s="1">
        <v>41195</v>
      </c>
      <c r="E371">
        <v>87</v>
      </c>
      <c r="F371">
        <f>VLOOKUP(ORDERS[[#This Row],[ProductID]],Products[],4,FALSE)</f>
        <v>35</v>
      </c>
      <c r="G371">
        <v>0</v>
      </c>
      <c r="H371">
        <f>(ORDERS[[#This Row],[UnitsOrdered]]*ORDERS[[#This Row],[unit price]])-(ORDERS[[#This Row],[UnitsOrdered]]*ORDERS[[#This Row],[unit price]]*ORDERS[[#This Row],[Discount]])</f>
        <v>3045</v>
      </c>
      <c r="I371" t="str">
        <f>VLOOKUP(ORDERS[[#This Row],[CustomerID]],customers[],2,FALSE)</f>
        <v>Threads</v>
      </c>
      <c r="J371" s="2" t="str">
        <f>VLOOKUP(ORDERS[[#This Row],[CustomerID]],customers[],4,FALSE)</f>
        <v>Seattle</v>
      </c>
      <c r="K371" s="2" t="str">
        <f>VLOOKUP(ORDERS[[#This Row],[ProductID]],Products[],3,FALSE)</f>
        <v>Male</v>
      </c>
      <c r="L371" s="2">
        <f>DAY(ORDERS[[#This Row],[OrderDate]])</f>
        <v>13</v>
      </c>
      <c r="M371" s="2">
        <f>YEAR(ORDERS[[#This Row],[OrderDate]])</f>
        <v>2012</v>
      </c>
    </row>
    <row r="372" spans="1:13" x14ac:dyDescent="0.3">
      <c r="A372">
        <v>371</v>
      </c>
      <c r="B372">
        <v>2</v>
      </c>
      <c r="C372">
        <v>7</v>
      </c>
      <c r="D372" s="1">
        <v>41197</v>
      </c>
      <c r="E372">
        <v>72</v>
      </c>
      <c r="F372">
        <f>VLOOKUP(ORDERS[[#This Row],[ProductID]],Products[],4,FALSE)</f>
        <v>38</v>
      </c>
      <c r="G372">
        <v>0</v>
      </c>
      <c r="H372">
        <f>(ORDERS[[#This Row],[UnitsOrdered]]*ORDERS[[#This Row],[unit price]])-(ORDERS[[#This Row],[UnitsOrdered]]*ORDERS[[#This Row],[unit price]]*ORDERS[[#This Row],[Discount]])</f>
        <v>2736</v>
      </c>
      <c r="I372" t="str">
        <f>VLOOKUP(ORDERS[[#This Row],[CustomerID]],customers[],2,FALSE)</f>
        <v>A Shirts Life</v>
      </c>
      <c r="J372" s="2" t="str">
        <f>VLOOKUP(ORDERS[[#This Row],[CustomerID]],customers[],4,FALSE)</f>
        <v>Portland</v>
      </c>
      <c r="K372" s="2" t="str">
        <f>VLOOKUP(ORDERS[[#This Row],[ProductID]],Products[],3,FALSE)</f>
        <v>Female</v>
      </c>
      <c r="L372" s="2">
        <f>DAY(ORDERS[[#This Row],[OrderDate]])</f>
        <v>15</v>
      </c>
      <c r="M372" s="2">
        <f>YEAR(ORDERS[[#This Row],[OrderDate]])</f>
        <v>2012</v>
      </c>
    </row>
    <row r="373" spans="1:13" x14ac:dyDescent="0.3">
      <c r="A373">
        <v>372</v>
      </c>
      <c r="B373">
        <v>4</v>
      </c>
      <c r="C373">
        <v>1</v>
      </c>
      <c r="D373" s="1">
        <v>41197</v>
      </c>
      <c r="E373">
        <v>31</v>
      </c>
      <c r="F373">
        <f>VLOOKUP(ORDERS[[#This Row],[ProductID]],Products[],4,FALSE)</f>
        <v>20</v>
      </c>
      <c r="G373">
        <v>0</v>
      </c>
      <c r="H373">
        <f>(ORDERS[[#This Row],[UnitsOrdered]]*ORDERS[[#This Row],[unit price]])-(ORDERS[[#This Row],[UnitsOrdered]]*ORDERS[[#This Row],[unit price]]*ORDERS[[#This Row],[Discount]])</f>
        <v>620</v>
      </c>
      <c r="I373" t="str">
        <f>VLOOKUP(ORDERS[[#This Row],[CustomerID]],customers[],2,FALSE)</f>
        <v>Tshirt Unlimited</v>
      </c>
      <c r="J373" s="2" t="str">
        <f>VLOOKUP(ORDERS[[#This Row],[CustomerID]],customers[],4,FALSE)</f>
        <v>Phoenix</v>
      </c>
      <c r="K373" s="2" t="str">
        <f>VLOOKUP(ORDERS[[#This Row],[ProductID]],Products[],3,FALSE)</f>
        <v>Both</v>
      </c>
      <c r="L373" s="2">
        <f>DAY(ORDERS[[#This Row],[OrderDate]])</f>
        <v>15</v>
      </c>
      <c r="M373" s="2">
        <f>YEAR(ORDERS[[#This Row],[OrderDate]])</f>
        <v>2012</v>
      </c>
    </row>
    <row r="374" spans="1:13" x14ac:dyDescent="0.3">
      <c r="A374">
        <v>373</v>
      </c>
      <c r="B374">
        <v>4</v>
      </c>
      <c r="C374">
        <v>8</v>
      </c>
      <c r="D374" s="1">
        <v>41198</v>
      </c>
      <c r="E374">
        <v>87</v>
      </c>
      <c r="F374">
        <f>VLOOKUP(ORDERS[[#This Row],[ProductID]],Products[],4,FALSE)</f>
        <v>27</v>
      </c>
      <c r="G374">
        <v>0</v>
      </c>
      <c r="H374">
        <f>(ORDERS[[#This Row],[UnitsOrdered]]*ORDERS[[#This Row],[unit price]])-(ORDERS[[#This Row],[UnitsOrdered]]*ORDERS[[#This Row],[unit price]]*ORDERS[[#This Row],[Discount]])</f>
        <v>2349</v>
      </c>
      <c r="I374" t="str">
        <f>VLOOKUP(ORDERS[[#This Row],[CustomerID]],customers[],2,FALSE)</f>
        <v>Tshirt Unlimited</v>
      </c>
      <c r="J374" s="2" t="str">
        <f>VLOOKUP(ORDERS[[#This Row],[CustomerID]],customers[],4,FALSE)</f>
        <v>Phoenix</v>
      </c>
      <c r="K374" s="2" t="str">
        <f>VLOOKUP(ORDERS[[#This Row],[ProductID]],Products[],3,FALSE)</f>
        <v>Female</v>
      </c>
      <c r="L374" s="2">
        <f>DAY(ORDERS[[#This Row],[OrderDate]])</f>
        <v>16</v>
      </c>
      <c r="M374" s="2">
        <f>YEAR(ORDERS[[#This Row],[OrderDate]])</f>
        <v>2012</v>
      </c>
    </row>
    <row r="375" spans="1:13" x14ac:dyDescent="0.3">
      <c r="A375">
        <v>374</v>
      </c>
      <c r="B375">
        <v>1</v>
      </c>
      <c r="C375">
        <v>5</v>
      </c>
      <c r="D375" s="1">
        <v>41200</v>
      </c>
      <c r="E375">
        <v>52</v>
      </c>
      <c r="F375">
        <f>VLOOKUP(ORDERS[[#This Row],[ProductID]],Products[],4,FALSE)</f>
        <v>16</v>
      </c>
      <c r="G375">
        <v>0.10000000100000001</v>
      </c>
      <c r="H375">
        <f>(ORDERS[[#This Row],[UnitsOrdered]]*ORDERS[[#This Row],[unit price]])-(ORDERS[[#This Row],[UnitsOrdered]]*ORDERS[[#This Row],[unit price]]*ORDERS[[#This Row],[Discount]])</f>
        <v>748.799999168</v>
      </c>
      <c r="I375" t="str">
        <f>VLOOKUP(ORDERS[[#This Row],[CustomerID]],customers[],2,FALSE)</f>
        <v>Threads</v>
      </c>
      <c r="J375" s="2" t="str">
        <f>VLOOKUP(ORDERS[[#This Row],[CustomerID]],customers[],4,FALSE)</f>
        <v>Seattle</v>
      </c>
      <c r="K375" s="2" t="str">
        <f>VLOOKUP(ORDERS[[#This Row],[ProductID]],Products[],3,FALSE)</f>
        <v>Female</v>
      </c>
      <c r="L375" s="2">
        <f>DAY(ORDERS[[#This Row],[OrderDate]])</f>
        <v>18</v>
      </c>
      <c r="M375" s="2">
        <f>YEAR(ORDERS[[#This Row],[OrderDate]])</f>
        <v>2012</v>
      </c>
    </row>
    <row r="376" spans="1:13" x14ac:dyDescent="0.3">
      <c r="A376">
        <v>375</v>
      </c>
      <c r="B376">
        <v>7</v>
      </c>
      <c r="C376">
        <v>1</v>
      </c>
      <c r="D376" s="1">
        <v>41200</v>
      </c>
      <c r="E376">
        <v>94</v>
      </c>
      <c r="F376">
        <f>VLOOKUP(ORDERS[[#This Row],[ProductID]],Products[],4,FALSE)</f>
        <v>20</v>
      </c>
      <c r="G376">
        <v>0</v>
      </c>
      <c r="H376">
        <f>(ORDERS[[#This Row],[UnitsOrdered]]*ORDERS[[#This Row],[unit price]])-(ORDERS[[#This Row],[UnitsOrdered]]*ORDERS[[#This Row],[unit price]]*ORDERS[[#This Row],[Discount]])</f>
        <v>1880</v>
      </c>
      <c r="I376" t="str">
        <f>VLOOKUP(ORDERS[[#This Row],[CustomerID]],customers[],2,FALSE)</f>
        <v>The Shirt on Your Back</v>
      </c>
      <c r="J376" s="2" t="str">
        <f>VLOOKUP(ORDERS[[#This Row],[CustomerID]],customers[],4,FALSE)</f>
        <v>Bonners Ferry</v>
      </c>
      <c r="K376" s="2" t="str">
        <f>VLOOKUP(ORDERS[[#This Row],[ProductID]],Products[],3,FALSE)</f>
        <v>Both</v>
      </c>
      <c r="L376" s="2">
        <f>DAY(ORDERS[[#This Row],[OrderDate]])</f>
        <v>18</v>
      </c>
      <c r="M376" s="2">
        <f>YEAR(ORDERS[[#This Row],[OrderDate]])</f>
        <v>2012</v>
      </c>
    </row>
    <row r="377" spans="1:13" x14ac:dyDescent="0.3">
      <c r="A377">
        <v>376</v>
      </c>
      <c r="B377">
        <v>4</v>
      </c>
      <c r="C377">
        <v>9</v>
      </c>
      <c r="D377" s="1">
        <v>41201</v>
      </c>
      <c r="E377">
        <v>102</v>
      </c>
      <c r="F377">
        <f>VLOOKUP(ORDERS[[#This Row],[ProductID]],Products[],4,FALSE)</f>
        <v>25</v>
      </c>
      <c r="G377">
        <v>0</v>
      </c>
      <c r="H377">
        <f>(ORDERS[[#This Row],[UnitsOrdered]]*ORDERS[[#This Row],[unit price]])-(ORDERS[[#This Row],[UnitsOrdered]]*ORDERS[[#This Row],[unit price]]*ORDERS[[#This Row],[Discount]])</f>
        <v>2550</v>
      </c>
      <c r="I377" t="str">
        <f>VLOOKUP(ORDERS[[#This Row],[CustomerID]],customers[],2,FALSE)</f>
        <v>Tshirt Unlimited</v>
      </c>
      <c r="J377" s="2" t="str">
        <f>VLOOKUP(ORDERS[[#This Row],[CustomerID]],customers[],4,FALSE)</f>
        <v>Phoenix</v>
      </c>
      <c r="K377" s="2" t="str">
        <f>VLOOKUP(ORDERS[[#This Row],[ProductID]],Products[],3,FALSE)</f>
        <v>Male</v>
      </c>
      <c r="L377" s="2">
        <f>DAY(ORDERS[[#This Row],[OrderDate]])</f>
        <v>19</v>
      </c>
      <c r="M377" s="2">
        <f>YEAR(ORDERS[[#This Row],[OrderDate]])</f>
        <v>2012</v>
      </c>
    </row>
    <row r="378" spans="1:13" x14ac:dyDescent="0.3">
      <c r="A378">
        <v>377</v>
      </c>
      <c r="B378">
        <v>5</v>
      </c>
      <c r="C378">
        <v>6</v>
      </c>
      <c r="D378" s="1">
        <v>41201</v>
      </c>
      <c r="E378">
        <v>91</v>
      </c>
      <c r="F378">
        <f>VLOOKUP(ORDERS[[#This Row],[ProductID]],Products[],4,FALSE)</f>
        <v>28</v>
      </c>
      <c r="G378">
        <v>0</v>
      </c>
      <c r="H378">
        <f>(ORDERS[[#This Row],[UnitsOrdered]]*ORDERS[[#This Row],[unit price]])-(ORDERS[[#This Row],[UnitsOrdered]]*ORDERS[[#This Row],[unit price]]*ORDERS[[#This Row],[Discount]])</f>
        <v>2548</v>
      </c>
      <c r="I378" t="str">
        <f>VLOOKUP(ORDERS[[#This Row],[CustomerID]],customers[],2,FALSE)</f>
        <v>Rags to Riches</v>
      </c>
      <c r="J378" s="2" t="str">
        <f>VLOOKUP(ORDERS[[#This Row],[CustomerID]],customers[],4,FALSE)</f>
        <v>Las Vegas</v>
      </c>
      <c r="K378" s="2" t="str">
        <f>VLOOKUP(ORDERS[[#This Row],[ProductID]],Products[],3,FALSE)</f>
        <v>Female</v>
      </c>
      <c r="L378" s="2">
        <f>DAY(ORDERS[[#This Row],[OrderDate]])</f>
        <v>19</v>
      </c>
      <c r="M378" s="2">
        <f>YEAR(ORDERS[[#This Row],[OrderDate]])</f>
        <v>2012</v>
      </c>
    </row>
    <row r="379" spans="1:13" x14ac:dyDescent="0.3">
      <c r="A379">
        <v>378</v>
      </c>
      <c r="B379">
        <v>7</v>
      </c>
      <c r="C379">
        <v>1</v>
      </c>
      <c r="D379" s="1">
        <v>41202</v>
      </c>
      <c r="E379">
        <v>72</v>
      </c>
      <c r="F379">
        <f>VLOOKUP(ORDERS[[#This Row],[ProductID]],Products[],4,FALSE)</f>
        <v>20</v>
      </c>
      <c r="G379">
        <v>0</v>
      </c>
      <c r="H379">
        <f>(ORDERS[[#This Row],[UnitsOrdered]]*ORDERS[[#This Row],[unit price]])-(ORDERS[[#This Row],[UnitsOrdered]]*ORDERS[[#This Row],[unit price]]*ORDERS[[#This Row],[Discount]])</f>
        <v>1440</v>
      </c>
      <c r="I379" t="str">
        <f>VLOOKUP(ORDERS[[#This Row],[CustomerID]],customers[],2,FALSE)</f>
        <v>The Shirt on Your Back</v>
      </c>
      <c r="J379" s="2" t="str">
        <f>VLOOKUP(ORDERS[[#This Row],[CustomerID]],customers[],4,FALSE)</f>
        <v>Bonners Ferry</v>
      </c>
      <c r="K379" s="2" t="str">
        <f>VLOOKUP(ORDERS[[#This Row],[ProductID]],Products[],3,FALSE)</f>
        <v>Both</v>
      </c>
      <c r="L379" s="2">
        <f>DAY(ORDERS[[#This Row],[OrderDate]])</f>
        <v>20</v>
      </c>
      <c r="M379" s="2">
        <f>YEAR(ORDERS[[#This Row],[OrderDate]])</f>
        <v>2012</v>
      </c>
    </row>
    <row r="380" spans="1:13" x14ac:dyDescent="0.3">
      <c r="A380">
        <v>379</v>
      </c>
      <c r="B380">
        <v>4</v>
      </c>
      <c r="C380">
        <v>1</v>
      </c>
      <c r="D380" s="1">
        <v>41203</v>
      </c>
      <c r="E380">
        <v>92</v>
      </c>
      <c r="F380">
        <f>VLOOKUP(ORDERS[[#This Row],[ProductID]],Products[],4,FALSE)</f>
        <v>20</v>
      </c>
      <c r="G380">
        <v>0</v>
      </c>
      <c r="H380">
        <f>(ORDERS[[#This Row],[UnitsOrdered]]*ORDERS[[#This Row],[unit price]])-(ORDERS[[#This Row],[UnitsOrdered]]*ORDERS[[#This Row],[unit price]]*ORDERS[[#This Row],[Discount]])</f>
        <v>1840</v>
      </c>
      <c r="I380" t="str">
        <f>VLOOKUP(ORDERS[[#This Row],[CustomerID]],customers[],2,FALSE)</f>
        <v>Tshirt Unlimited</v>
      </c>
      <c r="J380" s="2" t="str">
        <f>VLOOKUP(ORDERS[[#This Row],[CustomerID]],customers[],4,FALSE)</f>
        <v>Phoenix</v>
      </c>
      <c r="K380" s="2" t="str">
        <f>VLOOKUP(ORDERS[[#This Row],[ProductID]],Products[],3,FALSE)</f>
        <v>Both</v>
      </c>
      <c r="L380" s="2">
        <f>DAY(ORDERS[[#This Row],[OrderDate]])</f>
        <v>21</v>
      </c>
      <c r="M380" s="2">
        <f>YEAR(ORDERS[[#This Row],[OrderDate]])</f>
        <v>2012</v>
      </c>
    </row>
    <row r="381" spans="1:13" x14ac:dyDescent="0.3">
      <c r="A381">
        <v>380</v>
      </c>
      <c r="B381">
        <v>4</v>
      </c>
      <c r="C381">
        <v>4</v>
      </c>
      <c r="D381" s="1">
        <v>41203</v>
      </c>
      <c r="E381">
        <v>78</v>
      </c>
      <c r="F381">
        <f>VLOOKUP(ORDERS[[#This Row],[ProductID]],Products[],4,FALSE)</f>
        <v>30</v>
      </c>
      <c r="G381">
        <v>0</v>
      </c>
      <c r="H381">
        <f>(ORDERS[[#This Row],[UnitsOrdered]]*ORDERS[[#This Row],[unit price]])-(ORDERS[[#This Row],[UnitsOrdered]]*ORDERS[[#This Row],[unit price]]*ORDERS[[#This Row],[Discount]])</f>
        <v>2340</v>
      </c>
      <c r="I381" t="str">
        <f>VLOOKUP(ORDERS[[#This Row],[CustomerID]],customers[],2,FALSE)</f>
        <v>Tshirt Unlimited</v>
      </c>
      <c r="J381" s="2" t="str">
        <f>VLOOKUP(ORDERS[[#This Row],[CustomerID]],customers[],4,FALSE)</f>
        <v>Phoenix</v>
      </c>
      <c r="K381" s="2" t="str">
        <f>VLOOKUP(ORDERS[[#This Row],[ProductID]],Products[],3,FALSE)</f>
        <v>Both</v>
      </c>
      <c r="L381" s="2">
        <f>DAY(ORDERS[[#This Row],[OrderDate]])</f>
        <v>21</v>
      </c>
      <c r="M381" s="2">
        <f>YEAR(ORDERS[[#This Row],[OrderDate]])</f>
        <v>2012</v>
      </c>
    </row>
    <row r="382" spans="1:13" x14ac:dyDescent="0.3">
      <c r="A382">
        <v>381</v>
      </c>
      <c r="B382">
        <v>7</v>
      </c>
      <c r="C382">
        <v>2</v>
      </c>
      <c r="D382" s="1">
        <v>41204</v>
      </c>
      <c r="E382">
        <v>146</v>
      </c>
      <c r="F382">
        <f>VLOOKUP(ORDERS[[#This Row],[ProductID]],Products[],4,FALSE)</f>
        <v>30</v>
      </c>
      <c r="G382">
        <v>5.0000001000000002E-2</v>
      </c>
      <c r="H382">
        <f>(ORDERS[[#This Row],[UnitsOrdered]]*ORDERS[[#This Row],[unit price]])-(ORDERS[[#This Row],[UnitsOrdered]]*ORDERS[[#This Row],[unit price]]*ORDERS[[#This Row],[Discount]])</f>
        <v>4160.9999956199999</v>
      </c>
      <c r="I382" t="str">
        <f>VLOOKUP(ORDERS[[#This Row],[CustomerID]],customers[],2,FALSE)</f>
        <v>The Shirt on Your Back</v>
      </c>
      <c r="J382" s="2" t="str">
        <f>VLOOKUP(ORDERS[[#This Row],[CustomerID]],customers[],4,FALSE)</f>
        <v>Bonners Ferry</v>
      </c>
      <c r="K382" s="2" t="str">
        <f>VLOOKUP(ORDERS[[#This Row],[ProductID]],Products[],3,FALSE)</f>
        <v>Both</v>
      </c>
      <c r="L382" s="2">
        <f>DAY(ORDERS[[#This Row],[OrderDate]])</f>
        <v>22</v>
      </c>
      <c r="M382" s="2">
        <f>YEAR(ORDERS[[#This Row],[OrderDate]])</f>
        <v>2012</v>
      </c>
    </row>
    <row r="383" spans="1:13" x14ac:dyDescent="0.3">
      <c r="A383">
        <v>382</v>
      </c>
      <c r="B383">
        <v>1</v>
      </c>
      <c r="C383">
        <v>3</v>
      </c>
      <c r="D383" s="1">
        <v>41205</v>
      </c>
      <c r="E383">
        <v>109</v>
      </c>
      <c r="F383">
        <f>VLOOKUP(ORDERS[[#This Row],[ProductID]],Products[],4,FALSE)</f>
        <v>22</v>
      </c>
      <c r="G383">
        <v>0</v>
      </c>
      <c r="H383">
        <f>(ORDERS[[#This Row],[UnitsOrdered]]*ORDERS[[#This Row],[unit price]])-(ORDERS[[#This Row],[UnitsOrdered]]*ORDERS[[#This Row],[unit price]]*ORDERS[[#This Row],[Discount]])</f>
        <v>2398</v>
      </c>
      <c r="I383" t="str">
        <f>VLOOKUP(ORDERS[[#This Row],[CustomerID]],customers[],2,FALSE)</f>
        <v>Threads</v>
      </c>
      <c r="J383" s="2" t="str">
        <f>VLOOKUP(ORDERS[[#This Row],[CustomerID]],customers[],4,FALSE)</f>
        <v>Seattle</v>
      </c>
      <c r="K383" s="2" t="str">
        <f>VLOOKUP(ORDERS[[#This Row],[ProductID]],Products[],3,FALSE)</f>
        <v>Both</v>
      </c>
      <c r="L383" s="2">
        <f>DAY(ORDERS[[#This Row],[OrderDate]])</f>
        <v>23</v>
      </c>
      <c r="M383" s="2">
        <f>YEAR(ORDERS[[#This Row],[OrderDate]])</f>
        <v>2012</v>
      </c>
    </row>
    <row r="384" spans="1:13" x14ac:dyDescent="0.3">
      <c r="A384">
        <v>383</v>
      </c>
      <c r="B384">
        <v>2</v>
      </c>
      <c r="C384">
        <v>10</v>
      </c>
      <c r="D384" s="1">
        <v>41205</v>
      </c>
      <c r="E384">
        <v>31</v>
      </c>
      <c r="F384">
        <f>VLOOKUP(ORDERS[[#This Row],[ProductID]],Products[],4,FALSE)</f>
        <v>35</v>
      </c>
      <c r="G384">
        <v>0</v>
      </c>
      <c r="H384">
        <f>(ORDERS[[#This Row],[UnitsOrdered]]*ORDERS[[#This Row],[unit price]])-(ORDERS[[#This Row],[UnitsOrdered]]*ORDERS[[#This Row],[unit price]]*ORDERS[[#This Row],[Discount]])</f>
        <v>1085</v>
      </c>
      <c r="I384" t="str">
        <f>VLOOKUP(ORDERS[[#This Row],[CustomerID]],customers[],2,FALSE)</f>
        <v>A Shirts Life</v>
      </c>
      <c r="J384" s="2" t="str">
        <f>VLOOKUP(ORDERS[[#This Row],[CustomerID]],customers[],4,FALSE)</f>
        <v>Portland</v>
      </c>
      <c r="K384" s="2" t="str">
        <f>VLOOKUP(ORDERS[[#This Row],[ProductID]],Products[],3,FALSE)</f>
        <v>Male</v>
      </c>
      <c r="L384" s="2">
        <f>DAY(ORDERS[[#This Row],[OrderDate]])</f>
        <v>23</v>
      </c>
      <c r="M384" s="2">
        <f>YEAR(ORDERS[[#This Row],[OrderDate]])</f>
        <v>2012</v>
      </c>
    </row>
    <row r="385" spans="1:13" x14ac:dyDescent="0.3">
      <c r="A385">
        <v>384</v>
      </c>
      <c r="B385">
        <v>3</v>
      </c>
      <c r="C385">
        <v>2</v>
      </c>
      <c r="D385" s="1">
        <v>41205</v>
      </c>
      <c r="E385">
        <v>142</v>
      </c>
      <c r="F385">
        <f>VLOOKUP(ORDERS[[#This Row],[ProductID]],Products[],4,FALSE)</f>
        <v>30</v>
      </c>
      <c r="G385">
        <v>0</v>
      </c>
      <c r="H385">
        <f>(ORDERS[[#This Row],[UnitsOrdered]]*ORDERS[[#This Row],[unit price]])-(ORDERS[[#This Row],[UnitsOrdered]]*ORDERS[[#This Row],[unit price]]*ORDERS[[#This Row],[Discount]])</f>
        <v>4260</v>
      </c>
      <c r="I385" t="str">
        <f>VLOOKUP(ORDERS[[#This Row],[CustomerID]],customers[],2,FALSE)</f>
        <v>Shirts R Us</v>
      </c>
      <c r="J385" s="2" t="str">
        <f>VLOOKUP(ORDERS[[#This Row],[CustomerID]],customers[],4,FALSE)</f>
        <v>Los Angeles</v>
      </c>
      <c r="K385" s="2" t="str">
        <f>VLOOKUP(ORDERS[[#This Row],[ProductID]],Products[],3,FALSE)</f>
        <v>Both</v>
      </c>
      <c r="L385" s="2">
        <f>DAY(ORDERS[[#This Row],[OrderDate]])</f>
        <v>23</v>
      </c>
      <c r="M385" s="2">
        <f>YEAR(ORDERS[[#This Row],[OrderDate]])</f>
        <v>2012</v>
      </c>
    </row>
    <row r="386" spans="1:13" x14ac:dyDescent="0.3">
      <c r="A386">
        <v>385</v>
      </c>
      <c r="B386">
        <v>4</v>
      </c>
      <c r="C386">
        <v>9</v>
      </c>
      <c r="D386" s="1">
        <v>41206</v>
      </c>
      <c r="E386">
        <v>54</v>
      </c>
      <c r="F386">
        <f>VLOOKUP(ORDERS[[#This Row],[ProductID]],Products[],4,FALSE)</f>
        <v>25</v>
      </c>
      <c r="G386">
        <v>0</v>
      </c>
      <c r="H386">
        <f>(ORDERS[[#This Row],[UnitsOrdered]]*ORDERS[[#This Row],[unit price]])-(ORDERS[[#This Row],[UnitsOrdered]]*ORDERS[[#This Row],[unit price]]*ORDERS[[#This Row],[Discount]])</f>
        <v>1350</v>
      </c>
      <c r="I386" t="str">
        <f>VLOOKUP(ORDERS[[#This Row],[CustomerID]],customers[],2,FALSE)</f>
        <v>Tshirt Unlimited</v>
      </c>
      <c r="J386" s="2" t="str">
        <f>VLOOKUP(ORDERS[[#This Row],[CustomerID]],customers[],4,FALSE)</f>
        <v>Phoenix</v>
      </c>
      <c r="K386" s="2" t="str">
        <f>VLOOKUP(ORDERS[[#This Row],[ProductID]],Products[],3,FALSE)</f>
        <v>Male</v>
      </c>
      <c r="L386" s="2">
        <f>DAY(ORDERS[[#This Row],[OrderDate]])</f>
        <v>24</v>
      </c>
      <c r="M386" s="2">
        <f>YEAR(ORDERS[[#This Row],[OrderDate]])</f>
        <v>2012</v>
      </c>
    </row>
    <row r="387" spans="1:13" x14ac:dyDescent="0.3">
      <c r="A387">
        <v>386</v>
      </c>
      <c r="B387">
        <v>5</v>
      </c>
      <c r="C387">
        <v>2</v>
      </c>
      <c r="D387" s="1">
        <v>41206</v>
      </c>
      <c r="E387">
        <v>124</v>
      </c>
      <c r="F387">
        <f>VLOOKUP(ORDERS[[#This Row],[ProductID]],Products[],4,FALSE)</f>
        <v>30</v>
      </c>
      <c r="G387">
        <v>0</v>
      </c>
      <c r="H387">
        <f>(ORDERS[[#This Row],[UnitsOrdered]]*ORDERS[[#This Row],[unit price]])-(ORDERS[[#This Row],[UnitsOrdered]]*ORDERS[[#This Row],[unit price]]*ORDERS[[#This Row],[Discount]])</f>
        <v>3720</v>
      </c>
      <c r="I387" t="str">
        <f>VLOOKUP(ORDERS[[#This Row],[CustomerID]],customers[],2,FALSE)</f>
        <v>Rags to Riches</v>
      </c>
      <c r="J387" s="2" t="str">
        <f>VLOOKUP(ORDERS[[#This Row],[CustomerID]],customers[],4,FALSE)</f>
        <v>Las Vegas</v>
      </c>
      <c r="K387" s="2" t="str">
        <f>VLOOKUP(ORDERS[[#This Row],[ProductID]],Products[],3,FALSE)</f>
        <v>Both</v>
      </c>
      <c r="L387" s="2">
        <f>DAY(ORDERS[[#This Row],[OrderDate]])</f>
        <v>24</v>
      </c>
      <c r="M387" s="2">
        <f>YEAR(ORDERS[[#This Row],[OrderDate]])</f>
        <v>2012</v>
      </c>
    </row>
    <row r="388" spans="1:13" x14ac:dyDescent="0.3">
      <c r="A388">
        <v>387</v>
      </c>
      <c r="B388">
        <v>5</v>
      </c>
      <c r="C388">
        <v>2</v>
      </c>
      <c r="D388" s="1">
        <v>41208</v>
      </c>
      <c r="E388">
        <v>139</v>
      </c>
      <c r="F388">
        <f>VLOOKUP(ORDERS[[#This Row],[ProductID]],Products[],4,FALSE)</f>
        <v>30</v>
      </c>
      <c r="G388">
        <v>0</v>
      </c>
      <c r="H388">
        <f>(ORDERS[[#This Row],[UnitsOrdered]]*ORDERS[[#This Row],[unit price]])-(ORDERS[[#This Row],[UnitsOrdered]]*ORDERS[[#This Row],[unit price]]*ORDERS[[#This Row],[Discount]])</f>
        <v>4170</v>
      </c>
      <c r="I388" t="str">
        <f>VLOOKUP(ORDERS[[#This Row],[CustomerID]],customers[],2,FALSE)</f>
        <v>Rags to Riches</v>
      </c>
      <c r="J388" s="2" t="str">
        <f>VLOOKUP(ORDERS[[#This Row],[CustomerID]],customers[],4,FALSE)</f>
        <v>Las Vegas</v>
      </c>
      <c r="K388" s="2" t="str">
        <f>VLOOKUP(ORDERS[[#This Row],[ProductID]],Products[],3,FALSE)</f>
        <v>Both</v>
      </c>
      <c r="L388" s="2">
        <f>DAY(ORDERS[[#This Row],[OrderDate]])</f>
        <v>26</v>
      </c>
      <c r="M388" s="2">
        <f>YEAR(ORDERS[[#This Row],[OrderDate]])</f>
        <v>2012</v>
      </c>
    </row>
    <row r="389" spans="1:13" x14ac:dyDescent="0.3">
      <c r="A389">
        <v>388</v>
      </c>
      <c r="B389">
        <v>5</v>
      </c>
      <c r="C389">
        <v>6</v>
      </c>
      <c r="D389" s="1">
        <v>41210</v>
      </c>
      <c r="E389">
        <v>133</v>
      </c>
      <c r="F389">
        <f>VLOOKUP(ORDERS[[#This Row],[ProductID]],Products[],4,FALSE)</f>
        <v>28</v>
      </c>
      <c r="G389">
        <v>0</v>
      </c>
      <c r="H389">
        <f>(ORDERS[[#This Row],[UnitsOrdered]]*ORDERS[[#This Row],[unit price]])-(ORDERS[[#This Row],[UnitsOrdered]]*ORDERS[[#This Row],[unit price]]*ORDERS[[#This Row],[Discount]])</f>
        <v>3724</v>
      </c>
      <c r="I389" t="str">
        <f>VLOOKUP(ORDERS[[#This Row],[CustomerID]],customers[],2,FALSE)</f>
        <v>Rags to Riches</v>
      </c>
      <c r="J389" s="2" t="str">
        <f>VLOOKUP(ORDERS[[#This Row],[CustomerID]],customers[],4,FALSE)</f>
        <v>Las Vegas</v>
      </c>
      <c r="K389" s="2" t="str">
        <f>VLOOKUP(ORDERS[[#This Row],[ProductID]],Products[],3,FALSE)</f>
        <v>Female</v>
      </c>
      <c r="L389" s="2">
        <f>DAY(ORDERS[[#This Row],[OrderDate]])</f>
        <v>28</v>
      </c>
      <c r="M389" s="2">
        <f>YEAR(ORDERS[[#This Row],[OrderDate]])</f>
        <v>2012</v>
      </c>
    </row>
    <row r="390" spans="1:13" x14ac:dyDescent="0.3">
      <c r="A390">
        <v>389</v>
      </c>
      <c r="B390">
        <v>2</v>
      </c>
      <c r="C390">
        <v>10</v>
      </c>
      <c r="D390" s="1">
        <v>41211</v>
      </c>
      <c r="E390">
        <v>143</v>
      </c>
      <c r="F390">
        <f>VLOOKUP(ORDERS[[#This Row],[ProductID]],Products[],4,FALSE)</f>
        <v>35</v>
      </c>
      <c r="G390">
        <v>0</v>
      </c>
      <c r="H390">
        <f>(ORDERS[[#This Row],[UnitsOrdered]]*ORDERS[[#This Row],[unit price]])-(ORDERS[[#This Row],[UnitsOrdered]]*ORDERS[[#This Row],[unit price]]*ORDERS[[#This Row],[Discount]])</f>
        <v>5005</v>
      </c>
      <c r="I390" t="str">
        <f>VLOOKUP(ORDERS[[#This Row],[CustomerID]],customers[],2,FALSE)</f>
        <v>A Shirts Life</v>
      </c>
      <c r="J390" s="2" t="str">
        <f>VLOOKUP(ORDERS[[#This Row],[CustomerID]],customers[],4,FALSE)</f>
        <v>Portland</v>
      </c>
      <c r="K390" s="2" t="str">
        <f>VLOOKUP(ORDERS[[#This Row],[ProductID]],Products[],3,FALSE)</f>
        <v>Male</v>
      </c>
      <c r="L390" s="2">
        <f>DAY(ORDERS[[#This Row],[OrderDate]])</f>
        <v>29</v>
      </c>
      <c r="M390" s="2">
        <f>YEAR(ORDERS[[#This Row],[OrderDate]])</f>
        <v>2012</v>
      </c>
    </row>
    <row r="391" spans="1:13" x14ac:dyDescent="0.3">
      <c r="A391">
        <v>390</v>
      </c>
      <c r="B391">
        <v>3</v>
      </c>
      <c r="C391">
        <v>4</v>
      </c>
      <c r="D391" s="1">
        <v>41213</v>
      </c>
      <c r="E391">
        <v>142</v>
      </c>
      <c r="F391">
        <f>VLOOKUP(ORDERS[[#This Row],[ProductID]],Products[],4,FALSE)</f>
        <v>30</v>
      </c>
      <c r="G391">
        <v>0</v>
      </c>
      <c r="H391">
        <f>(ORDERS[[#This Row],[UnitsOrdered]]*ORDERS[[#This Row],[unit price]])-(ORDERS[[#This Row],[UnitsOrdered]]*ORDERS[[#This Row],[unit price]]*ORDERS[[#This Row],[Discount]])</f>
        <v>4260</v>
      </c>
      <c r="I391" t="str">
        <f>VLOOKUP(ORDERS[[#This Row],[CustomerID]],customers[],2,FALSE)</f>
        <v>Shirts R Us</v>
      </c>
      <c r="J391" s="2" t="str">
        <f>VLOOKUP(ORDERS[[#This Row],[CustomerID]],customers[],4,FALSE)</f>
        <v>Los Angeles</v>
      </c>
      <c r="K391" s="2" t="str">
        <f>VLOOKUP(ORDERS[[#This Row],[ProductID]],Products[],3,FALSE)</f>
        <v>Both</v>
      </c>
      <c r="L391" s="2">
        <f>DAY(ORDERS[[#This Row],[OrderDate]])</f>
        <v>31</v>
      </c>
      <c r="M391" s="2">
        <f>YEAR(ORDERS[[#This Row],[OrderDate]])</f>
        <v>2012</v>
      </c>
    </row>
    <row r="392" spans="1:13" x14ac:dyDescent="0.3">
      <c r="A392">
        <v>391</v>
      </c>
      <c r="B392">
        <v>1</v>
      </c>
      <c r="C392">
        <v>9</v>
      </c>
      <c r="D392" s="1">
        <v>41215</v>
      </c>
      <c r="E392">
        <v>125</v>
      </c>
      <c r="F392">
        <f>VLOOKUP(ORDERS[[#This Row],[ProductID]],Products[],4,FALSE)</f>
        <v>25</v>
      </c>
      <c r="G392">
        <v>0</v>
      </c>
      <c r="H392">
        <f>(ORDERS[[#This Row],[UnitsOrdered]]*ORDERS[[#This Row],[unit price]])-(ORDERS[[#This Row],[UnitsOrdered]]*ORDERS[[#This Row],[unit price]]*ORDERS[[#This Row],[Discount]])</f>
        <v>3125</v>
      </c>
      <c r="I392" t="str">
        <f>VLOOKUP(ORDERS[[#This Row],[CustomerID]],customers[],2,FALSE)</f>
        <v>Threads</v>
      </c>
      <c r="J392" s="2" t="str">
        <f>VLOOKUP(ORDERS[[#This Row],[CustomerID]],customers[],4,FALSE)</f>
        <v>Seattle</v>
      </c>
      <c r="K392" s="2" t="str">
        <f>VLOOKUP(ORDERS[[#This Row],[ProductID]],Products[],3,FALSE)</f>
        <v>Male</v>
      </c>
      <c r="L392" s="2">
        <f>DAY(ORDERS[[#This Row],[OrderDate]])</f>
        <v>2</v>
      </c>
      <c r="M392" s="2">
        <f>YEAR(ORDERS[[#This Row],[OrderDate]])</f>
        <v>2012</v>
      </c>
    </row>
    <row r="393" spans="1:13" x14ac:dyDescent="0.3">
      <c r="A393">
        <v>392</v>
      </c>
      <c r="B393">
        <v>3</v>
      </c>
      <c r="C393">
        <v>10</v>
      </c>
      <c r="D393" s="1">
        <v>41215</v>
      </c>
      <c r="E393">
        <v>60</v>
      </c>
      <c r="F393">
        <f>VLOOKUP(ORDERS[[#This Row],[ProductID]],Products[],4,FALSE)</f>
        <v>35</v>
      </c>
      <c r="G393">
        <v>0</v>
      </c>
      <c r="H393">
        <f>(ORDERS[[#This Row],[UnitsOrdered]]*ORDERS[[#This Row],[unit price]])-(ORDERS[[#This Row],[UnitsOrdered]]*ORDERS[[#This Row],[unit price]]*ORDERS[[#This Row],[Discount]])</f>
        <v>2100</v>
      </c>
      <c r="I393" t="str">
        <f>VLOOKUP(ORDERS[[#This Row],[CustomerID]],customers[],2,FALSE)</f>
        <v>Shirts R Us</v>
      </c>
      <c r="J393" s="2" t="str">
        <f>VLOOKUP(ORDERS[[#This Row],[CustomerID]],customers[],4,FALSE)</f>
        <v>Los Angeles</v>
      </c>
      <c r="K393" s="2" t="str">
        <f>VLOOKUP(ORDERS[[#This Row],[ProductID]],Products[],3,FALSE)</f>
        <v>Male</v>
      </c>
      <c r="L393" s="2">
        <f>DAY(ORDERS[[#This Row],[OrderDate]])</f>
        <v>2</v>
      </c>
      <c r="M393" s="2">
        <f>YEAR(ORDERS[[#This Row],[OrderDate]])</f>
        <v>2012</v>
      </c>
    </row>
    <row r="394" spans="1:13" x14ac:dyDescent="0.3">
      <c r="A394">
        <v>393</v>
      </c>
      <c r="B394">
        <v>4</v>
      </c>
      <c r="C394">
        <v>1</v>
      </c>
      <c r="D394" s="1">
        <v>41215</v>
      </c>
      <c r="E394">
        <v>31</v>
      </c>
      <c r="F394">
        <f>VLOOKUP(ORDERS[[#This Row],[ProductID]],Products[],4,FALSE)</f>
        <v>20</v>
      </c>
      <c r="G394">
        <v>0.15000000599999999</v>
      </c>
      <c r="H394">
        <f>(ORDERS[[#This Row],[UnitsOrdered]]*ORDERS[[#This Row],[unit price]])-(ORDERS[[#This Row],[UnitsOrdered]]*ORDERS[[#This Row],[unit price]]*ORDERS[[#This Row],[Discount]])</f>
        <v>526.99999628</v>
      </c>
      <c r="I394" t="str">
        <f>VLOOKUP(ORDERS[[#This Row],[CustomerID]],customers[],2,FALSE)</f>
        <v>Tshirt Unlimited</v>
      </c>
      <c r="J394" s="2" t="str">
        <f>VLOOKUP(ORDERS[[#This Row],[CustomerID]],customers[],4,FALSE)</f>
        <v>Phoenix</v>
      </c>
      <c r="K394" s="2" t="str">
        <f>VLOOKUP(ORDERS[[#This Row],[ProductID]],Products[],3,FALSE)</f>
        <v>Both</v>
      </c>
      <c r="L394" s="2">
        <f>DAY(ORDERS[[#This Row],[OrderDate]])</f>
        <v>2</v>
      </c>
      <c r="M394" s="2">
        <f>YEAR(ORDERS[[#This Row],[OrderDate]])</f>
        <v>2012</v>
      </c>
    </row>
    <row r="395" spans="1:13" x14ac:dyDescent="0.3">
      <c r="A395">
        <v>394</v>
      </c>
      <c r="B395">
        <v>4</v>
      </c>
      <c r="C395">
        <v>10</v>
      </c>
      <c r="D395" s="1">
        <v>41216</v>
      </c>
      <c r="E395">
        <v>101</v>
      </c>
      <c r="F395">
        <f>VLOOKUP(ORDERS[[#This Row],[ProductID]],Products[],4,FALSE)</f>
        <v>35</v>
      </c>
      <c r="G395">
        <v>0</v>
      </c>
      <c r="H395">
        <f>(ORDERS[[#This Row],[UnitsOrdered]]*ORDERS[[#This Row],[unit price]])-(ORDERS[[#This Row],[UnitsOrdered]]*ORDERS[[#This Row],[unit price]]*ORDERS[[#This Row],[Discount]])</f>
        <v>3535</v>
      </c>
      <c r="I395" t="str">
        <f>VLOOKUP(ORDERS[[#This Row],[CustomerID]],customers[],2,FALSE)</f>
        <v>Tshirt Unlimited</v>
      </c>
      <c r="J395" s="2" t="str">
        <f>VLOOKUP(ORDERS[[#This Row],[CustomerID]],customers[],4,FALSE)</f>
        <v>Phoenix</v>
      </c>
      <c r="K395" s="2" t="str">
        <f>VLOOKUP(ORDERS[[#This Row],[ProductID]],Products[],3,FALSE)</f>
        <v>Male</v>
      </c>
      <c r="L395" s="2">
        <f>DAY(ORDERS[[#This Row],[OrderDate]])</f>
        <v>3</v>
      </c>
      <c r="M395" s="2">
        <f>YEAR(ORDERS[[#This Row],[OrderDate]])</f>
        <v>2012</v>
      </c>
    </row>
    <row r="396" spans="1:13" x14ac:dyDescent="0.3">
      <c r="A396">
        <v>395</v>
      </c>
      <c r="B396">
        <v>6</v>
      </c>
      <c r="C396">
        <v>6</v>
      </c>
      <c r="D396" s="1">
        <v>41217</v>
      </c>
      <c r="E396">
        <v>140</v>
      </c>
      <c r="F396">
        <f>VLOOKUP(ORDERS[[#This Row],[ProductID]],Products[],4,FALSE)</f>
        <v>28</v>
      </c>
      <c r="G396">
        <v>0</v>
      </c>
      <c r="H396">
        <f>(ORDERS[[#This Row],[UnitsOrdered]]*ORDERS[[#This Row],[unit price]])-(ORDERS[[#This Row],[UnitsOrdered]]*ORDERS[[#This Row],[unit price]]*ORDERS[[#This Row],[Discount]])</f>
        <v>3920</v>
      </c>
      <c r="I396" t="str">
        <f>VLOOKUP(ORDERS[[#This Row],[CustomerID]],customers[],2,FALSE)</f>
        <v>Abracadaba Ink</v>
      </c>
      <c r="J396" s="2" t="str">
        <f>VLOOKUP(ORDERS[[#This Row],[CustomerID]],customers[],4,FALSE)</f>
        <v>Salt Lake City</v>
      </c>
      <c r="K396" s="2" t="str">
        <f>VLOOKUP(ORDERS[[#This Row],[ProductID]],Products[],3,FALSE)</f>
        <v>Female</v>
      </c>
      <c r="L396" s="2">
        <f>DAY(ORDERS[[#This Row],[OrderDate]])</f>
        <v>4</v>
      </c>
      <c r="M396" s="2">
        <f>YEAR(ORDERS[[#This Row],[OrderDate]])</f>
        <v>2012</v>
      </c>
    </row>
    <row r="397" spans="1:13" x14ac:dyDescent="0.3">
      <c r="A397">
        <v>396</v>
      </c>
      <c r="B397">
        <v>5</v>
      </c>
      <c r="C397">
        <v>4</v>
      </c>
      <c r="D397" s="1">
        <v>41218</v>
      </c>
      <c r="E397">
        <v>105</v>
      </c>
      <c r="F397">
        <f>VLOOKUP(ORDERS[[#This Row],[ProductID]],Products[],4,FALSE)</f>
        <v>30</v>
      </c>
      <c r="G397">
        <v>0</v>
      </c>
      <c r="H397">
        <f>(ORDERS[[#This Row],[UnitsOrdered]]*ORDERS[[#This Row],[unit price]])-(ORDERS[[#This Row],[UnitsOrdered]]*ORDERS[[#This Row],[unit price]]*ORDERS[[#This Row],[Discount]])</f>
        <v>3150</v>
      </c>
      <c r="I397" t="str">
        <f>VLOOKUP(ORDERS[[#This Row],[CustomerID]],customers[],2,FALSE)</f>
        <v>Rags to Riches</v>
      </c>
      <c r="J397" s="2" t="str">
        <f>VLOOKUP(ORDERS[[#This Row],[CustomerID]],customers[],4,FALSE)</f>
        <v>Las Vegas</v>
      </c>
      <c r="K397" s="2" t="str">
        <f>VLOOKUP(ORDERS[[#This Row],[ProductID]],Products[],3,FALSE)</f>
        <v>Both</v>
      </c>
      <c r="L397" s="2">
        <f>DAY(ORDERS[[#This Row],[OrderDate]])</f>
        <v>5</v>
      </c>
      <c r="M397" s="2">
        <f>YEAR(ORDERS[[#This Row],[OrderDate]])</f>
        <v>2012</v>
      </c>
    </row>
    <row r="398" spans="1:13" x14ac:dyDescent="0.3">
      <c r="A398">
        <v>397</v>
      </c>
      <c r="B398">
        <v>5</v>
      </c>
      <c r="C398">
        <v>8</v>
      </c>
      <c r="D398" s="1">
        <v>41218</v>
      </c>
      <c r="E398">
        <v>101</v>
      </c>
      <c r="F398">
        <f>VLOOKUP(ORDERS[[#This Row],[ProductID]],Products[],4,FALSE)</f>
        <v>27</v>
      </c>
      <c r="G398">
        <v>5.0000001000000002E-2</v>
      </c>
      <c r="H398">
        <f>(ORDERS[[#This Row],[UnitsOrdered]]*ORDERS[[#This Row],[unit price]])-(ORDERS[[#This Row],[UnitsOrdered]]*ORDERS[[#This Row],[unit price]]*ORDERS[[#This Row],[Discount]])</f>
        <v>2590.6499972729998</v>
      </c>
      <c r="I398" t="str">
        <f>VLOOKUP(ORDERS[[#This Row],[CustomerID]],customers[],2,FALSE)</f>
        <v>Rags to Riches</v>
      </c>
      <c r="J398" s="2" t="str">
        <f>VLOOKUP(ORDERS[[#This Row],[CustomerID]],customers[],4,FALSE)</f>
        <v>Las Vegas</v>
      </c>
      <c r="K398" s="2" t="str">
        <f>VLOOKUP(ORDERS[[#This Row],[ProductID]],Products[],3,FALSE)</f>
        <v>Female</v>
      </c>
      <c r="L398" s="2">
        <f>DAY(ORDERS[[#This Row],[OrderDate]])</f>
        <v>5</v>
      </c>
      <c r="M398" s="2">
        <f>YEAR(ORDERS[[#This Row],[OrderDate]])</f>
        <v>2012</v>
      </c>
    </row>
    <row r="399" spans="1:13" x14ac:dyDescent="0.3">
      <c r="A399">
        <v>398</v>
      </c>
      <c r="B399">
        <v>5</v>
      </c>
      <c r="C399">
        <v>9</v>
      </c>
      <c r="D399" s="1">
        <v>41218</v>
      </c>
      <c r="E399">
        <v>96</v>
      </c>
      <c r="F399">
        <f>VLOOKUP(ORDERS[[#This Row],[ProductID]],Products[],4,FALSE)</f>
        <v>25</v>
      </c>
      <c r="G399">
        <v>0.10000000100000001</v>
      </c>
      <c r="H399">
        <f>(ORDERS[[#This Row],[UnitsOrdered]]*ORDERS[[#This Row],[unit price]])-(ORDERS[[#This Row],[UnitsOrdered]]*ORDERS[[#This Row],[unit price]]*ORDERS[[#This Row],[Discount]])</f>
        <v>2159.9999975999999</v>
      </c>
      <c r="I399" t="str">
        <f>VLOOKUP(ORDERS[[#This Row],[CustomerID]],customers[],2,FALSE)</f>
        <v>Rags to Riches</v>
      </c>
      <c r="J399" s="2" t="str">
        <f>VLOOKUP(ORDERS[[#This Row],[CustomerID]],customers[],4,FALSE)</f>
        <v>Las Vegas</v>
      </c>
      <c r="K399" s="2" t="str">
        <f>VLOOKUP(ORDERS[[#This Row],[ProductID]],Products[],3,FALSE)</f>
        <v>Male</v>
      </c>
      <c r="L399" s="2">
        <f>DAY(ORDERS[[#This Row],[OrderDate]])</f>
        <v>5</v>
      </c>
      <c r="M399" s="2">
        <f>YEAR(ORDERS[[#This Row],[OrderDate]])</f>
        <v>2012</v>
      </c>
    </row>
    <row r="400" spans="1:13" x14ac:dyDescent="0.3">
      <c r="A400">
        <v>399</v>
      </c>
      <c r="B400">
        <v>4</v>
      </c>
      <c r="C400">
        <v>7</v>
      </c>
      <c r="D400" s="1">
        <v>41220</v>
      </c>
      <c r="E400">
        <v>29</v>
      </c>
      <c r="F400">
        <f>VLOOKUP(ORDERS[[#This Row],[ProductID]],Products[],4,FALSE)</f>
        <v>38</v>
      </c>
      <c r="G400">
        <v>0</v>
      </c>
      <c r="H400">
        <f>(ORDERS[[#This Row],[UnitsOrdered]]*ORDERS[[#This Row],[unit price]])-(ORDERS[[#This Row],[UnitsOrdered]]*ORDERS[[#This Row],[unit price]]*ORDERS[[#This Row],[Discount]])</f>
        <v>1102</v>
      </c>
      <c r="I400" t="str">
        <f>VLOOKUP(ORDERS[[#This Row],[CustomerID]],customers[],2,FALSE)</f>
        <v>Tshirt Unlimited</v>
      </c>
      <c r="J400" s="2" t="str">
        <f>VLOOKUP(ORDERS[[#This Row],[CustomerID]],customers[],4,FALSE)</f>
        <v>Phoenix</v>
      </c>
      <c r="K400" s="2" t="str">
        <f>VLOOKUP(ORDERS[[#This Row],[ProductID]],Products[],3,FALSE)</f>
        <v>Female</v>
      </c>
      <c r="L400" s="2">
        <f>DAY(ORDERS[[#This Row],[OrderDate]])</f>
        <v>7</v>
      </c>
      <c r="M400" s="2">
        <f>YEAR(ORDERS[[#This Row],[OrderDate]])</f>
        <v>2012</v>
      </c>
    </row>
    <row r="401" spans="1:13" x14ac:dyDescent="0.3">
      <c r="A401">
        <v>400</v>
      </c>
      <c r="B401">
        <v>7</v>
      </c>
      <c r="C401">
        <v>8</v>
      </c>
      <c r="D401" s="1">
        <v>41220</v>
      </c>
      <c r="E401">
        <v>123</v>
      </c>
      <c r="F401">
        <f>VLOOKUP(ORDERS[[#This Row],[ProductID]],Products[],4,FALSE)</f>
        <v>27</v>
      </c>
      <c r="G401">
        <v>5.0000001000000002E-2</v>
      </c>
      <c r="H401">
        <f>(ORDERS[[#This Row],[UnitsOrdered]]*ORDERS[[#This Row],[unit price]])-(ORDERS[[#This Row],[UnitsOrdered]]*ORDERS[[#This Row],[unit price]]*ORDERS[[#This Row],[Discount]])</f>
        <v>3154.9499966789999</v>
      </c>
      <c r="I401" t="str">
        <f>VLOOKUP(ORDERS[[#This Row],[CustomerID]],customers[],2,FALSE)</f>
        <v>The Shirt on Your Back</v>
      </c>
      <c r="J401" s="2" t="str">
        <f>VLOOKUP(ORDERS[[#This Row],[CustomerID]],customers[],4,FALSE)</f>
        <v>Bonners Ferry</v>
      </c>
      <c r="K401" s="2" t="str">
        <f>VLOOKUP(ORDERS[[#This Row],[ProductID]],Products[],3,FALSE)</f>
        <v>Female</v>
      </c>
      <c r="L401" s="2">
        <f>DAY(ORDERS[[#This Row],[OrderDate]])</f>
        <v>7</v>
      </c>
      <c r="M401" s="2">
        <f>YEAR(ORDERS[[#This Row],[OrderDate]])</f>
        <v>2012</v>
      </c>
    </row>
    <row r="402" spans="1:13" x14ac:dyDescent="0.3">
      <c r="A402">
        <v>401</v>
      </c>
      <c r="B402">
        <v>1</v>
      </c>
      <c r="C402">
        <v>1</v>
      </c>
      <c r="D402" s="1">
        <v>41221</v>
      </c>
      <c r="E402">
        <v>40</v>
      </c>
      <c r="F402">
        <f>VLOOKUP(ORDERS[[#This Row],[ProductID]],Products[],4,FALSE)</f>
        <v>20</v>
      </c>
      <c r="G402">
        <v>0.10000000100000001</v>
      </c>
      <c r="H402">
        <f>(ORDERS[[#This Row],[UnitsOrdered]]*ORDERS[[#This Row],[unit price]])-(ORDERS[[#This Row],[UnitsOrdered]]*ORDERS[[#This Row],[unit price]]*ORDERS[[#This Row],[Discount]])</f>
        <v>719.99999920000005</v>
      </c>
      <c r="I402" t="str">
        <f>VLOOKUP(ORDERS[[#This Row],[CustomerID]],customers[],2,FALSE)</f>
        <v>Threads</v>
      </c>
      <c r="J402" s="2" t="str">
        <f>VLOOKUP(ORDERS[[#This Row],[CustomerID]],customers[],4,FALSE)</f>
        <v>Seattle</v>
      </c>
      <c r="K402" s="2" t="str">
        <f>VLOOKUP(ORDERS[[#This Row],[ProductID]],Products[],3,FALSE)</f>
        <v>Both</v>
      </c>
      <c r="L402" s="2">
        <f>DAY(ORDERS[[#This Row],[OrderDate]])</f>
        <v>8</v>
      </c>
      <c r="M402" s="2">
        <f>YEAR(ORDERS[[#This Row],[OrderDate]])</f>
        <v>2012</v>
      </c>
    </row>
    <row r="403" spans="1:13" x14ac:dyDescent="0.3">
      <c r="A403">
        <v>402</v>
      </c>
      <c r="B403">
        <v>2</v>
      </c>
      <c r="C403">
        <v>10</v>
      </c>
      <c r="D403" s="1">
        <v>41222</v>
      </c>
      <c r="E403">
        <v>91</v>
      </c>
      <c r="F403">
        <f>VLOOKUP(ORDERS[[#This Row],[ProductID]],Products[],4,FALSE)</f>
        <v>35</v>
      </c>
      <c r="G403">
        <v>0</v>
      </c>
      <c r="H403">
        <f>(ORDERS[[#This Row],[UnitsOrdered]]*ORDERS[[#This Row],[unit price]])-(ORDERS[[#This Row],[UnitsOrdered]]*ORDERS[[#This Row],[unit price]]*ORDERS[[#This Row],[Discount]])</f>
        <v>3185</v>
      </c>
      <c r="I403" t="str">
        <f>VLOOKUP(ORDERS[[#This Row],[CustomerID]],customers[],2,FALSE)</f>
        <v>A Shirts Life</v>
      </c>
      <c r="J403" s="2" t="str">
        <f>VLOOKUP(ORDERS[[#This Row],[CustomerID]],customers[],4,FALSE)</f>
        <v>Portland</v>
      </c>
      <c r="K403" s="2" t="str">
        <f>VLOOKUP(ORDERS[[#This Row],[ProductID]],Products[],3,FALSE)</f>
        <v>Male</v>
      </c>
      <c r="L403" s="2">
        <f>DAY(ORDERS[[#This Row],[OrderDate]])</f>
        <v>9</v>
      </c>
      <c r="M403" s="2">
        <f>YEAR(ORDERS[[#This Row],[OrderDate]])</f>
        <v>2012</v>
      </c>
    </row>
    <row r="404" spans="1:13" x14ac:dyDescent="0.3">
      <c r="A404">
        <v>403</v>
      </c>
      <c r="B404">
        <v>6</v>
      </c>
      <c r="C404">
        <v>1</v>
      </c>
      <c r="D404" s="1">
        <v>41223</v>
      </c>
      <c r="E404">
        <v>81</v>
      </c>
      <c r="F404">
        <f>VLOOKUP(ORDERS[[#This Row],[ProductID]],Products[],4,FALSE)</f>
        <v>20</v>
      </c>
      <c r="G404">
        <v>0</v>
      </c>
      <c r="H404">
        <f>(ORDERS[[#This Row],[UnitsOrdered]]*ORDERS[[#This Row],[unit price]])-(ORDERS[[#This Row],[UnitsOrdered]]*ORDERS[[#This Row],[unit price]]*ORDERS[[#This Row],[Discount]])</f>
        <v>1620</v>
      </c>
      <c r="I404" t="str">
        <f>VLOOKUP(ORDERS[[#This Row],[CustomerID]],customers[],2,FALSE)</f>
        <v>Abracadaba Ink</v>
      </c>
      <c r="J404" s="2" t="str">
        <f>VLOOKUP(ORDERS[[#This Row],[CustomerID]],customers[],4,FALSE)</f>
        <v>Salt Lake City</v>
      </c>
      <c r="K404" s="2" t="str">
        <f>VLOOKUP(ORDERS[[#This Row],[ProductID]],Products[],3,FALSE)</f>
        <v>Both</v>
      </c>
      <c r="L404" s="2">
        <f>DAY(ORDERS[[#This Row],[OrderDate]])</f>
        <v>10</v>
      </c>
      <c r="M404" s="2">
        <f>YEAR(ORDERS[[#This Row],[OrderDate]])</f>
        <v>2012</v>
      </c>
    </row>
    <row r="405" spans="1:13" x14ac:dyDescent="0.3">
      <c r="A405">
        <v>404</v>
      </c>
      <c r="B405">
        <v>4</v>
      </c>
      <c r="C405">
        <v>10</v>
      </c>
      <c r="D405" s="1">
        <v>41224</v>
      </c>
      <c r="E405">
        <v>113</v>
      </c>
      <c r="F405">
        <f>VLOOKUP(ORDERS[[#This Row],[ProductID]],Products[],4,FALSE)</f>
        <v>35</v>
      </c>
      <c r="G405">
        <v>0</v>
      </c>
      <c r="H405">
        <f>(ORDERS[[#This Row],[UnitsOrdered]]*ORDERS[[#This Row],[unit price]])-(ORDERS[[#This Row],[UnitsOrdered]]*ORDERS[[#This Row],[unit price]]*ORDERS[[#This Row],[Discount]])</f>
        <v>3955</v>
      </c>
      <c r="I405" t="str">
        <f>VLOOKUP(ORDERS[[#This Row],[CustomerID]],customers[],2,FALSE)</f>
        <v>Tshirt Unlimited</v>
      </c>
      <c r="J405" s="2" t="str">
        <f>VLOOKUP(ORDERS[[#This Row],[CustomerID]],customers[],4,FALSE)</f>
        <v>Phoenix</v>
      </c>
      <c r="K405" s="2" t="str">
        <f>VLOOKUP(ORDERS[[#This Row],[ProductID]],Products[],3,FALSE)</f>
        <v>Male</v>
      </c>
      <c r="L405" s="2">
        <f>DAY(ORDERS[[#This Row],[OrderDate]])</f>
        <v>11</v>
      </c>
      <c r="M405" s="2">
        <f>YEAR(ORDERS[[#This Row],[OrderDate]])</f>
        <v>2012</v>
      </c>
    </row>
    <row r="406" spans="1:13" x14ac:dyDescent="0.3">
      <c r="A406">
        <v>405</v>
      </c>
      <c r="B406">
        <v>1</v>
      </c>
      <c r="C406">
        <v>1</v>
      </c>
      <c r="D406" s="1">
        <v>41225</v>
      </c>
      <c r="E406">
        <v>26</v>
      </c>
      <c r="F406">
        <f>VLOOKUP(ORDERS[[#This Row],[ProductID]],Products[],4,FALSE)</f>
        <v>20</v>
      </c>
      <c r="G406">
        <v>0</v>
      </c>
      <c r="H406">
        <f>(ORDERS[[#This Row],[UnitsOrdered]]*ORDERS[[#This Row],[unit price]])-(ORDERS[[#This Row],[UnitsOrdered]]*ORDERS[[#This Row],[unit price]]*ORDERS[[#This Row],[Discount]])</f>
        <v>520</v>
      </c>
      <c r="I406" t="str">
        <f>VLOOKUP(ORDERS[[#This Row],[CustomerID]],customers[],2,FALSE)</f>
        <v>Threads</v>
      </c>
      <c r="J406" s="2" t="str">
        <f>VLOOKUP(ORDERS[[#This Row],[CustomerID]],customers[],4,FALSE)</f>
        <v>Seattle</v>
      </c>
      <c r="K406" s="2" t="str">
        <f>VLOOKUP(ORDERS[[#This Row],[ProductID]],Products[],3,FALSE)</f>
        <v>Both</v>
      </c>
      <c r="L406" s="2">
        <f>DAY(ORDERS[[#This Row],[OrderDate]])</f>
        <v>12</v>
      </c>
      <c r="M406" s="2">
        <f>YEAR(ORDERS[[#This Row],[OrderDate]])</f>
        <v>2012</v>
      </c>
    </row>
    <row r="407" spans="1:13" x14ac:dyDescent="0.3">
      <c r="A407">
        <v>406</v>
      </c>
      <c r="B407">
        <v>2</v>
      </c>
      <c r="C407">
        <v>7</v>
      </c>
      <c r="D407" s="1">
        <v>41226</v>
      </c>
      <c r="E407">
        <v>58</v>
      </c>
      <c r="F407">
        <f>VLOOKUP(ORDERS[[#This Row],[ProductID]],Products[],4,FALSE)</f>
        <v>38</v>
      </c>
      <c r="G407">
        <v>0</v>
      </c>
      <c r="H407">
        <f>(ORDERS[[#This Row],[UnitsOrdered]]*ORDERS[[#This Row],[unit price]])-(ORDERS[[#This Row],[UnitsOrdered]]*ORDERS[[#This Row],[unit price]]*ORDERS[[#This Row],[Discount]])</f>
        <v>2204</v>
      </c>
      <c r="I407" t="str">
        <f>VLOOKUP(ORDERS[[#This Row],[CustomerID]],customers[],2,FALSE)</f>
        <v>A Shirts Life</v>
      </c>
      <c r="J407" s="2" t="str">
        <f>VLOOKUP(ORDERS[[#This Row],[CustomerID]],customers[],4,FALSE)</f>
        <v>Portland</v>
      </c>
      <c r="K407" s="2" t="str">
        <f>VLOOKUP(ORDERS[[#This Row],[ProductID]],Products[],3,FALSE)</f>
        <v>Female</v>
      </c>
      <c r="L407" s="2">
        <f>DAY(ORDERS[[#This Row],[OrderDate]])</f>
        <v>13</v>
      </c>
      <c r="M407" s="2">
        <f>YEAR(ORDERS[[#This Row],[OrderDate]])</f>
        <v>2012</v>
      </c>
    </row>
    <row r="408" spans="1:13" x14ac:dyDescent="0.3">
      <c r="A408">
        <v>407</v>
      </c>
      <c r="B408">
        <v>3</v>
      </c>
      <c r="C408">
        <v>5</v>
      </c>
      <c r="D408" s="1">
        <v>41226</v>
      </c>
      <c r="E408">
        <v>32</v>
      </c>
      <c r="F408">
        <f>VLOOKUP(ORDERS[[#This Row],[ProductID]],Products[],4,FALSE)</f>
        <v>16</v>
      </c>
      <c r="G408">
        <v>5.0000001000000002E-2</v>
      </c>
      <c r="H408">
        <f>(ORDERS[[#This Row],[UnitsOrdered]]*ORDERS[[#This Row],[unit price]])-(ORDERS[[#This Row],[UnitsOrdered]]*ORDERS[[#This Row],[unit price]]*ORDERS[[#This Row],[Discount]])</f>
        <v>486.39999948799999</v>
      </c>
      <c r="I408" t="str">
        <f>VLOOKUP(ORDERS[[#This Row],[CustomerID]],customers[],2,FALSE)</f>
        <v>Shirts R Us</v>
      </c>
      <c r="J408" s="2" t="str">
        <f>VLOOKUP(ORDERS[[#This Row],[CustomerID]],customers[],4,FALSE)</f>
        <v>Los Angeles</v>
      </c>
      <c r="K408" s="2" t="str">
        <f>VLOOKUP(ORDERS[[#This Row],[ProductID]],Products[],3,FALSE)</f>
        <v>Female</v>
      </c>
      <c r="L408" s="2">
        <f>DAY(ORDERS[[#This Row],[OrderDate]])</f>
        <v>13</v>
      </c>
      <c r="M408" s="2">
        <f>YEAR(ORDERS[[#This Row],[OrderDate]])</f>
        <v>2012</v>
      </c>
    </row>
    <row r="409" spans="1:13" x14ac:dyDescent="0.3">
      <c r="A409">
        <v>408</v>
      </c>
      <c r="B409">
        <v>6</v>
      </c>
      <c r="C409">
        <v>5</v>
      </c>
      <c r="D409" s="1">
        <v>41226</v>
      </c>
      <c r="E409">
        <v>45</v>
      </c>
      <c r="F409">
        <f>VLOOKUP(ORDERS[[#This Row],[ProductID]],Products[],4,FALSE)</f>
        <v>16</v>
      </c>
      <c r="G409">
        <v>0</v>
      </c>
      <c r="H409">
        <f>(ORDERS[[#This Row],[UnitsOrdered]]*ORDERS[[#This Row],[unit price]])-(ORDERS[[#This Row],[UnitsOrdered]]*ORDERS[[#This Row],[unit price]]*ORDERS[[#This Row],[Discount]])</f>
        <v>720</v>
      </c>
      <c r="I409" t="str">
        <f>VLOOKUP(ORDERS[[#This Row],[CustomerID]],customers[],2,FALSE)</f>
        <v>Abracadaba Ink</v>
      </c>
      <c r="J409" s="2" t="str">
        <f>VLOOKUP(ORDERS[[#This Row],[CustomerID]],customers[],4,FALSE)</f>
        <v>Salt Lake City</v>
      </c>
      <c r="K409" s="2" t="str">
        <f>VLOOKUP(ORDERS[[#This Row],[ProductID]],Products[],3,FALSE)</f>
        <v>Female</v>
      </c>
      <c r="L409" s="2">
        <f>DAY(ORDERS[[#This Row],[OrderDate]])</f>
        <v>13</v>
      </c>
      <c r="M409" s="2">
        <f>YEAR(ORDERS[[#This Row],[OrderDate]])</f>
        <v>2012</v>
      </c>
    </row>
    <row r="410" spans="1:13" x14ac:dyDescent="0.3">
      <c r="A410">
        <v>409</v>
      </c>
      <c r="B410">
        <v>5</v>
      </c>
      <c r="C410">
        <v>10</v>
      </c>
      <c r="D410" s="1">
        <v>41227</v>
      </c>
      <c r="E410">
        <v>107</v>
      </c>
      <c r="F410">
        <f>VLOOKUP(ORDERS[[#This Row],[ProductID]],Products[],4,FALSE)</f>
        <v>35</v>
      </c>
      <c r="G410">
        <v>0</v>
      </c>
      <c r="H410">
        <f>(ORDERS[[#This Row],[UnitsOrdered]]*ORDERS[[#This Row],[unit price]])-(ORDERS[[#This Row],[UnitsOrdered]]*ORDERS[[#This Row],[unit price]]*ORDERS[[#This Row],[Discount]])</f>
        <v>3745</v>
      </c>
      <c r="I410" t="str">
        <f>VLOOKUP(ORDERS[[#This Row],[CustomerID]],customers[],2,FALSE)</f>
        <v>Rags to Riches</v>
      </c>
      <c r="J410" s="2" t="str">
        <f>VLOOKUP(ORDERS[[#This Row],[CustomerID]],customers[],4,FALSE)</f>
        <v>Las Vegas</v>
      </c>
      <c r="K410" s="2" t="str">
        <f>VLOOKUP(ORDERS[[#This Row],[ProductID]],Products[],3,FALSE)</f>
        <v>Male</v>
      </c>
      <c r="L410" s="2">
        <f>DAY(ORDERS[[#This Row],[OrderDate]])</f>
        <v>14</v>
      </c>
      <c r="M410" s="2">
        <f>YEAR(ORDERS[[#This Row],[OrderDate]])</f>
        <v>2012</v>
      </c>
    </row>
    <row r="411" spans="1:13" x14ac:dyDescent="0.3">
      <c r="A411">
        <v>410</v>
      </c>
      <c r="B411">
        <v>6</v>
      </c>
      <c r="C411">
        <v>2</v>
      </c>
      <c r="D411" s="1">
        <v>41227</v>
      </c>
      <c r="E411">
        <v>80</v>
      </c>
      <c r="F411">
        <f>VLOOKUP(ORDERS[[#This Row],[ProductID]],Products[],4,FALSE)</f>
        <v>30</v>
      </c>
      <c r="G411">
        <v>0</v>
      </c>
      <c r="H411">
        <f>(ORDERS[[#This Row],[UnitsOrdered]]*ORDERS[[#This Row],[unit price]])-(ORDERS[[#This Row],[UnitsOrdered]]*ORDERS[[#This Row],[unit price]]*ORDERS[[#This Row],[Discount]])</f>
        <v>2400</v>
      </c>
      <c r="I411" t="str">
        <f>VLOOKUP(ORDERS[[#This Row],[CustomerID]],customers[],2,FALSE)</f>
        <v>Abracadaba Ink</v>
      </c>
      <c r="J411" s="2" t="str">
        <f>VLOOKUP(ORDERS[[#This Row],[CustomerID]],customers[],4,FALSE)</f>
        <v>Salt Lake City</v>
      </c>
      <c r="K411" s="2" t="str">
        <f>VLOOKUP(ORDERS[[#This Row],[ProductID]],Products[],3,FALSE)</f>
        <v>Both</v>
      </c>
      <c r="L411" s="2">
        <f>DAY(ORDERS[[#This Row],[OrderDate]])</f>
        <v>14</v>
      </c>
      <c r="M411" s="2">
        <f>YEAR(ORDERS[[#This Row],[OrderDate]])</f>
        <v>2012</v>
      </c>
    </row>
    <row r="412" spans="1:13" x14ac:dyDescent="0.3">
      <c r="A412">
        <v>411</v>
      </c>
      <c r="B412">
        <v>2</v>
      </c>
      <c r="C412">
        <v>1</v>
      </c>
      <c r="D412" s="1">
        <v>41229</v>
      </c>
      <c r="E412">
        <v>89</v>
      </c>
      <c r="F412">
        <f>VLOOKUP(ORDERS[[#This Row],[ProductID]],Products[],4,FALSE)</f>
        <v>20</v>
      </c>
      <c r="G412">
        <v>0</v>
      </c>
      <c r="H412">
        <f>(ORDERS[[#This Row],[UnitsOrdered]]*ORDERS[[#This Row],[unit price]])-(ORDERS[[#This Row],[UnitsOrdered]]*ORDERS[[#This Row],[unit price]]*ORDERS[[#This Row],[Discount]])</f>
        <v>1780</v>
      </c>
      <c r="I412" t="str">
        <f>VLOOKUP(ORDERS[[#This Row],[CustomerID]],customers[],2,FALSE)</f>
        <v>A Shirts Life</v>
      </c>
      <c r="J412" s="2" t="str">
        <f>VLOOKUP(ORDERS[[#This Row],[CustomerID]],customers[],4,FALSE)</f>
        <v>Portland</v>
      </c>
      <c r="K412" s="2" t="str">
        <f>VLOOKUP(ORDERS[[#This Row],[ProductID]],Products[],3,FALSE)</f>
        <v>Both</v>
      </c>
      <c r="L412" s="2">
        <f>DAY(ORDERS[[#This Row],[OrderDate]])</f>
        <v>16</v>
      </c>
      <c r="M412" s="2">
        <f>YEAR(ORDERS[[#This Row],[OrderDate]])</f>
        <v>2012</v>
      </c>
    </row>
    <row r="413" spans="1:13" x14ac:dyDescent="0.3">
      <c r="A413">
        <v>412</v>
      </c>
      <c r="B413">
        <v>4</v>
      </c>
      <c r="C413">
        <v>4</v>
      </c>
      <c r="D413" s="1">
        <v>41229</v>
      </c>
      <c r="E413">
        <v>138</v>
      </c>
      <c r="F413">
        <f>VLOOKUP(ORDERS[[#This Row],[ProductID]],Products[],4,FALSE)</f>
        <v>30</v>
      </c>
      <c r="G413">
        <v>5.0000001000000002E-2</v>
      </c>
      <c r="H413">
        <f>(ORDERS[[#This Row],[UnitsOrdered]]*ORDERS[[#This Row],[unit price]])-(ORDERS[[#This Row],[UnitsOrdered]]*ORDERS[[#This Row],[unit price]]*ORDERS[[#This Row],[Discount]])</f>
        <v>3932.9999958600001</v>
      </c>
      <c r="I413" t="str">
        <f>VLOOKUP(ORDERS[[#This Row],[CustomerID]],customers[],2,FALSE)</f>
        <v>Tshirt Unlimited</v>
      </c>
      <c r="J413" s="2" t="str">
        <f>VLOOKUP(ORDERS[[#This Row],[CustomerID]],customers[],4,FALSE)</f>
        <v>Phoenix</v>
      </c>
      <c r="K413" s="2" t="str">
        <f>VLOOKUP(ORDERS[[#This Row],[ProductID]],Products[],3,FALSE)</f>
        <v>Both</v>
      </c>
      <c r="L413" s="2">
        <f>DAY(ORDERS[[#This Row],[OrderDate]])</f>
        <v>16</v>
      </c>
      <c r="M413" s="2">
        <f>YEAR(ORDERS[[#This Row],[OrderDate]])</f>
        <v>2012</v>
      </c>
    </row>
    <row r="414" spans="1:13" x14ac:dyDescent="0.3">
      <c r="A414">
        <v>413</v>
      </c>
      <c r="B414">
        <v>7</v>
      </c>
      <c r="C414">
        <v>5</v>
      </c>
      <c r="D414" s="1">
        <v>41231</v>
      </c>
      <c r="E414">
        <v>93</v>
      </c>
      <c r="F414">
        <f>VLOOKUP(ORDERS[[#This Row],[ProductID]],Products[],4,FALSE)</f>
        <v>16</v>
      </c>
      <c r="G414">
        <v>0.10000000100000001</v>
      </c>
      <c r="H414">
        <f>(ORDERS[[#This Row],[UnitsOrdered]]*ORDERS[[#This Row],[unit price]])-(ORDERS[[#This Row],[UnitsOrdered]]*ORDERS[[#This Row],[unit price]]*ORDERS[[#This Row],[Discount]])</f>
        <v>1339.1999985120001</v>
      </c>
      <c r="I414" t="str">
        <f>VLOOKUP(ORDERS[[#This Row],[CustomerID]],customers[],2,FALSE)</f>
        <v>The Shirt on Your Back</v>
      </c>
      <c r="J414" s="2" t="str">
        <f>VLOOKUP(ORDERS[[#This Row],[CustomerID]],customers[],4,FALSE)</f>
        <v>Bonners Ferry</v>
      </c>
      <c r="K414" s="2" t="str">
        <f>VLOOKUP(ORDERS[[#This Row],[ProductID]],Products[],3,FALSE)</f>
        <v>Female</v>
      </c>
      <c r="L414" s="2">
        <f>DAY(ORDERS[[#This Row],[OrderDate]])</f>
        <v>18</v>
      </c>
      <c r="M414" s="2">
        <f>YEAR(ORDERS[[#This Row],[OrderDate]])</f>
        <v>2012</v>
      </c>
    </row>
    <row r="415" spans="1:13" x14ac:dyDescent="0.3">
      <c r="A415">
        <v>414</v>
      </c>
      <c r="B415">
        <v>5</v>
      </c>
      <c r="C415">
        <v>4</v>
      </c>
      <c r="D415" s="1">
        <v>41233</v>
      </c>
      <c r="E415">
        <v>65</v>
      </c>
      <c r="F415">
        <f>VLOOKUP(ORDERS[[#This Row],[ProductID]],Products[],4,FALSE)</f>
        <v>30</v>
      </c>
      <c r="G415">
        <v>0</v>
      </c>
      <c r="H415">
        <f>(ORDERS[[#This Row],[UnitsOrdered]]*ORDERS[[#This Row],[unit price]])-(ORDERS[[#This Row],[UnitsOrdered]]*ORDERS[[#This Row],[unit price]]*ORDERS[[#This Row],[Discount]])</f>
        <v>1950</v>
      </c>
      <c r="I415" t="str">
        <f>VLOOKUP(ORDERS[[#This Row],[CustomerID]],customers[],2,FALSE)</f>
        <v>Rags to Riches</v>
      </c>
      <c r="J415" s="2" t="str">
        <f>VLOOKUP(ORDERS[[#This Row],[CustomerID]],customers[],4,FALSE)</f>
        <v>Las Vegas</v>
      </c>
      <c r="K415" s="2" t="str">
        <f>VLOOKUP(ORDERS[[#This Row],[ProductID]],Products[],3,FALSE)</f>
        <v>Both</v>
      </c>
      <c r="L415" s="2">
        <f>DAY(ORDERS[[#This Row],[OrderDate]])</f>
        <v>20</v>
      </c>
      <c r="M415" s="2">
        <f>YEAR(ORDERS[[#This Row],[OrderDate]])</f>
        <v>2012</v>
      </c>
    </row>
    <row r="416" spans="1:13" x14ac:dyDescent="0.3">
      <c r="A416">
        <v>415</v>
      </c>
      <c r="B416">
        <v>6</v>
      </c>
      <c r="C416">
        <v>9</v>
      </c>
      <c r="D416" s="1">
        <v>41233</v>
      </c>
      <c r="E416">
        <v>139</v>
      </c>
      <c r="F416">
        <f>VLOOKUP(ORDERS[[#This Row],[ProductID]],Products[],4,FALSE)</f>
        <v>25</v>
      </c>
      <c r="G416">
        <v>0</v>
      </c>
      <c r="H416">
        <f>(ORDERS[[#This Row],[UnitsOrdered]]*ORDERS[[#This Row],[unit price]])-(ORDERS[[#This Row],[UnitsOrdered]]*ORDERS[[#This Row],[unit price]]*ORDERS[[#This Row],[Discount]])</f>
        <v>3475</v>
      </c>
      <c r="I416" t="str">
        <f>VLOOKUP(ORDERS[[#This Row],[CustomerID]],customers[],2,FALSE)</f>
        <v>Abracadaba Ink</v>
      </c>
      <c r="J416" s="2" t="str">
        <f>VLOOKUP(ORDERS[[#This Row],[CustomerID]],customers[],4,FALSE)</f>
        <v>Salt Lake City</v>
      </c>
      <c r="K416" s="2" t="str">
        <f>VLOOKUP(ORDERS[[#This Row],[ProductID]],Products[],3,FALSE)</f>
        <v>Male</v>
      </c>
      <c r="L416" s="2">
        <f>DAY(ORDERS[[#This Row],[OrderDate]])</f>
        <v>20</v>
      </c>
      <c r="M416" s="2">
        <f>YEAR(ORDERS[[#This Row],[OrderDate]])</f>
        <v>2012</v>
      </c>
    </row>
    <row r="417" spans="1:13" x14ac:dyDescent="0.3">
      <c r="A417">
        <v>416</v>
      </c>
      <c r="B417">
        <v>1</v>
      </c>
      <c r="C417">
        <v>8</v>
      </c>
      <c r="D417" s="1">
        <v>41234</v>
      </c>
      <c r="E417">
        <v>41</v>
      </c>
      <c r="F417">
        <f>VLOOKUP(ORDERS[[#This Row],[ProductID]],Products[],4,FALSE)</f>
        <v>27</v>
      </c>
      <c r="G417">
        <v>0.10000000100000001</v>
      </c>
      <c r="H417">
        <f>(ORDERS[[#This Row],[UnitsOrdered]]*ORDERS[[#This Row],[unit price]])-(ORDERS[[#This Row],[UnitsOrdered]]*ORDERS[[#This Row],[unit price]]*ORDERS[[#This Row],[Discount]])</f>
        <v>996.29999889299995</v>
      </c>
      <c r="I417" t="str">
        <f>VLOOKUP(ORDERS[[#This Row],[CustomerID]],customers[],2,FALSE)</f>
        <v>Threads</v>
      </c>
      <c r="J417" s="2" t="str">
        <f>VLOOKUP(ORDERS[[#This Row],[CustomerID]],customers[],4,FALSE)</f>
        <v>Seattle</v>
      </c>
      <c r="K417" s="2" t="str">
        <f>VLOOKUP(ORDERS[[#This Row],[ProductID]],Products[],3,FALSE)</f>
        <v>Female</v>
      </c>
      <c r="L417" s="2">
        <f>DAY(ORDERS[[#This Row],[OrderDate]])</f>
        <v>21</v>
      </c>
      <c r="M417" s="2">
        <f>YEAR(ORDERS[[#This Row],[OrderDate]])</f>
        <v>2012</v>
      </c>
    </row>
    <row r="418" spans="1:13" x14ac:dyDescent="0.3">
      <c r="A418">
        <v>417</v>
      </c>
      <c r="B418">
        <v>4</v>
      </c>
      <c r="C418">
        <v>2</v>
      </c>
      <c r="D418" s="1">
        <v>41234</v>
      </c>
      <c r="E418">
        <v>68</v>
      </c>
      <c r="F418">
        <f>VLOOKUP(ORDERS[[#This Row],[ProductID]],Products[],4,FALSE)</f>
        <v>30</v>
      </c>
      <c r="G418">
        <v>0</v>
      </c>
      <c r="H418">
        <f>(ORDERS[[#This Row],[UnitsOrdered]]*ORDERS[[#This Row],[unit price]])-(ORDERS[[#This Row],[UnitsOrdered]]*ORDERS[[#This Row],[unit price]]*ORDERS[[#This Row],[Discount]])</f>
        <v>2040</v>
      </c>
      <c r="I418" t="str">
        <f>VLOOKUP(ORDERS[[#This Row],[CustomerID]],customers[],2,FALSE)</f>
        <v>Tshirt Unlimited</v>
      </c>
      <c r="J418" s="2" t="str">
        <f>VLOOKUP(ORDERS[[#This Row],[CustomerID]],customers[],4,FALSE)</f>
        <v>Phoenix</v>
      </c>
      <c r="K418" s="2" t="str">
        <f>VLOOKUP(ORDERS[[#This Row],[ProductID]],Products[],3,FALSE)</f>
        <v>Both</v>
      </c>
      <c r="L418" s="2">
        <f>DAY(ORDERS[[#This Row],[OrderDate]])</f>
        <v>21</v>
      </c>
      <c r="M418" s="2">
        <f>YEAR(ORDERS[[#This Row],[OrderDate]])</f>
        <v>2012</v>
      </c>
    </row>
    <row r="419" spans="1:13" x14ac:dyDescent="0.3">
      <c r="A419">
        <v>418</v>
      </c>
      <c r="B419">
        <v>5</v>
      </c>
      <c r="C419">
        <v>3</v>
      </c>
      <c r="D419" s="1">
        <v>41234</v>
      </c>
      <c r="E419">
        <v>110</v>
      </c>
      <c r="F419">
        <f>VLOOKUP(ORDERS[[#This Row],[ProductID]],Products[],4,FALSE)</f>
        <v>22</v>
      </c>
      <c r="G419">
        <v>0</v>
      </c>
      <c r="H419">
        <f>(ORDERS[[#This Row],[UnitsOrdered]]*ORDERS[[#This Row],[unit price]])-(ORDERS[[#This Row],[UnitsOrdered]]*ORDERS[[#This Row],[unit price]]*ORDERS[[#This Row],[Discount]])</f>
        <v>2420</v>
      </c>
      <c r="I419" t="str">
        <f>VLOOKUP(ORDERS[[#This Row],[CustomerID]],customers[],2,FALSE)</f>
        <v>Rags to Riches</v>
      </c>
      <c r="J419" s="2" t="str">
        <f>VLOOKUP(ORDERS[[#This Row],[CustomerID]],customers[],4,FALSE)</f>
        <v>Las Vegas</v>
      </c>
      <c r="K419" s="2" t="str">
        <f>VLOOKUP(ORDERS[[#This Row],[ProductID]],Products[],3,FALSE)</f>
        <v>Both</v>
      </c>
      <c r="L419" s="2">
        <f>DAY(ORDERS[[#This Row],[OrderDate]])</f>
        <v>21</v>
      </c>
      <c r="M419" s="2">
        <f>YEAR(ORDERS[[#This Row],[OrderDate]])</f>
        <v>2012</v>
      </c>
    </row>
    <row r="420" spans="1:13" x14ac:dyDescent="0.3">
      <c r="A420">
        <v>419</v>
      </c>
      <c r="B420">
        <v>5</v>
      </c>
      <c r="C420">
        <v>8</v>
      </c>
      <c r="D420" s="1">
        <v>41234</v>
      </c>
      <c r="E420">
        <v>93</v>
      </c>
      <c r="F420">
        <f>VLOOKUP(ORDERS[[#This Row],[ProductID]],Products[],4,FALSE)</f>
        <v>27</v>
      </c>
      <c r="G420">
        <v>0</v>
      </c>
      <c r="H420">
        <f>(ORDERS[[#This Row],[UnitsOrdered]]*ORDERS[[#This Row],[unit price]])-(ORDERS[[#This Row],[UnitsOrdered]]*ORDERS[[#This Row],[unit price]]*ORDERS[[#This Row],[Discount]])</f>
        <v>2511</v>
      </c>
      <c r="I420" t="str">
        <f>VLOOKUP(ORDERS[[#This Row],[CustomerID]],customers[],2,FALSE)</f>
        <v>Rags to Riches</v>
      </c>
      <c r="J420" s="2" t="str">
        <f>VLOOKUP(ORDERS[[#This Row],[CustomerID]],customers[],4,FALSE)</f>
        <v>Las Vegas</v>
      </c>
      <c r="K420" s="2" t="str">
        <f>VLOOKUP(ORDERS[[#This Row],[ProductID]],Products[],3,FALSE)</f>
        <v>Female</v>
      </c>
      <c r="L420" s="2">
        <f>DAY(ORDERS[[#This Row],[OrderDate]])</f>
        <v>21</v>
      </c>
      <c r="M420" s="2">
        <f>YEAR(ORDERS[[#This Row],[OrderDate]])</f>
        <v>2012</v>
      </c>
    </row>
    <row r="421" spans="1:13" x14ac:dyDescent="0.3">
      <c r="A421">
        <v>420</v>
      </c>
      <c r="B421">
        <v>2</v>
      </c>
      <c r="C421">
        <v>3</v>
      </c>
      <c r="D421" s="1">
        <v>41235</v>
      </c>
      <c r="E421">
        <v>45</v>
      </c>
      <c r="F421">
        <f>VLOOKUP(ORDERS[[#This Row],[ProductID]],Products[],4,FALSE)</f>
        <v>22</v>
      </c>
      <c r="G421">
        <v>0</v>
      </c>
      <c r="H421">
        <f>(ORDERS[[#This Row],[UnitsOrdered]]*ORDERS[[#This Row],[unit price]])-(ORDERS[[#This Row],[UnitsOrdered]]*ORDERS[[#This Row],[unit price]]*ORDERS[[#This Row],[Discount]])</f>
        <v>990</v>
      </c>
      <c r="I421" t="str">
        <f>VLOOKUP(ORDERS[[#This Row],[CustomerID]],customers[],2,FALSE)</f>
        <v>A Shirts Life</v>
      </c>
      <c r="J421" s="2" t="str">
        <f>VLOOKUP(ORDERS[[#This Row],[CustomerID]],customers[],4,FALSE)</f>
        <v>Portland</v>
      </c>
      <c r="K421" s="2" t="str">
        <f>VLOOKUP(ORDERS[[#This Row],[ProductID]],Products[],3,FALSE)</f>
        <v>Both</v>
      </c>
      <c r="L421" s="2">
        <f>DAY(ORDERS[[#This Row],[OrderDate]])</f>
        <v>22</v>
      </c>
      <c r="M421" s="2">
        <f>YEAR(ORDERS[[#This Row],[OrderDate]])</f>
        <v>2012</v>
      </c>
    </row>
    <row r="422" spans="1:13" x14ac:dyDescent="0.3">
      <c r="A422">
        <v>421</v>
      </c>
      <c r="B422">
        <v>2</v>
      </c>
      <c r="C422">
        <v>5</v>
      </c>
      <c r="D422" s="1">
        <v>41235</v>
      </c>
      <c r="E422">
        <v>43</v>
      </c>
      <c r="F422">
        <f>VLOOKUP(ORDERS[[#This Row],[ProductID]],Products[],4,FALSE)</f>
        <v>16</v>
      </c>
      <c r="G422">
        <v>0</v>
      </c>
      <c r="H422">
        <f>(ORDERS[[#This Row],[UnitsOrdered]]*ORDERS[[#This Row],[unit price]])-(ORDERS[[#This Row],[UnitsOrdered]]*ORDERS[[#This Row],[unit price]]*ORDERS[[#This Row],[Discount]])</f>
        <v>688</v>
      </c>
      <c r="I422" t="str">
        <f>VLOOKUP(ORDERS[[#This Row],[CustomerID]],customers[],2,FALSE)</f>
        <v>A Shirts Life</v>
      </c>
      <c r="J422" s="2" t="str">
        <f>VLOOKUP(ORDERS[[#This Row],[CustomerID]],customers[],4,FALSE)</f>
        <v>Portland</v>
      </c>
      <c r="K422" s="2" t="str">
        <f>VLOOKUP(ORDERS[[#This Row],[ProductID]],Products[],3,FALSE)</f>
        <v>Female</v>
      </c>
      <c r="L422" s="2">
        <f>DAY(ORDERS[[#This Row],[OrderDate]])</f>
        <v>22</v>
      </c>
      <c r="M422" s="2">
        <f>YEAR(ORDERS[[#This Row],[OrderDate]])</f>
        <v>2012</v>
      </c>
    </row>
    <row r="423" spans="1:13" x14ac:dyDescent="0.3">
      <c r="A423">
        <v>422</v>
      </c>
      <c r="B423">
        <v>1</v>
      </c>
      <c r="C423">
        <v>2</v>
      </c>
      <c r="D423" s="1">
        <v>41236</v>
      </c>
      <c r="E423">
        <v>129</v>
      </c>
      <c r="F423">
        <f>VLOOKUP(ORDERS[[#This Row],[ProductID]],Products[],4,FALSE)</f>
        <v>30</v>
      </c>
      <c r="G423">
        <v>0</v>
      </c>
      <c r="H423">
        <f>(ORDERS[[#This Row],[UnitsOrdered]]*ORDERS[[#This Row],[unit price]])-(ORDERS[[#This Row],[UnitsOrdered]]*ORDERS[[#This Row],[unit price]]*ORDERS[[#This Row],[Discount]])</f>
        <v>3870</v>
      </c>
      <c r="I423" t="str">
        <f>VLOOKUP(ORDERS[[#This Row],[CustomerID]],customers[],2,FALSE)</f>
        <v>Threads</v>
      </c>
      <c r="J423" s="2" t="str">
        <f>VLOOKUP(ORDERS[[#This Row],[CustomerID]],customers[],4,FALSE)</f>
        <v>Seattle</v>
      </c>
      <c r="K423" s="2" t="str">
        <f>VLOOKUP(ORDERS[[#This Row],[ProductID]],Products[],3,FALSE)</f>
        <v>Both</v>
      </c>
      <c r="L423" s="2">
        <f>DAY(ORDERS[[#This Row],[OrderDate]])</f>
        <v>23</v>
      </c>
      <c r="M423" s="2">
        <f>YEAR(ORDERS[[#This Row],[OrderDate]])</f>
        <v>2012</v>
      </c>
    </row>
    <row r="424" spans="1:13" x14ac:dyDescent="0.3">
      <c r="A424">
        <v>423</v>
      </c>
      <c r="B424">
        <v>1</v>
      </c>
      <c r="C424">
        <v>10</v>
      </c>
      <c r="D424" s="1">
        <v>41236</v>
      </c>
      <c r="E424">
        <v>100</v>
      </c>
      <c r="F424">
        <f>VLOOKUP(ORDERS[[#This Row],[ProductID]],Products[],4,FALSE)</f>
        <v>35</v>
      </c>
      <c r="G424">
        <v>0</v>
      </c>
      <c r="H424">
        <f>(ORDERS[[#This Row],[UnitsOrdered]]*ORDERS[[#This Row],[unit price]])-(ORDERS[[#This Row],[UnitsOrdered]]*ORDERS[[#This Row],[unit price]]*ORDERS[[#This Row],[Discount]])</f>
        <v>3500</v>
      </c>
      <c r="I424" t="str">
        <f>VLOOKUP(ORDERS[[#This Row],[CustomerID]],customers[],2,FALSE)</f>
        <v>Threads</v>
      </c>
      <c r="J424" s="2" t="str">
        <f>VLOOKUP(ORDERS[[#This Row],[CustomerID]],customers[],4,FALSE)</f>
        <v>Seattle</v>
      </c>
      <c r="K424" s="2" t="str">
        <f>VLOOKUP(ORDERS[[#This Row],[ProductID]],Products[],3,FALSE)</f>
        <v>Male</v>
      </c>
      <c r="L424" s="2">
        <f>DAY(ORDERS[[#This Row],[OrderDate]])</f>
        <v>23</v>
      </c>
      <c r="M424" s="2">
        <f>YEAR(ORDERS[[#This Row],[OrderDate]])</f>
        <v>2012</v>
      </c>
    </row>
    <row r="425" spans="1:13" x14ac:dyDescent="0.3">
      <c r="A425">
        <v>424</v>
      </c>
      <c r="B425">
        <v>7</v>
      </c>
      <c r="C425">
        <v>3</v>
      </c>
      <c r="D425" s="1">
        <v>41236</v>
      </c>
      <c r="E425">
        <v>43</v>
      </c>
      <c r="F425">
        <f>VLOOKUP(ORDERS[[#This Row],[ProductID]],Products[],4,FALSE)</f>
        <v>22</v>
      </c>
      <c r="G425">
        <v>0</v>
      </c>
      <c r="H425">
        <f>(ORDERS[[#This Row],[UnitsOrdered]]*ORDERS[[#This Row],[unit price]])-(ORDERS[[#This Row],[UnitsOrdered]]*ORDERS[[#This Row],[unit price]]*ORDERS[[#This Row],[Discount]])</f>
        <v>946</v>
      </c>
      <c r="I425" t="str">
        <f>VLOOKUP(ORDERS[[#This Row],[CustomerID]],customers[],2,FALSE)</f>
        <v>The Shirt on Your Back</v>
      </c>
      <c r="J425" s="2" t="str">
        <f>VLOOKUP(ORDERS[[#This Row],[CustomerID]],customers[],4,FALSE)</f>
        <v>Bonners Ferry</v>
      </c>
      <c r="K425" s="2" t="str">
        <f>VLOOKUP(ORDERS[[#This Row],[ProductID]],Products[],3,FALSE)</f>
        <v>Both</v>
      </c>
      <c r="L425" s="2">
        <f>DAY(ORDERS[[#This Row],[OrderDate]])</f>
        <v>23</v>
      </c>
      <c r="M425" s="2">
        <f>YEAR(ORDERS[[#This Row],[OrderDate]])</f>
        <v>2012</v>
      </c>
    </row>
    <row r="426" spans="1:13" x14ac:dyDescent="0.3">
      <c r="A426">
        <v>425</v>
      </c>
      <c r="B426">
        <v>1</v>
      </c>
      <c r="C426">
        <v>6</v>
      </c>
      <c r="D426" s="1">
        <v>41237</v>
      </c>
      <c r="E426">
        <v>114</v>
      </c>
      <c r="F426">
        <f>VLOOKUP(ORDERS[[#This Row],[ProductID]],Products[],4,FALSE)</f>
        <v>28</v>
      </c>
      <c r="G426">
        <v>5.0000001000000002E-2</v>
      </c>
      <c r="H426">
        <f>(ORDERS[[#This Row],[UnitsOrdered]]*ORDERS[[#This Row],[unit price]])-(ORDERS[[#This Row],[UnitsOrdered]]*ORDERS[[#This Row],[unit price]]*ORDERS[[#This Row],[Discount]])</f>
        <v>3032.3999968080002</v>
      </c>
      <c r="I426" t="str">
        <f>VLOOKUP(ORDERS[[#This Row],[CustomerID]],customers[],2,FALSE)</f>
        <v>Threads</v>
      </c>
      <c r="J426" s="2" t="str">
        <f>VLOOKUP(ORDERS[[#This Row],[CustomerID]],customers[],4,FALSE)</f>
        <v>Seattle</v>
      </c>
      <c r="K426" s="2" t="str">
        <f>VLOOKUP(ORDERS[[#This Row],[ProductID]],Products[],3,FALSE)</f>
        <v>Female</v>
      </c>
      <c r="L426" s="2">
        <f>DAY(ORDERS[[#This Row],[OrderDate]])</f>
        <v>24</v>
      </c>
      <c r="M426" s="2">
        <f>YEAR(ORDERS[[#This Row],[OrderDate]])</f>
        <v>2012</v>
      </c>
    </row>
    <row r="427" spans="1:13" x14ac:dyDescent="0.3">
      <c r="A427">
        <v>426</v>
      </c>
      <c r="B427">
        <v>3</v>
      </c>
      <c r="C427">
        <v>3</v>
      </c>
      <c r="D427" s="1">
        <v>41237</v>
      </c>
      <c r="E427">
        <v>98</v>
      </c>
      <c r="F427">
        <f>VLOOKUP(ORDERS[[#This Row],[ProductID]],Products[],4,FALSE)</f>
        <v>22</v>
      </c>
      <c r="G427">
        <v>0</v>
      </c>
      <c r="H427">
        <f>(ORDERS[[#This Row],[UnitsOrdered]]*ORDERS[[#This Row],[unit price]])-(ORDERS[[#This Row],[UnitsOrdered]]*ORDERS[[#This Row],[unit price]]*ORDERS[[#This Row],[Discount]])</f>
        <v>2156</v>
      </c>
      <c r="I427" t="str">
        <f>VLOOKUP(ORDERS[[#This Row],[CustomerID]],customers[],2,FALSE)</f>
        <v>Shirts R Us</v>
      </c>
      <c r="J427" s="2" t="str">
        <f>VLOOKUP(ORDERS[[#This Row],[CustomerID]],customers[],4,FALSE)</f>
        <v>Los Angeles</v>
      </c>
      <c r="K427" s="2" t="str">
        <f>VLOOKUP(ORDERS[[#This Row],[ProductID]],Products[],3,FALSE)</f>
        <v>Both</v>
      </c>
      <c r="L427" s="2">
        <f>DAY(ORDERS[[#This Row],[OrderDate]])</f>
        <v>24</v>
      </c>
      <c r="M427" s="2">
        <f>YEAR(ORDERS[[#This Row],[OrderDate]])</f>
        <v>2012</v>
      </c>
    </row>
    <row r="428" spans="1:13" x14ac:dyDescent="0.3">
      <c r="A428">
        <v>427</v>
      </c>
      <c r="B428">
        <v>6</v>
      </c>
      <c r="C428">
        <v>3</v>
      </c>
      <c r="D428" s="1">
        <v>41237</v>
      </c>
      <c r="E428">
        <v>115</v>
      </c>
      <c r="F428">
        <f>VLOOKUP(ORDERS[[#This Row],[ProductID]],Products[],4,FALSE)</f>
        <v>22</v>
      </c>
      <c r="G428">
        <v>0</v>
      </c>
      <c r="H428">
        <f>(ORDERS[[#This Row],[UnitsOrdered]]*ORDERS[[#This Row],[unit price]])-(ORDERS[[#This Row],[UnitsOrdered]]*ORDERS[[#This Row],[unit price]]*ORDERS[[#This Row],[Discount]])</f>
        <v>2530</v>
      </c>
      <c r="I428" t="str">
        <f>VLOOKUP(ORDERS[[#This Row],[CustomerID]],customers[],2,FALSE)</f>
        <v>Abracadaba Ink</v>
      </c>
      <c r="J428" s="2" t="str">
        <f>VLOOKUP(ORDERS[[#This Row],[CustomerID]],customers[],4,FALSE)</f>
        <v>Salt Lake City</v>
      </c>
      <c r="K428" s="2" t="str">
        <f>VLOOKUP(ORDERS[[#This Row],[ProductID]],Products[],3,FALSE)</f>
        <v>Both</v>
      </c>
      <c r="L428" s="2">
        <f>DAY(ORDERS[[#This Row],[OrderDate]])</f>
        <v>24</v>
      </c>
      <c r="M428" s="2">
        <f>YEAR(ORDERS[[#This Row],[OrderDate]])</f>
        <v>2012</v>
      </c>
    </row>
    <row r="429" spans="1:13" x14ac:dyDescent="0.3">
      <c r="A429">
        <v>428</v>
      </c>
      <c r="B429">
        <v>6</v>
      </c>
      <c r="C429">
        <v>9</v>
      </c>
      <c r="D429" s="1">
        <v>41237</v>
      </c>
      <c r="E429">
        <v>127</v>
      </c>
      <c r="F429">
        <f>VLOOKUP(ORDERS[[#This Row],[ProductID]],Products[],4,FALSE)</f>
        <v>25</v>
      </c>
      <c r="G429">
        <v>0</v>
      </c>
      <c r="H429">
        <f>(ORDERS[[#This Row],[UnitsOrdered]]*ORDERS[[#This Row],[unit price]])-(ORDERS[[#This Row],[UnitsOrdered]]*ORDERS[[#This Row],[unit price]]*ORDERS[[#This Row],[Discount]])</f>
        <v>3175</v>
      </c>
      <c r="I429" t="str">
        <f>VLOOKUP(ORDERS[[#This Row],[CustomerID]],customers[],2,FALSE)</f>
        <v>Abracadaba Ink</v>
      </c>
      <c r="J429" s="2" t="str">
        <f>VLOOKUP(ORDERS[[#This Row],[CustomerID]],customers[],4,FALSE)</f>
        <v>Salt Lake City</v>
      </c>
      <c r="K429" s="2" t="str">
        <f>VLOOKUP(ORDERS[[#This Row],[ProductID]],Products[],3,FALSE)</f>
        <v>Male</v>
      </c>
      <c r="L429" s="2">
        <f>DAY(ORDERS[[#This Row],[OrderDate]])</f>
        <v>24</v>
      </c>
      <c r="M429" s="2">
        <f>YEAR(ORDERS[[#This Row],[OrderDate]])</f>
        <v>2012</v>
      </c>
    </row>
    <row r="430" spans="1:13" x14ac:dyDescent="0.3">
      <c r="A430">
        <v>429</v>
      </c>
      <c r="B430">
        <v>1</v>
      </c>
      <c r="C430">
        <v>8</v>
      </c>
      <c r="D430" s="1">
        <v>41238</v>
      </c>
      <c r="E430">
        <v>56</v>
      </c>
      <c r="F430">
        <f>VLOOKUP(ORDERS[[#This Row],[ProductID]],Products[],4,FALSE)</f>
        <v>27</v>
      </c>
      <c r="G430">
        <v>0</v>
      </c>
      <c r="H430">
        <f>(ORDERS[[#This Row],[UnitsOrdered]]*ORDERS[[#This Row],[unit price]])-(ORDERS[[#This Row],[UnitsOrdered]]*ORDERS[[#This Row],[unit price]]*ORDERS[[#This Row],[Discount]])</f>
        <v>1512</v>
      </c>
      <c r="I430" t="str">
        <f>VLOOKUP(ORDERS[[#This Row],[CustomerID]],customers[],2,FALSE)</f>
        <v>Threads</v>
      </c>
      <c r="J430" s="2" t="str">
        <f>VLOOKUP(ORDERS[[#This Row],[CustomerID]],customers[],4,FALSE)</f>
        <v>Seattle</v>
      </c>
      <c r="K430" s="2" t="str">
        <f>VLOOKUP(ORDERS[[#This Row],[ProductID]],Products[],3,FALSE)</f>
        <v>Female</v>
      </c>
      <c r="L430" s="2">
        <f>DAY(ORDERS[[#This Row],[OrderDate]])</f>
        <v>25</v>
      </c>
      <c r="M430" s="2">
        <f>YEAR(ORDERS[[#This Row],[OrderDate]])</f>
        <v>2012</v>
      </c>
    </row>
    <row r="431" spans="1:13" x14ac:dyDescent="0.3">
      <c r="A431">
        <v>430</v>
      </c>
      <c r="B431">
        <v>5</v>
      </c>
      <c r="C431">
        <v>7</v>
      </c>
      <c r="D431" s="1">
        <v>41238</v>
      </c>
      <c r="E431">
        <v>85</v>
      </c>
      <c r="F431">
        <f>VLOOKUP(ORDERS[[#This Row],[ProductID]],Products[],4,FALSE)</f>
        <v>38</v>
      </c>
      <c r="G431">
        <v>0.15000000599999999</v>
      </c>
      <c r="H431">
        <f>(ORDERS[[#This Row],[UnitsOrdered]]*ORDERS[[#This Row],[unit price]])-(ORDERS[[#This Row],[UnitsOrdered]]*ORDERS[[#This Row],[unit price]]*ORDERS[[#This Row],[Discount]])</f>
        <v>2745.4999806199999</v>
      </c>
      <c r="I431" t="str">
        <f>VLOOKUP(ORDERS[[#This Row],[CustomerID]],customers[],2,FALSE)</f>
        <v>Rags to Riches</v>
      </c>
      <c r="J431" s="2" t="str">
        <f>VLOOKUP(ORDERS[[#This Row],[CustomerID]],customers[],4,FALSE)</f>
        <v>Las Vegas</v>
      </c>
      <c r="K431" s="2" t="str">
        <f>VLOOKUP(ORDERS[[#This Row],[ProductID]],Products[],3,FALSE)</f>
        <v>Female</v>
      </c>
      <c r="L431" s="2">
        <f>DAY(ORDERS[[#This Row],[OrderDate]])</f>
        <v>25</v>
      </c>
      <c r="M431" s="2">
        <f>YEAR(ORDERS[[#This Row],[OrderDate]])</f>
        <v>2012</v>
      </c>
    </row>
    <row r="432" spans="1:13" x14ac:dyDescent="0.3">
      <c r="A432">
        <v>431</v>
      </c>
      <c r="B432">
        <v>1</v>
      </c>
      <c r="C432">
        <v>4</v>
      </c>
      <c r="D432" s="1">
        <v>41239</v>
      </c>
      <c r="E432">
        <v>45</v>
      </c>
      <c r="F432">
        <f>VLOOKUP(ORDERS[[#This Row],[ProductID]],Products[],4,FALSE)</f>
        <v>30</v>
      </c>
      <c r="G432">
        <v>0</v>
      </c>
      <c r="H432">
        <f>(ORDERS[[#This Row],[UnitsOrdered]]*ORDERS[[#This Row],[unit price]])-(ORDERS[[#This Row],[UnitsOrdered]]*ORDERS[[#This Row],[unit price]]*ORDERS[[#This Row],[Discount]])</f>
        <v>1350</v>
      </c>
      <c r="I432" t="str">
        <f>VLOOKUP(ORDERS[[#This Row],[CustomerID]],customers[],2,FALSE)</f>
        <v>Threads</v>
      </c>
      <c r="J432" s="2" t="str">
        <f>VLOOKUP(ORDERS[[#This Row],[CustomerID]],customers[],4,FALSE)</f>
        <v>Seattle</v>
      </c>
      <c r="K432" s="2" t="str">
        <f>VLOOKUP(ORDERS[[#This Row],[ProductID]],Products[],3,FALSE)</f>
        <v>Both</v>
      </c>
      <c r="L432" s="2">
        <f>DAY(ORDERS[[#This Row],[OrderDate]])</f>
        <v>26</v>
      </c>
      <c r="M432" s="2">
        <f>YEAR(ORDERS[[#This Row],[OrderDate]])</f>
        <v>2012</v>
      </c>
    </row>
    <row r="433" spans="1:13" x14ac:dyDescent="0.3">
      <c r="A433">
        <v>432</v>
      </c>
      <c r="B433">
        <v>4</v>
      </c>
      <c r="C433">
        <v>8</v>
      </c>
      <c r="D433" s="1">
        <v>41239</v>
      </c>
      <c r="E433">
        <v>85</v>
      </c>
      <c r="F433">
        <f>VLOOKUP(ORDERS[[#This Row],[ProductID]],Products[],4,FALSE)</f>
        <v>27</v>
      </c>
      <c r="G433">
        <v>0</v>
      </c>
      <c r="H433">
        <f>(ORDERS[[#This Row],[UnitsOrdered]]*ORDERS[[#This Row],[unit price]])-(ORDERS[[#This Row],[UnitsOrdered]]*ORDERS[[#This Row],[unit price]]*ORDERS[[#This Row],[Discount]])</f>
        <v>2295</v>
      </c>
      <c r="I433" t="str">
        <f>VLOOKUP(ORDERS[[#This Row],[CustomerID]],customers[],2,FALSE)</f>
        <v>Tshirt Unlimited</v>
      </c>
      <c r="J433" s="2" t="str">
        <f>VLOOKUP(ORDERS[[#This Row],[CustomerID]],customers[],4,FALSE)</f>
        <v>Phoenix</v>
      </c>
      <c r="K433" s="2" t="str">
        <f>VLOOKUP(ORDERS[[#This Row],[ProductID]],Products[],3,FALSE)</f>
        <v>Female</v>
      </c>
      <c r="L433" s="2">
        <f>DAY(ORDERS[[#This Row],[OrderDate]])</f>
        <v>26</v>
      </c>
      <c r="M433" s="2">
        <f>YEAR(ORDERS[[#This Row],[OrderDate]])</f>
        <v>2012</v>
      </c>
    </row>
    <row r="434" spans="1:13" x14ac:dyDescent="0.3">
      <c r="A434">
        <v>433</v>
      </c>
      <c r="B434">
        <v>6</v>
      </c>
      <c r="C434">
        <v>10</v>
      </c>
      <c r="D434" s="1">
        <v>41239</v>
      </c>
      <c r="E434">
        <v>106</v>
      </c>
      <c r="F434">
        <f>VLOOKUP(ORDERS[[#This Row],[ProductID]],Products[],4,FALSE)</f>
        <v>35</v>
      </c>
      <c r="G434">
        <v>0.10000000100000001</v>
      </c>
      <c r="H434">
        <f>(ORDERS[[#This Row],[UnitsOrdered]]*ORDERS[[#This Row],[unit price]])-(ORDERS[[#This Row],[UnitsOrdered]]*ORDERS[[#This Row],[unit price]]*ORDERS[[#This Row],[Discount]])</f>
        <v>3338.9999962900001</v>
      </c>
      <c r="I434" t="str">
        <f>VLOOKUP(ORDERS[[#This Row],[CustomerID]],customers[],2,FALSE)</f>
        <v>Abracadaba Ink</v>
      </c>
      <c r="J434" s="2" t="str">
        <f>VLOOKUP(ORDERS[[#This Row],[CustomerID]],customers[],4,FALSE)</f>
        <v>Salt Lake City</v>
      </c>
      <c r="K434" s="2" t="str">
        <f>VLOOKUP(ORDERS[[#This Row],[ProductID]],Products[],3,FALSE)</f>
        <v>Male</v>
      </c>
      <c r="L434" s="2">
        <f>DAY(ORDERS[[#This Row],[OrderDate]])</f>
        <v>26</v>
      </c>
      <c r="M434" s="2">
        <f>YEAR(ORDERS[[#This Row],[OrderDate]])</f>
        <v>2012</v>
      </c>
    </row>
    <row r="435" spans="1:13" x14ac:dyDescent="0.3">
      <c r="A435">
        <v>434</v>
      </c>
      <c r="B435">
        <v>1</v>
      </c>
      <c r="C435">
        <v>10</v>
      </c>
      <c r="D435" s="1">
        <v>41241</v>
      </c>
      <c r="E435">
        <v>126</v>
      </c>
      <c r="F435">
        <f>VLOOKUP(ORDERS[[#This Row],[ProductID]],Products[],4,FALSE)</f>
        <v>35</v>
      </c>
      <c r="G435">
        <v>0</v>
      </c>
      <c r="H435">
        <f>(ORDERS[[#This Row],[UnitsOrdered]]*ORDERS[[#This Row],[unit price]])-(ORDERS[[#This Row],[UnitsOrdered]]*ORDERS[[#This Row],[unit price]]*ORDERS[[#This Row],[Discount]])</f>
        <v>4410</v>
      </c>
      <c r="I435" t="str">
        <f>VLOOKUP(ORDERS[[#This Row],[CustomerID]],customers[],2,FALSE)</f>
        <v>Threads</v>
      </c>
      <c r="J435" s="2" t="str">
        <f>VLOOKUP(ORDERS[[#This Row],[CustomerID]],customers[],4,FALSE)</f>
        <v>Seattle</v>
      </c>
      <c r="K435" s="2" t="str">
        <f>VLOOKUP(ORDERS[[#This Row],[ProductID]],Products[],3,FALSE)</f>
        <v>Male</v>
      </c>
      <c r="L435" s="2">
        <f>DAY(ORDERS[[#This Row],[OrderDate]])</f>
        <v>28</v>
      </c>
      <c r="M435" s="2">
        <f>YEAR(ORDERS[[#This Row],[OrderDate]])</f>
        <v>2012</v>
      </c>
    </row>
    <row r="436" spans="1:13" x14ac:dyDescent="0.3">
      <c r="A436">
        <v>435</v>
      </c>
      <c r="B436">
        <v>4</v>
      </c>
      <c r="C436">
        <v>9</v>
      </c>
      <c r="D436" s="1">
        <v>41241</v>
      </c>
      <c r="E436">
        <v>123</v>
      </c>
      <c r="F436">
        <f>VLOOKUP(ORDERS[[#This Row],[ProductID]],Products[],4,FALSE)</f>
        <v>25</v>
      </c>
      <c r="G436">
        <v>0</v>
      </c>
      <c r="H436">
        <f>(ORDERS[[#This Row],[UnitsOrdered]]*ORDERS[[#This Row],[unit price]])-(ORDERS[[#This Row],[UnitsOrdered]]*ORDERS[[#This Row],[unit price]]*ORDERS[[#This Row],[Discount]])</f>
        <v>3075</v>
      </c>
      <c r="I436" t="str">
        <f>VLOOKUP(ORDERS[[#This Row],[CustomerID]],customers[],2,FALSE)</f>
        <v>Tshirt Unlimited</v>
      </c>
      <c r="J436" s="2" t="str">
        <f>VLOOKUP(ORDERS[[#This Row],[CustomerID]],customers[],4,FALSE)</f>
        <v>Phoenix</v>
      </c>
      <c r="K436" s="2" t="str">
        <f>VLOOKUP(ORDERS[[#This Row],[ProductID]],Products[],3,FALSE)</f>
        <v>Male</v>
      </c>
      <c r="L436" s="2">
        <f>DAY(ORDERS[[#This Row],[OrderDate]])</f>
        <v>28</v>
      </c>
      <c r="M436" s="2">
        <f>YEAR(ORDERS[[#This Row],[OrderDate]])</f>
        <v>2012</v>
      </c>
    </row>
    <row r="437" spans="1:13" x14ac:dyDescent="0.3">
      <c r="A437">
        <v>436</v>
      </c>
      <c r="B437">
        <v>6</v>
      </c>
      <c r="C437">
        <v>3</v>
      </c>
      <c r="D437" s="1">
        <v>41241</v>
      </c>
      <c r="E437">
        <v>127</v>
      </c>
      <c r="F437">
        <f>VLOOKUP(ORDERS[[#This Row],[ProductID]],Products[],4,FALSE)</f>
        <v>22</v>
      </c>
      <c r="G437">
        <v>0</v>
      </c>
      <c r="H437">
        <f>(ORDERS[[#This Row],[UnitsOrdered]]*ORDERS[[#This Row],[unit price]])-(ORDERS[[#This Row],[UnitsOrdered]]*ORDERS[[#This Row],[unit price]]*ORDERS[[#This Row],[Discount]])</f>
        <v>2794</v>
      </c>
      <c r="I437" t="str">
        <f>VLOOKUP(ORDERS[[#This Row],[CustomerID]],customers[],2,FALSE)</f>
        <v>Abracadaba Ink</v>
      </c>
      <c r="J437" s="2" t="str">
        <f>VLOOKUP(ORDERS[[#This Row],[CustomerID]],customers[],4,FALSE)</f>
        <v>Salt Lake City</v>
      </c>
      <c r="K437" s="2" t="str">
        <f>VLOOKUP(ORDERS[[#This Row],[ProductID]],Products[],3,FALSE)</f>
        <v>Both</v>
      </c>
      <c r="L437" s="2">
        <f>DAY(ORDERS[[#This Row],[OrderDate]])</f>
        <v>28</v>
      </c>
      <c r="M437" s="2">
        <f>YEAR(ORDERS[[#This Row],[OrderDate]])</f>
        <v>2012</v>
      </c>
    </row>
    <row r="438" spans="1:13" x14ac:dyDescent="0.3">
      <c r="A438">
        <v>437</v>
      </c>
      <c r="B438">
        <v>1</v>
      </c>
      <c r="C438">
        <v>4</v>
      </c>
      <c r="D438" s="1">
        <v>41242</v>
      </c>
      <c r="E438">
        <v>108</v>
      </c>
      <c r="F438">
        <f>VLOOKUP(ORDERS[[#This Row],[ProductID]],Products[],4,FALSE)</f>
        <v>30</v>
      </c>
      <c r="G438">
        <v>0</v>
      </c>
      <c r="H438">
        <f>(ORDERS[[#This Row],[UnitsOrdered]]*ORDERS[[#This Row],[unit price]])-(ORDERS[[#This Row],[UnitsOrdered]]*ORDERS[[#This Row],[unit price]]*ORDERS[[#This Row],[Discount]])</f>
        <v>3240</v>
      </c>
      <c r="I438" t="str">
        <f>VLOOKUP(ORDERS[[#This Row],[CustomerID]],customers[],2,FALSE)</f>
        <v>Threads</v>
      </c>
      <c r="J438" s="2" t="str">
        <f>VLOOKUP(ORDERS[[#This Row],[CustomerID]],customers[],4,FALSE)</f>
        <v>Seattle</v>
      </c>
      <c r="K438" s="2" t="str">
        <f>VLOOKUP(ORDERS[[#This Row],[ProductID]],Products[],3,FALSE)</f>
        <v>Both</v>
      </c>
      <c r="L438" s="2">
        <f>DAY(ORDERS[[#This Row],[OrderDate]])</f>
        <v>29</v>
      </c>
      <c r="M438" s="2">
        <f>YEAR(ORDERS[[#This Row],[OrderDate]])</f>
        <v>2012</v>
      </c>
    </row>
    <row r="439" spans="1:13" x14ac:dyDescent="0.3">
      <c r="A439">
        <v>438</v>
      </c>
      <c r="B439">
        <v>3</v>
      </c>
      <c r="C439">
        <v>2</v>
      </c>
      <c r="D439" s="1">
        <v>41242</v>
      </c>
      <c r="E439">
        <v>116</v>
      </c>
      <c r="F439">
        <f>VLOOKUP(ORDERS[[#This Row],[ProductID]],Products[],4,FALSE)</f>
        <v>30</v>
      </c>
      <c r="G439">
        <v>0</v>
      </c>
      <c r="H439">
        <f>(ORDERS[[#This Row],[UnitsOrdered]]*ORDERS[[#This Row],[unit price]])-(ORDERS[[#This Row],[UnitsOrdered]]*ORDERS[[#This Row],[unit price]]*ORDERS[[#This Row],[Discount]])</f>
        <v>3480</v>
      </c>
      <c r="I439" t="str">
        <f>VLOOKUP(ORDERS[[#This Row],[CustomerID]],customers[],2,FALSE)</f>
        <v>Shirts R Us</v>
      </c>
      <c r="J439" s="2" t="str">
        <f>VLOOKUP(ORDERS[[#This Row],[CustomerID]],customers[],4,FALSE)</f>
        <v>Los Angeles</v>
      </c>
      <c r="K439" s="2" t="str">
        <f>VLOOKUP(ORDERS[[#This Row],[ProductID]],Products[],3,FALSE)</f>
        <v>Both</v>
      </c>
      <c r="L439" s="2">
        <f>DAY(ORDERS[[#This Row],[OrderDate]])</f>
        <v>29</v>
      </c>
      <c r="M439" s="2">
        <f>YEAR(ORDERS[[#This Row],[OrderDate]])</f>
        <v>2012</v>
      </c>
    </row>
    <row r="440" spans="1:13" x14ac:dyDescent="0.3">
      <c r="A440">
        <v>439</v>
      </c>
      <c r="B440">
        <v>2</v>
      </c>
      <c r="C440">
        <v>10</v>
      </c>
      <c r="D440" s="1">
        <v>41245</v>
      </c>
      <c r="E440">
        <v>134</v>
      </c>
      <c r="F440">
        <f>VLOOKUP(ORDERS[[#This Row],[ProductID]],Products[],4,FALSE)</f>
        <v>35</v>
      </c>
      <c r="G440">
        <v>0.10000000100000001</v>
      </c>
      <c r="H440">
        <f>(ORDERS[[#This Row],[UnitsOrdered]]*ORDERS[[#This Row],[unit price]])-(ORDERS[[#This Row],[UnitsOrdered]]*ORDERS[[#This Row],[unit price]]*ORDERS[[#This Row],[Discount]])</f>
        <v>4220.9999953099996</v>
      </c>
      <c r="I440" t="str">
        <f>VLOOKUP(ORDERS[[#This Row],[CustomerID]],customers[],2,FALSE)</f>
        <v>A Shirts Life</v>
      </c>
      <c r="J440" s="2" t="str">
        <f>VLOOKUP(ORDERS[[#This Row],[CustomerID]],customers[],4,FALSE)</f>
        <v>Portland</v>
      </c>
      <c r="K440" s="2" t="str">
        <f>VLOOKUP(ORDERS[[#This Row],[ProductID]],Products[],3,FALSE)</f>
        <v>Male</v>
      </c>
      <c r="L440" s="2">
        <f>DAY(ORDERS[[#This Row],[OrderDate]])</f>
        <v>2</v>
      </c>
      <c r="M440" s="2">
        <f>YEAR(ORDERS[[#This Row],[OrderDate]])</f>
        <v>2012</v>
      </c>
    </row>
    <row r="441" spans="1:13" x14ac:dyDescent="0.3">
      <c r="A441">
        <v>440</v>
      </c>
      <c r="B441">
        <v>7</v>
      </c>
      <c r="C441">
        <v>5</v>
      </c>
      <c r="D441" s="1">
        <v>41246</v>
      </c>
      <c r="E441">
        <v>63</v>
      </c>
      <c r="F441">
        <f>VLOOKUP(ORDERS[[#This Row],[ProductID]],Products[],4,FALSE)</f>
        <v>16</v>
      </c>
      <c r="G441">
        <v>0.15000000599999999</v>
      </c>
      <c r="H441">
        <f>(ORDERS[[#This Row],[UnitsOrdered]]*ORDERS[[#This Row],[unit price]])-(ORDERS[[#This Row],[UnitsOrdered]]*ORDERS[[#This Row],[unit price]]*ORDERS[[#This Row],[Discount]])</f>
        <v>856.79999395200002</v>
      </c>
      <c r="I441" t="str">
        <f>VLOOKUP(ORDERS[[#This Row],[CustomerID]],customers[],2,FALSE)</f>
        <v>The Shirt on Your Back</v>
      </c>
      <c r="J441" s="2" t="str">
        <f>VLOOKUP(ORDERS[[#This Row],[CustomerID]],customers[],4,FALSE)</f>
        <v>Bonners Ferry</v>
      </c>
      <c r="K441" s="2" t="str">
        <f>VLOOKUP(ORDERS[[#This Row],[ProductID]],Products[],3,FALSE)</f>
        <v>Female</v>
      </c>
      <c r="L441" s="2">
        <f>DAY(ORDERS[[#This Row],[OrderDate]])</f>
        <v>3</v>
      </c>
      <c r="M441" s="2">
        <f>YEAR(ORDERS[[#This Row],[OrderDate]])</f>
        <v>2012</v>
      </c>
    </row>
    <row r="442" spans="1:13" x14ac:dyDescent="0.3">
      <c r="A442">
        <v>441</v>
      </c>
      <c r="B442">
        <v>1</v>
      </c>
      <c r="C442">
        <v>5</v>
      </c>
      <c r="D442" s="1">
        <v>41247</v>
      </c>
      <c r="E442">
        <v>52</v>
      </c>
      <c r="F442">
        <f>VLOOKUP(ORDERS[[#This Row],[ProductID]],Products[],4,FALSE)</f>
        <v>16</v>
      </c>
      <c r="G442">
        <v>0</v>
      </c>
      <c r="H442">
        <f>(ORDERS[[#This Row],[UnitsOrdered]]*ORDERS[[#This Row],[unit price]])-(ORDERS[[#This Row],[UnitsOrdered]]*ORDERS[[#This Row],[unit price]]*ORDERS[[#This Row],[Discount]])</f>
        <v>832</v>
      </c>
      <c r="I442" t="str">
        <f>VLOOKUP(ORDERS[[#This Row],[CustomerID]],customers[],2,FALSE)</f>
        <v>Threads</v>
      </c>
      <c r="J442" s="2" t="str">
        <f>VLOOKUP(ORDERS[[#This Row],[CustomerID]],customers[],4,FALSE)</f>
        <v>Seattle</v>
      </c>
      <c r="K442" s="2" t="str">
        <f>VLOOKUP(ORDERS[[#This Row],[ProductID]],Products[],3,FALSE)</f>
        <v>Female</v>
      </c>
      <c r="L442" s="2">
        <f>DAY(ORDERS[[#This Row],[OrderDate]])</f>
        <v>4</v>
      </c>
      <c r="M442" s="2">
        <f>YEAR(ORDERS[[#This Row],[OrderDate]])</f>
        <v>2012</v>
      </c>
    </row>
    <row r="443" spans="1:13" x14ac:dyDescent="0.3">
      <c r="A443">
        <v>442</v>
      </c>
      <c r="B443">
        <v>3</v>
      </c>
      <c r="C443">
        <v>7</v>
      </c>
      <c r="D443" s="1">
        <v>41247</v>
      </c>
      <c r="E443">
        <v>44</v>
      </c>
      <c r="F443">
        <f>VLOOKUP(ORDERS[[#This Row],[ProductID]],Products[],4,FALSE)</f>
        <v>38</v>
      </c>
      <c r="G443">
        <v>5.0000001000000002E-2</v>
      </c>
      <c r="H443">
        <f>(ORDERS[[#This Row],[UnitsOrdered]]*ORDERS[[#This Row],[unit price]])-(ORDERS[[#This Row],[UnitsOrdered]]*ORDERS[[#This Row],[unit price]]*ORDERS[[#This Row],[Discount]])</f>
        <v>1588.399998328</v>
      </c>
      <c r="I443" t="str">
        <f>VLOOKUP(ORDERS[[#This Row],[CustomerID]],customers[],2,FALSE)</f>
        <v>Shirts R Us</v>
      </c>
      <c r="J443" s="2" t="str">
        <f>VLOOKUP(ORDERS[[#This Row],[CustomerID]],customers[],4,FALSE)</f>
        <v>Los Angeles</v>
      </c>
      <c r="K443" s="2" t="str">
        <f>VLOOKUP(ORDERS[[#This Row],[ProductID]],Products[],3,FALSE)</f>
        <v>Female</v>
      </c>
      <c r="L443" s="2">
        <f>DAY(ORDERS[[#This Row],[OrderDate]])</f>
        <v>4</v>
      </c>
      <c r="M443" s="2">
        <f>YEAR(ORDERS[[#This Row],[OrderDate]])</f>
        <v>2012</v>
      </c>
    </row>
    <row r="444" spans="1:13" x14ac:dyDescent="0.3">
      <c r="A444">
        <v>443</v>
      </c>
      <c r="B444">
        <v>7</v>
      </c>
      <c r="C444">
        <v>7</v>
      </c>
      <c r="D444" s="1">
        <v>41248</v>
      </c>
      <c r="E444">
        <v>143</v>
      </c>
      <c r="F444">
        <f>VLOOKUP(ORDERS[[#This Row],[ProductID]],Products[],4,FALSE)</f>
        <v>38</v>
      </c>
      <c r="G444">
        <v>0</v>
      </c>
      <c r="H444">
        <f>(ORDERS[[#This Row],[UnitsOrdered]]*ORDERS[[#This Row],[unit price]])-(ORDERS[[#This Row],[UnitsOrdered]]*ORDERS[[#This Row],[unit price]]*ORDERS[[#This Row],[Discount]])</f>
        <v>5434</v>
      </c>
      <c r="I444" t="str">
        <f>VLOOKUP(ORDERS[[#This Row],[CustomerID]],customers[],2,FALSE)</f>
        <v>The Shirt on Your Back</v>
      </c>
      <c r="J444" s="2" t="str">
        <f>VLOOKUP(ORDERS[[#This Row],[CustomerID]],customers[],4,FALSE)</f>
        <v>Bonners Ferry</v>
      </c>
      <c r="K444" s="2" t="str">
        <f>VLOOKUP(ORDERS[[#This Row],[ProductID]],Products[],3,FALSE)</f>
        <v>Female</v>
      </c>
      <c r="L444" s="2">
        <f>DAY(ORDERS[[#This Row],[OrderDate]])</f>
        <v>5</v>
      </c>
      <c r="M444" s="2">
        <f>YEAR(ORDERS[[#This Row],[OrderDate]])</f>
        <v>2012</v>
      </c>
    </row>
    <row r="445" spans="1:13" x14ac:dyDescent="0.3">
      <c r="A445">
        <v>444</v>
      </c>
      <c r="B445">
        <v>1</v>
      </c>
      <c r="C445">
        <v>1</v>
      </c>
      <c r="D445" s="1">
        <v>41249</v>
      </c>
      <c r="E445">
        <v>120</v>
      </c>
      <c r="F445">
        <f>VLOOKUP(ORDERS[[#This Row],[ProductID]],Products[],4,FALSE)</f>
        <v>20</v>
      </c>
      <c r="G445">
        <v>0</v>
      </c>
      <c r="H445">
        <f>(ORDERS[[#This Row],[UnitsOrdered]]*ORDERS[[#This Row],[unit price]])-(ORDERS[[#This Row],[UnitsOrdered]]*ORDERS[[#This Row],[unit price]]*ORDERS[[#This Row],[Discount]])</f>
        <v>2400</v>
      </c>
      <c r="I445" t="str">
        <f>VLOOKUP(ORDERS[[#This Row],[CustomerID]],customers[],2,FALSE)</f>
        <v>Threads</v>
      </c>
      <c r="J445" s="2" t="str">
        <f>VLOOKUP(ORDERS[[#This Row],[CustomerID]],customers[],4,FALSE)</f>
        <v>Seattle</v>
      </c>
      <c r="K445" s="2" t="str">
        <f>VLOOKUP(ORDERS[[#This Row],[ProductID]],Products[],3,FALSE)</f>
        <v>Both</v>
      </c>
      <c r="L445" s="2">
        <f>DAY(ORDERS[[#This Row],[OrderDate]])</f>
        <v>6</v>
      </c>
      <c r="M445" s="2">
        <f>YEAR(ORDERS[[#This Row],[OrderDate]])</f>
        <v>2012</v>
      </c>
    </row>
    <row r="446" spans="1:13" x14ac:dyDescent="0.3">
      <c r="A446">
        <v>445</v>
      </c>
      <c r="B446">
        <v>2</v>
      </c>
      <c r="C446">
        <v>9</v>
      </c>
      <c r="D446" s="1">
        <v>41249</v>
      </c>
      <c r="E446">
        <v>101</v>
      </c>
      <c r="F446">
        <f>VLOOKUP(ORDERS[[#This Row],[ProductID]],Products[],4,FALSE)</f>
        <v>25</v>
      </c>
      <c r="G446">
        <v>0</v>
      </c>
      <c r="H446">
        <f>(ORDERS[[#This Row],[UnitsOrdered]]*ORDERS[[#This Row],[unit price]])-(ORDERS[[#This Row],[UnitsOrdered]]*ORDERS[[#This Row],[unit price]]*ORDERS[[#This Row],[Discount]])</f>
        <v>2525</v>
      </c>
      <c r="I446" t="str">
        <f>VLOOKUP(ORDERS[[#This Row],[CustomerID]],customers[],2,FALSE)</f>
        <v>A Shirts Life</v>
      </c>
      <c r="J446" s="2" t="str">
        <f>VLOOKUP(ORDERS[[#This Row],[CustomerID]],customers[],4,FALSE)</f>
        <v>Portland</v>
      </c>
      <c r="K446" s="2" t="str">
        <f>VLOOKUP(ORDERS[[#This Row],[ProductID]],Products[],3,FALSE)</f>
        <v>Male</v>
      </c>
      <c r="L446" s="2">
        <f>DAY(ORDERS[[#This Row],[OrderDate]])</f>
        <v>6</v>
      </c>
      <c r="M446" s="2">
        <f>YEAR(ORDERS[[#This Row],[OrderDate]])</f>
        <v>2012</v>
      </c>
    </row>
    <row r="447" spans="1:13" x14ac:dyDescent="0.3">
      <c r="A447">
        <v>446</v>
      </c>
      <c r="B447">
        <v>4</v>
      </c>
      <c r="C447">
        <v>6</v>
      </c>
      <c r="D447" s="1">
        <v>41251</v>
      </c>
      <c r="E447">
        <v>97</v>
      </c>
      <c r="F447">
        <f>VLOOKUP(ORDERS[[#This Row],[ProductID]],Products[],4,FALSE)</f>
        <v>28</v>
      </c>
      <c r="G447">
        <v>0</v>
      </c>
      <c r="H447">
        <f>(ORDERS[[#This Row],[UnitsOrdered]]*ORDERS[[#This Row],[unit price]])-(ORDERS[[#This Row],[UnitsOrdered]]*ORDERS[[#This Row],[unit price]]*ORDERS[[#This Row],[Discount]])</f>
        <v>2716</v>
      </c>
      <c r="I447" t="str">
        <f>VLOOKUP(ORDERS[[#This Row],[CustomerID]],customers[],2,FALSE)</f>
        <v>Tshirt Unlimited</v>
      </c>
      <c r="J447" s="2" t="str">
        <f>VLOOKUP(ORDERS[[#This Row],[CustomerID]],customers[],4,FALSE)</f>
        <v>Phoenix</v>
      </c>
      <c r="K447" s="2" t="str">
        <f>VLOOKUP(ORDERS[[#This Row],[ProductID]],Products[],3,FALSE)</f>
        <v>Female</v>
      </c>
      <c r="L447" s="2">
        <f>DAY(ORDERS[[#This Row],[OrderDate]])</f>
        <v>8</v>
      </c>
      <c r="M447" s="2">
        <f>YEAR(ORDERS[[#This Row],[OrderDate]])</f>
        <v>2012</v>
      </c>
    </row>
    <row r="448" spans="1:13" x14ac:dyDescent="0.3">
      <c r="A448">
        <v>447</v>
      </c>
      <c r="B448">
        <v>7</v>
      </c>
      <c r="C448">
        <v>8</v>
      </c>
      <c r="D448" s="1">
        <v>41251</v>
      </c>
      <c r="E448">
        <v>149</v>
      </c>
      <c r="F448">
        <f>VLOOKUP(ORDERS[[#This Row],[ProductID]],Products[],4,FALSE)</f>
        <v>27</v>
      </c>
      <c r="G448">
        <v>5.0000001000000002E-2</v>
      </c>
      <c r="H448">
        <f>(ORDERS[[#This Row],[UnitsOrdered]]*ORDERS[[#This Row],[unit price]])-(ORDERS[[#This Row],[UnitsOrdered]]*ORDERS[[#This Row],[unit price]]*ORDERS[[#This Row],[Discount]])</f>
        <v>3821.8499959770002</v>
      </c>
      <c r="I448" t="str">
        <f>VLOOKUP(ORDERS[[#This Row],[CustomerID]],customers[],2,FALSE)</f>
        <v>The Shirt on Your Back</v>
      </c>
      <c r="J448" s="2" t="str">
        <f>VLOOKUP(ORDERS[[#This Row],[CustomerID]],customers[],4,FALSE)</f>
        <v>Bonners Ferry</v>
      </c>
      <c r="K448" s="2" t="str">
        <f>VLOOKUP(ORDERS[[#This Row],[ProductID]],Products[],3,FALSE)</f>
        <v>Female</v>
      </c>
      <c r="L448" s="2">
        <f>DAY(ORDERS[[#This Row],[OrderDate]])</f>
        <v>8</v>
      </c>
      <c r="M448" s="2">
        <f>YEAR(ORDERS[[#This Row],[OrderDate]])</f>
        <v>2012</v>
      </c>
    </row>
    <row r="449" spans="1:13" x14ac:dyDescent="0.3">
      <c r="A449">
        <v>448</v>
      </c>
      <c r="B449">
        <v>1</v>
      </c>
      <c r="C449">
        <v>3</v>
      </c>
      <c r="D449" s="1">
        <v>41252</v>
      </c>
      <c r="E449">
        <v>101</v>
      </c>
      <c r="F449">
        <f>VLOOKUP(ORDERS[[#This Row],[ProductID]],Products[],4,FALSE)</f>
        <v>22</v>
      </c>
      <c r="G449">
        <v>5.0000001000000002E-2</v>
      </c>
      <c r="H449">
        <f>(ORDERS[[#This Row],[UnitsOrdered]]*ORDERS[[#This Row],[unit price]])-(ORDERS[[#This Row],[UnitsOrdered]]*ORDERS[[#This Row],[unit price]]*ORDERS[[#This Row],[Discount]])</f>
        <v>2110.8999977779999</v>
      </c>
      <c r="I449" t="str">
        <f>VLOOKUP(ORDERS[[#This Row],[CustomerID]],customers[],2,FALSE)</f>
        <v>Threads</v>
      </c>
      <c r="J449" s="2" t="str">
        <f>VLOOKUP(ORDERS[[#This Row],[CustomerID]],customers[],4,FALSE)</f>
        <v>Seattle</v>
      </c>
      <c r="K449" s="2" t="str">
        <f>VLOOKUP(ORDERS[[#This Row],[ProductID]],Products[],3,FALSE)</f>
        <v>Both</v>
      </c>
      <c r="L449" s="2">
        <f>DAY(ORDERS[[#This Row],[OrderDate]])</f>
        <v>9</v>
      </c>
      <c r="M449" s="2">
        <f>YEAR(ORDERS[[#This Row],[OrderDate]])</f>
        <v>2012</v>
      </c>
    </row>
    <row r="450" spans="1:13" x14ac:dyDescent="0.3">
      <c r="A450">
        <v>449</v>
      </c>
      <c r="B450">
        <v>3</v>
      </c>
      <c r="C450">
        <v>10</v>
      </c>
      <c r="D450" s="1">
        <v>41252</v>
      </c>
      <c r="E450">
        <v>126</v>
      </c>
      <c r="F450">
        <f>VLOOKUP(ORDERS[[#This Row],[ProductID]],Products[],4,FALSE)</f>
        <v>35</v>
      </c>
      <c r="G450">
        <v>5.0000001000000002E-2</v>
      </c>
      <c r="H450">
        <f>(ORDERS[[#This Row],[UnitsOrdered]]*ORDERS[[#This Row],[unit price]])-(ORDERS[[#This Row],[UnitsOrdered]]*ORDERS[[#This Row],[unit price]]*ORDERS[[#This Row],[Discount]])</f>
        <v>4189.4999955900003</v>
      </c>
      <c r="I450" t="str">
        <f>VLOOKUP(ORDERS[[#This Row],[CustomerID]],customers[],2,FALSE)</f>
        <v>Shirts R Us</v>
      </c>
      <c r="J450" s="2" t="str">
        <f>VLOOKUP(ORDERS[[#This Row],[CustomerID]],customers[],4,FALSE)</f>
        <v>Los Angeles</v>
      </c>
      <c r="K450" s="2" t="str">
        <f>VLOOKUP(ORDERS[[#This Row],[ProductID]],Products[],3,FALSE)</f>
        <v>Male</v>
      </c>
      <c r="L450" s="2">
        <f>DAY(ORDERS[[#This Row],[OrderDate]])</f>
        <v>9</v>
      </c>
      <c r="M450" s="2">
        <f>YEAR(ORDERS[[#This Row],[OrderDate]])</f>
        <v>2012</v>
      </c>
    </row>
    <row r="451" spans="1:13" x14ac:dyDescent="0.3">
      <c r="A451">
        <v>450</v>
      </c>
      <c r="B451">
        <v>7</v>
      </c>
      <c r="C451">
        <v>1</v>
      </c>
      <c r="D451" s="1">
        <v>41252</v>
      </c>
      <c r="E451">
        <v>83</v>
      </c>
      <c r="F451">
        <f>VLOOKUP(ORDERS[[#This Row],[ProductID]],Products[],4,FALSE)</f>
        <v>20</v>
      </c>
      <c r="G451">
        <v>0</v>
      </c>
      <c r="H451">
        <f>(ORDERS[[#This Row],[UnitsOrdered]]*ORDERS[[#This Row],[unit price]])-(ORDERS[[#This Row],[UnitsOrdered]]*ORDERS[[#This Row],[unit price]]*ORDERS[[#This Row],[Discount]])</f>
        <v>1660</v>
      </c>
      <c r="I451" t="str">
        <f>VLOOKUP(ORDERS[[#This Row],[CustomerID]],customers[],2,FALSE)</f>
        <v>The Shirt on Your Back</v>
      </c>
      <c r="J451" s="2" t="str">
        <f>VLOOKUP(ORDERS[[#This Row],[CustomerID]],customers[],4,FALSE)</f>
        <v>Bonners Ferry</v>
      </c>
      <c r="K451" s="2" t="str">
        <f>VLOOKUP(ORDERS[[#This Row],[ProductID]],Products[],3,FALSE)</f>
        <v>Both</v>
      </c>
      <c r="L451" s="2">
        <f>DAY(ORDERS[[#This Row],[OrderDate]])</f>
        <v>9</v>
      </c>
      <c r="M451" s="2">
        <f>YEAR(ORDERS[[#This Row],[OrderDate]])</f>
        <v>2012</v>
      </c>
    </row>
    <row r="452" spans="1:13" x14ac:dyDescent="0.3">
      <c r="A452">
        <v>451</v>
      </c>
      <c r="B452">
        <v>7</v>
      </c>
      <c r="C452">
        <v>6</v>
      </c>
      <c r="D452" s="1">
        <v>41252</v>
      </c>
      <c r="E452">
        <v>61</v>
      </c>
      <c r="F452">
        <f>VLOOKUP(ORDERS[[#This Row],[ProductID]],Products[],4,FALSE)</f>
        <v>28</v>
      </c>
      <c r="G452">
        <v>0.10000000100000001</v>
      </c>
      <c r="H452">
        <f>(ORDERS[[#This Row],[UnitsOrdered]]*ORDERS[[#This Row],[unit price]])-(ORDERS[[#This Row],[UnitsOrdered]]*ORDERS[[#This Row],[unit price]]*ORDERS[[#This Row],[Discount]])</f>
        <v>1537.1999982919999</v>
      </c>
      <c r="I452" t="str">
        <f>VLOOKUP(ORDERS[[#This Row],[CustomerID]],customers[],2,FALSE)</f>
        <v>The Shirt on Your Back</v>
      </c>
      <c r="J452" s="2" t="str">
        <f>VLOOKUP(ORDERS[[#This Row],[CustomerID]],customers[],4,FALSE)</f>
        <v>Bonners Ferry</v>
      </c>
      <c r="K452" s="2" t="str">
        <f>VLOOKUP(ORDERS[[#This Row],[ProductID]],Products[],3,FALSE)</f>
        <v>Female</v>
      </c>
      <c r="L452" s="2">
        <f>DAY(ORDERS[[#This Row],[OrderDate]])</f>
        <v>9</v>
      </c>
      <c r="M452" s="2">
        <f>YEAR(ORDERS[[#This Row],[OrderDate]])</f>
        <v>2012</v>
      </c>
    </row>
    <row r="453" spans="1:13" x14ac:dyDescent="0.3">
      <c r="A453">
        <v>452</v>
      </c>
      <c r="B453">
        <v>5</v>
      </c>
      <c r="C453">
        <v>1</v>
      </c>
      <c r="D453" s="1">
        <v>41253</v>
      </c>
      <c r="E453">
        <v>141</v>
      </c>
      <c r="F453">
        <f>VLOOKUP(ORDERS[[#This Row],[ProductID]],Products[],4,FALSE)</f>
        <v>20</v>
      </c>
      <c r="G453">
        <v>0</v>
      </c>
      <c r="H453">
        <f>(ORDERS[[#This Row],[UnitsOrdered]]*ORDERS[[#This Row],[unit price]])-(ORDERS[[#This Row],[UnitsOrdered]]*ORDERS[[#This Row],[unit price]]*ORDERS[[#This Row],[Discount]])</f>
        <v>2820</v>
      </c>
      <c r="I453" t="str">
        <f>VLOOKUP(ORDERS[[#This Row],[CustomerID]],customers[],2,FALSE)</f>
        <v>Rags to Riches</v>
      </c>
      <c r="J453" s="2" t="str">
        <f>VLOOKUP(ORDERS[[#This Row],[CustomerID]],customers[],4,FALSE)</f>
        <v>Las Vegas</v>
      </c>
      <c r="K453" s="2" t="str">
        <f>VLOOKUP(ORDERS[[#This Row],[ProductID]],Products[],3,FALSE)</f>
        <v>Both</v>
      </c>
      <c r="L453" s="2">
        <f>DAY(ORDERS[[#This Row],[OrderDate]])</f>
        <v>10</v>
      </c>
      <c r="M453" s="2">
        <f>YEAR(ORDERS[[#This Row],[OrderDate]])</f>
        <v>2012</v>
      </c>
    </row>
    <row r="454" spans="1:13" x14ac:dyDescent="0.3">
      <c r="A454">
        <v>453</v>
      </c>
      <c r="B454">
        <v>7</v>
      </c>
      <c r="C454">
        <v>7</v>
      </c>
      <c r="D454" s="1">
        <v>41253</v>
      </c>
      <c r="E454">
        <v>70</v>
      </c>
      <c r="F454">
        <f>VLOOKUP(ORDERS[[#This Row],[ProductID]],Products[],4,FALSE)</f>
        <v>38</v>
      </c>
      <c r="G454">
        <v>0</v>
      </c>
      <c r="H454">
        <f>(ORDERS[[#This Row],[UnitsOrdered]]*ORDERS[[#This Row],[unit price]])-(ORDERS[[#This Row],[UnitsOrdered]]*ORDERS[[#This Row],[unit price]]*ORDERS[[#This Row],[Discount]])</f>
        <v>2660</v>
      </c>
      <c r="I454" t="str">
        <f>VLOOKUP(ORDERS[[#This Row],[CustomerID]],customers[],2,FALSE)</f>
        <v>The Shirt on Your Back</v>
      </c>
      <c r="J454" s="2" t="str">
        <f>VLOOKUP(ORDERS[[#This Row],[CustomerID]],customers[],4,FALSE)</f>
        <v>Bonners Ferry</v>
      </c>
      <c r="K454" s="2" t="str">
        <f>VLOOKUP(ORDERS[[#This Row],[ProductID]],Products[],3,FALSE)</f>
        <v>Female</v>
      </c>
      <c r="L454" s="2">
        <f>DAY(ORDERS[[#This Row],[OrderDate]])</f>
        <v>10</v>
      </c>
      <c r="M454" s="2">
        <f>YEAR(ORDERS[[#This Row],[OrderDate]])</f>
        <v>2012</v>
      </c>
    </row>
    <row r="455" spans="1:13" x14ac:dyDescent="0.3">
      <c r="A455">
        <v>454</v>
      </c>
      <c r="B455">
        <v>6</v>
      </c>
      <c r="C455">
        <v>5</v>
      </c>
      <c r="D455" s="1">
        <v>41255</v>
      </c>
      <c r="E455">
        <v>71</v>
      </c>
      <c r="F455">
        <f>VLOOKUP(ORDERS[[#This Row],[ProductID]],Products[],4,FALSE)</f>
        <v>16</v>
      </c>
      <c r="G455">
        <v>0</v>
      </c>
      <c r="H455">
        <f>(ORDERS[[#This Row],[UnitsOrdered]]*ORDERS[[#This Row],[unit price]])-(ORDERS[[#This Row],[UnitsOrdered]]*ORDERS[[#This Row],[unit price]]*ORDERS[[#This Row],[Discount]])</f>
        <v>1136</v>
      </c>
      <c r="I455" t="str">
        <f>VLOOKUP(ORDERS[[#This Row],[CustomerID]],customers[],2,FALSE)</f>
        <v>Abracadaba Ink</v>
      </c>
      <c r="J455" s="2" t="str">
        <f>VLOOKUP(ORDERS[[#This Row],[CustomerID]],customers[],4,FALSE)</f>
        <v>Salt Lake City</v>
      </c>
      <c r="K455" s="2" t="str">
        <f>VLOOKUP(ORDERS[[#This Row],[ProductID]],Products[],3,FALSE)</f>
        <v>Female</v>
      </c>
      <c r="L455" s="2">
        <f>DAY(ORDERS[[#This Row],[OrderDate]])</f>
        <v>12</v>
      </c>
      <c r="M455" s="2">
        <f>YEAR(ORDERS[[#This Row],[OrderDate]])</f>
        <v>2012</v>
      </c>
    </row>
    <row r="456" spans="1:13" x14ac:dyDescent="0.3">
      <c r="A456">
        <v>455</v>
      </c>
      <c r="B456">
        <v>3</v>
      </c>
      <c r="C456">
        <v>10</v>
      </c>
      <c r="D456" s="1">
        <v>41258</v>
      </c>
      <c r="E456">
        <v>67</v>
      </c>
      <c r="F456">
        <f>VLOOKUP(ORDERS[[#This Row],[ProductID]],Products[],4,FALSE)</f>
        <v>35</v>
      </c>
      <c r="G456">
        <v>0</v>
      </c>
      <c r="H456">
        <f>(ORDERS[[#This Row],[UnitsOrdered]]*ORDERS[[#This Row],[unit price]])-(ORDERS[[#This Row],[UnitsOrdered]]*ORDERS[[#This Row],[unit price]]*ORDERS[[#This Row],[Discount]])</f>
        <v>2345</v>
      </c>
      <c r="I456" t="str">
        <f>VLOOKUP(ORDERS[[#This Row],[CustomerID]],customers[],2,FALSE)</f>
        <v>Shirts R Us</v>
      </c>
      <c r="J456" s="2" t="str">
        <f>VLOOKUP(ORDERS[[#This Row],[CustomerID]],customers[],4,FALSE)</f>
        <v>Los Angeles</v>
      </c>
      <c r="K456" s="2" t="str">
        <f>VLOOKUP(ORDERS[[#This Row],[ProductID]],Products[],3,FALSE)</f>
        <v>Male</v>
      </c>
      <c r="L456" s="2">
        <f>DAY(ORDERS[[#This Row],[OrderDate]])</f>
        <v>15</v>
      </c>
      <c r="M456" s="2">
        <f>YEAR(ORDERS[[#This Row],[OrderDate]])</f>
        <v>2012</v>
      </c>
    </row>
    <row r="457" spans="1:13" x14ac:dyDescent="0.3">
      <c r="A457">
        <v>456</v>
      </c>
      <c r="B457">
        <v>6</v>
      </c>
      <c r="C457">
        <v>2</v>
      </c>
      <c r="D457" s="1">
        <v>41258</v>
      </c>
      <c r="E457">
        <v>75</v>
      </c>
      <c r="F457">
        <f>VLOOKUP(ORDERS[[#This Row],[ProductID]],Products[],4,FALSE)</f>
        <v>30</v>
      </c>
      <c r="G457">
        <v>5.0000001000000002E-2</v>
      </c>
      <c r="H457">
        <f>(ORDERS[[#This Row],[UnitsOrdered]]*ORDERS[[#This Row],[unit price]])-(ORDERS[[#This Row],[UnitsOrdered]]*ORDERS[[#This Row],[unit price]]*ORDERS[[#This Row],[Discount]])</f>
        <v>2137.4999977500001</v>
      </c>
      <c r="I457" t="str">
        <f>VLOOKUP(ORDERS[[#This Row],[CustomerID]],customers[],2,FALSE)</f>
        <v>Abracadaba Ink</v>
      </c>
      <c r="J457" s="2" t="str">
        <f>VLOOKUP(ORDERS[[#This Row],[CustomerID]],customers[],4,FALSE)</f>
        <v>Salt Lake City</v>
      </c>
      <c r="K457" s="2" t="str">
        <f>VLOOKUP(ORDERS[[#This Row],[ProductID]],Products[],3,FALSE)</f>
        <v>Both</v>
      </c>
      <c r="L457" s="2">
        <f>DAY(ORDERS[[#This Row],[OrderDate]])</f>
        <v>15</v>
      </c>
      <c r="M457" s="2">
        <f>YEAR(ORDERS[[#This Row],[OrderDate]])</f>
        <v>2012</v>
      </c>
    </row>
    <row r="458" spans="1:13" x14ac:dyDescent="0.3">
      <c r="A458">
        <v>457</v>
      </c>
      <c r="B458">
        <v>1</v>
      </c>
      <c r="C458">
        <v>10</v>
      </c>
      <c r="D458" s="1">
        <v>41259</v>
      </c>
      <c r="E458">
        <v>56</v>
      </c>
      <c r="F458">
        <f>VLOOKUP(ORDERS[[#This Row],[ProductID]],Products[],4,FALSE)</f>
        <v>35</v>
      </c>
      <c r="G458">
        <v>0</v>
      </c>
      <c r="H458">
        <f>(ORDERS[[#This Row],[UnitsOrdered]]*ORDERS[[#This Row],[unit price]])-(ORDERS[[#This Row],[UnitsOrdered]]*ORDERS[[#This Row],[unit price]]*ORDERS[[#This Row],[Discount]])</f>
        <v>1960</v>
      </c>
      <c r="I458" t="str">
        <f>VLOOKUP(ORDERS[[#This Row],[CustomerID]],customers[],2,FALSE)</f>
        <v>Threads</v>
      </c>
      <c r="J458" s="2" t="str">
        <f>VLOOKUP(ORDERS[[#This Row],[CustomerID]],customers[],4,FALSE)</f>
        <v>Seattle</v>
      </c>
      <c r="K458" s="2" t="str">
        <f>VLOOKUP(ORDERS[[#This Row],[ProductID]],Products[],3,FALSE)</f>
        <v>Male</v>
      </c>
      <c r="L458" s="2">
        <f>DAY(ORDERS[[#This Row],[OrderDate]])</f>
        <v>16</v>
      </c>
      <c r="M458" s="2">
        <f>YEAR(ORDERS[[#This Row],[OrderDate]])</f>
        <v>2012</v>
      </c>
    </row>
    <row r="459" spans="1:13" x14ac:dyDescent="0.3">
      <c r="A459">
        <v>458</v>
      </c>
      <c r="B459">
        <v>5</v>
      </c>
      <c r="C459">
        <v>2</v>
      </c>
      <c r="D459" s="1">
        <v>41259</v>
      </c>
      <c r="E459">
        <v>79</v>
      </c>
      <c r="F459">
        <f>VLOOKUP(ORDERS[[#This Row],[ProductID]],Products[],4,FALSE)</f>
        <v>30</v>
      </c>
      <c r="G459">
        <v>0</v>
      </c>
      <c r="H459">
        <f>(ORDERS[[#This Row],[UnitsOrdered]]*ORDERS[[#This Row],[unit price]])-(ORDERS[[#This Row],[UnitsOrdered]]*ORDERS[[#This Row],[unit price]]*ORDERS[[#This Row],[Discount]])</f>
        <v>2370</v>
      </c>
      <c r="I459" t="str">
        <f>VLOOKUP(ORDERS[[#This Row],[CustomerID]],customers[],2,FALSE)</f>
        <v>Rags to Riches</v>
      </c>
      <c r="J459" s="2" t="str">
        <f>VLOOKUP(ORDERS[[#This Row],[CustomerID]],customers[],4,FALSE)</f>
        <v>Las Vegas</v>
      </c>
      <c r="K459" s="2" t="str">
        <f>VLOOKUP(ORDERS[[#This Row],[ProductID]],Products[],3,FALSE)</f>
        <v>Both</v>
      </c>
      <c r="L459" s="2">
        <f>DAY(ORDERS[[#This Row],[OrderDate]])</f>
        <v>16</v>
      </c>
      <c r="M459" s="2">
        <f>YEAR(ORDERS[[#This Row],[OrderDate]])</f>
        <v>2012</v>
      </c>
    </row>
    <row r="460" spans="1:13" x14ac:dyDescent="0.3">
      <c r="A460">
        <v>459</v>
      </c>
      <c r="B460">
        <v>6</v>
      </c>
      <c r="C460">
        <v>3</v>
      </c>
      <c r="D460" s="1">
        <v>41259</v>
      </c>
      <c r="E460">
        <v>88</v>
      </c>
      <c r="F460">
        <f>VLOOKUP(ORDERS[[#This Row],[ProductID]],Products[],4,FALSE)</f>
        <v>22</v>
      </c>
      <c r="G460">
        <v>0</v>
      </c>
      <c r="H460">
        <f>(ORDERS[[#This Row],[UnitsOrdered]]*ORDERS[[#This Row],[unit price]])-(ORDERS[[#This Row],[UnitsOrdered]]*ORDERS[[#This Row],[unit price]]*ORDERS[[#This Row],[Discount]])</f>
        <v>1936</v>
      </c>
      <c r="I460" t="str">
        <f>VLOOKUP(ORDERS[[#This Row],[CustomerID]],customers[],2,FALSE)</f>
        <v>Abracadaba Ink</v>
      </c>
      <c r="J460" s="2" t="str">
        <f>VLOOKUP(ORDERS[[#This Row],[CustomerID]],customers[],4,FALSE)</f>
        <v>Salt Lake City</v>
      </c>
      <c r="K460" s="2" t="str">
        <f>VLOOKUP(ORDERS[[#This Row],[ProductID]],Products[],3,FALSE)</f>
        <v>Both</v>
      </c>
      <c r="L460" s="2">
        <f>DAY(ORDERS[[#This Row],[OrderDate]])</f>
        <v>16</v>
      </c>
      <c r="M460" s="2">
        <f>YEAR(ORDERS[[#This Row],[OrderDate]])</f>
        <v>2012</v>
      </c>
    </row>
    <row r="461" spans="1:13" x14ac:dyDescent="0.3">
      <c r="A461">
        <v>460</v>
      </c>
      <c r="B461">
        <v>7</v>
      </c>
      <c r="C461">
        <v>1</v>
      </c>
      <c r="D461" s="1">
        <v>41259</v>
      </c>
      <c r="E461">
        <v>76</v>
      </c>
      <c r="F461">
        <f>VLOOKUP(ORDERS[[#This Row],[ProductID]],Products[],4,FALSE)</f>
        <v>20</v>
      </c>
      <c r="G461">
        <v>0</v>
      </c>
      <c r="H461">
        <f>(ORDERS[[#This Row],[UnitsOrdered]]*ORDERS[[#This Row],[unit price]])-(ORDERS[[#This Row],[UnitsOrdered]]*ORDERS[[#This Row],[unit price]]*ORDERS[[#This Row],[Discount]])</f>
        <v>1520</v>
      </c>
      <c r="I461" t="str">
        <f>VLOOKUP(ORDERS[[#This Row],[CustomerID]],customers[],2,FALSE)</f>
        <v>The Shirt on Your Back</v>
      </c>
      <c r="J461" s="2" t="str">
        <f>VLOOKUP(ORDERS[[#This Row],[CustomerID]],customers[],4,FALSE)</f>
        <v>Bonners Ferry</v>
      </c>
      <c r="K461" s="2" t="str">
        <f>VLOOKUP(ORDERS[[#This Row],[ProductID]],Products[],3,FALSE)</f>
        <v>Both</v>
      </c>
      <c r="L461" s="2">
        <f>DAY(ORDERS[[#This Row],[OrderDate]])</f>
        <v>16</v>
      </c>
      <c r="M461" s="2">
        <f>YEAR(ORDERS[[#This Row],[OrderDate]])</f>
        <v>2012</v>
      </c>
    </row>
    <row r="462" spans="1:13" x14ac:dyDescent="0.3">
      <c r="A462">
        <v>461</v>
      </c>
      <c r="B462">
        <v>7</v>
      </c>
      <c r="C462">
        <v>5</v>
      </c>
      <c r="D462" s="1">
        <v>41259</v>
      </c>
      <c r="E462">
        <v>99</v>
      </c>
      <c r="F462">
        <f>VLOOKUP(ORDERS[[#This Row],[ProductID]],Products[],4,FALSE)</f>
        <v>16</v>
      </c>
      <c r="G462">
        <v>0</v>
      </c>
      <c r="H462">
        <f>(ORDERS[[#This Row],[UnitsOrdered]]*ORDERS[[#This Row],[unit price]])-(ORDERS[[#This Row],[UnitsOrdered]]*ORDERS[[#This Row],[unit price]]*ORDERS[[#This Row],[Discount]])</f>
        <v>1584</v>
      </c>
      <c r="I462" t="str">
        <f>VLOOKUP(ORDERS[[#This Row],[CustomerID]],customers[],2,FALSE)</f>
        <v>The Shirt on Your Back</v>
      </c>
      <c r="J462" s="2" t="str">
        <f>VLOOKUP(ORDERS[[#This Row],[CustomerID]],customers[],4,FALSE)</f>
        <v>Bonners Ferry</v>
      </c>
      <c r="K462" s="2" t="str">
        <f>VLOOKUP(ORDERS[[#This Row],[ProductID]],Products[],3,FALSE)</f>
        <v>Female</v>
      </c>
      <c r="L462" s="2">
        <f>DAY(ORDERS[[#This Row],[OrderDate]])</f>
        <v>16</v>
      </c>
      <c r="M462" s="2">
        <f>YEAR(ORDERS[[#This Row],[OrderDate]])</f>
        <v>2012</v>
      </c>
    </row>
    <row r="463" spans="1:13" x14ac:dyDescent="0.3">
      <c r="A463">
        <v>462</v>
      </c>
      <c r="B463">
        <v>7</v>
      </c>
      <c r="C463">
        <v>2</v>
      </c>
      <c r="D463" s="1">
        <v>41260</v>
      </c>
      <c r="E463">
        <v>25</v>
      </c>
      <c r="F463">
        <f>VLOOKUP(ORDERS[[#This Row],[ProductID]],Products[],4,FALSE)</f>
        <v>30</v>
      </c>
      <c r="G463">
        <v>0</v>
      </c>
      <c r="H463">
        <f>(ORDERS[[#This Row],[UnitsOrdered]]*ORDERS[[#This Row],[unit price]])-(ORDERS[[#This Row],[UnitsOrdered]]*ORDERS[[#This Row],[unit price]]*ORDERS[[#This Row],[Discount]])</f>
        <v>750</v>
      </c>
      <c r="I463" t="str">
        <f>VLOOKUP(ORDERS[[#This Row],[CustomerID]],customers[],2,FALSE)</f>
        <v>The Shirt on Your Back</v>
      </c>
      <c r="J463" s="2" t="str">
        <f>VLOOKUP(ORDERS[[#This Row],[CustomerID]],customers[],4,FALSE)</f>
        <v>Bonners Ferry</v>
      </c>
      <c r="K463" s="2" t="str">
        <f>VLOOKUP(ORDERS[[#This Row],[ProductID]],Products[],3,FALSE)</f>
        <v>Both</v>
      </c>
      <c r="L463" s="2">
        <f>DAY(ORDERS[[#This Row],[OrderDate]])</f>
        <v>17</v>
      </c>
      <c r="M463" s="2">
        <f>YEAR(ORDERS[[#This Row],[OrderDate]])</f>
        <v>2012</v>
      </c>
    </row>
    <row r="464" spans="1:13" x14ac:dyDescent="0.3">
      <c r="A464">
        <v>463</v>
      </c>
      <c r="B464">
        <v>1</v>
      </c>
      <c r="C464">
        <v>1</v>
      </c>
      <c r="D464" s="1">
        <v>41261</v>
      </c>
      <c r="E464">
        <v>59</v>
      </c>
      <c r="F464">
        <f>VLOOKUP(ORDERS[[#This Row],[ProductID]],Products[],4,FALSE)</f>
        <v>20</v>
      </c>
      <c r="G464">
        <v>0</v>
      </c>
      <c r="H464">
        <f>(ORDERS[[#This Row],[UnitsOrdered]]*ORDERS[[#This Row],[unit price]])-(ORDERS[[#This Row],[UnitsOrdered]]*ORDERS[[#This Row],[unit price]]*ORDERS[[#This Row],[Discount]])</f>
        <v>1180</v>
      </c>
      <c r="I464" t="str">
        <f>VLOOKUP(ORDERS[[#This Row],[CustomerID]],customers[],2,FALSE)</f>
        <v>Threads</v>
      </c>
      <c r="J464" s="2" t="str">
        <f>VLOOKUP(ORDERS[[#This Row],[CustomerID]],customers[],4,FALSE)</f>
        <v>Seattle</v>
      </c>
      <c r="K464" s="2" t="str">
        <f>VLOOKUP(ORDERS[[#This Row],[ProductID]],Products[],3,FALSE)</f>
        <v>Both</v>
      </c>
      <c r="L464" s="2">
        <f>DAY(ORDERS[[#This Row],[OrderDate]])</f>
        <v>18</v>
      </c>
      <c r="M464" s="2">
        <f>YEAR(ORDERS[[#This Row],[OrderDate]])</f>
        <v>2012</v>
      </c>
    </row>
    <row r="465" spans="1:13" x14ac:dyDescent="0.3">
      <c r="A465">
        <v>464</v>
      </c>
      <c r="B465">
        <v>4</v>
      </c>
      <c r="C465">
        <v>9</v>
      </c>
      <c r="D465" s="1">
        <v>41262</v>
      </c>
      <c r="E465">
        <v>103</v>
      </c>
      <c r="F465">
        <f>VLOOKUP(ORDERS[[#This Row],[ProductID]],Products[],4,FALSE)</f>
        <v>25</v>
      </c>
      <c r="G465">
        <v>0</v>
      </c>
      <c r="H465">
        <f>(ORDERS[[#This Row],[UnitsOrdered]]*ORDERS[[#This Row],[unit price]])-(ORDERS[[#This Row],[UnitsOrdered]]*ORDERS[[#This Row],[unit price]]*ORDERS[[#This Row],[Discount]])</f>
        <v>2575</v>
      </c>
      <c r="I465" t="str">
        <f>VLOOKUP(ORDERS[[#This Row],[CustomerID]],customers[],2,FALSE)</f>
        <v>Tshirt Unlimited</v>
      </c>
      <c r="J465" s="2" t="str">
        <f>VLOOKUP(ORDERS[[#This Row],[CustomerID]],customers[],4,FALSE)</f>
        <v>Phoenix</v>
      </c>
      <c r="K465" s="2" t="str">
        <f>VLOOKUP(ORDERS[[#This Row],[ProductID]],Products[],3,FALSE)</f>
        <v>Male</v>
      </c>
      <c r="L465" s="2">
        <f>DAY(ORDERS[[#This Row],[OrderDate]])</f>
        <v>19</v>
      </c>
      <c r="M465" s="2">
        <f>YEAR(ORDERS[[#This Row],[OrderDate]])</f>
        <v>2012</v>
      </c>
    </row>
    <row r="466" spans="1:13" x14ac:dyDescent="0.3">
      <c r="A466">
        <v>465</v>
      </c>
      <c r="B466">
        <v>5</v>
      </c>
      <c r="C466">
        <v>2</v>
      </c>
      <c r="D466" s="1">
        <v>41263</v>
      </c>
      <c r="E466">
        <v>112</v>
      </c>
      <c r="F466">
        <f>VLOOKUP(ORDERS[[#This Row],[ProductID]],Products[],4,FALSE)</f>
        <v>30</v>
      </c>
      <c r="G466">
        <v>5.0000001000000002E-2</v>
      </c>
      <c r="H466">
        <f>(ORDERS[[#This Row],[UnitsOrdered]]*ORDERS[[#This Row],[unit price]])-(ORDERS[[#This Row],[UnitsOrdered]]*ORDERS[[#This Row],[unit price]]*ORDERS[[#This Row],[Discount]])</f>
        <v>3191.9999966400001</v>
      </c>
      <c r="I466" t="str">
        <f>VLOOKUP(ORDERS[[#This Row],[CustomerID]],customers[],2,FALSE)</f>
        <v>Rags to Riches</v>
      </c>
      <c r="J466" s="2" t="str">
        <f>VLOOKUP(ORDERS[[#This Row],[CustomerID]],customers[],4,FALSE)</f>
        <v>Las Vegas</v>
      </c>
      <c r="K466" s="2" t="str">
        <f>VLOOKUP(ORDERS[[#This Row],[ProductID]],Products[],3,FALSE)</f>
        <v>Both</v>
      </c>
      <c r="L466" s="2">
        <f>DAY(ORDERS[[#This Row],[OrderDate]])</f>
        <v>20</v>
      </c>
      <c r="M466" s="2">
        <f>YEAR(ORDERS[[#This Row],[OrderDate]])</f>
        <v>2012</v>
      </c>
    </row>
    <row r="467" spans="1:13" x14ac:dyDescent="0.3">
      <c r="A467">
        <v>466</v>
      </c>
      <c r="B467">
        <v>4</v>
      </c>
      <c r="C467">
        <v>1</v>
      </c>
      <c r="D467" s="1">
        <v>41267</v>
      </c>
      <c r="E467">
        <v>133</v>
      </c>
      <c r="F467">
        <f>VLOOKUP(ORDERS[[#This Row],[ProductID]],Products[],4,FALSE)</f>
        <v>20</v>
      </c>
      <c r="G467">
        <v>0</v>
      </c>
      <c r="H467">
        <f>(ORDERS[[#This Row],[UnitsOrdered]]*ORDERS[[#This Row],[unit price]])-(ORDERS[[#This Row],[UnitsOrdered]]*ORDERS[[#This Row],[unit price]]*ORDERS[[#This Row],[Discount]])</f>
        <v>2660</v>
      </c>
      <c r="I467" t="str">
        <f>VLOOKUP(ORDERS[[#This Row],[CustomerID]],customers[],2,FALSE)</f>
        <v>Tshirt Unlimited</v>
      </c>
      <c r="J467" s="2" t="str">
        <f>VLOOKUP(ORDERS[[#This Row],[CustomerID]],customers[],4,FALSE)</f>
        <v>Phoenix</v>
      </c>
      <c r="K467" s="2" t="str">
        <f>VLOOKUP(ORDERS[[#This Row],[ProductID]],Products[],3,FALSE)</f>
        <v>Both</v>
      </c>
      <c r="L467" s="2">
        <f>DAY(ORDERS[[#This Row],[OrderDate]])</f>
        <v>24</v>
      </c>
      <c r="M467" s="2">
        <f>YEAR(ORDERS[[#This Row],[OrderDate]])</f>
        <v>2012</v>
      </c>
    </row>
    <row r="468" spans="1:13" x14ac:dyDescent="0.3">
      <c r="A468">
        <v>467</v>
      </c>
      <c r="B468">
        <v>1</v>
      </c>
      <c r="C468">
        <v>2</v>
      </c>
      <c r="D468" s="1">
        <v>41269</v>
      </c>
      <c r="E468">
        <v>66</v>
      </c>
      <c r="F468">
        <f>VLOOKUP(ORDERS[[#This Row],[ProductID]],Products[],4,FALSE)</f>
        <v>30</v>
      </c>
      <c r="G468">
        <v>5.0000001000000002E-2</v>
      </c>
      <c r="H468">
        <f>(ORDERS[[#This Row],[UnitsOrdered]]*ORDERS[[#This Row],[unit price]])-(ORDERS[[#This Row],[UnitsOrdered]]*ORDERS[[#This Row],[unit price]]*ORDERS[[#This Row],[Discount]])</f>
        <v>1880.99999802</v>
      </c>
      <c r="I468" t="str">
        <f>VLOOKUP(ORDERS[[#This Row],[CustomerID]],customers[],2,FALSE)</f>
        <v>Threads</v>
      </c>
      <c r="J468" s="2" t="str">
        <f>VLOOKUP(ORDERS[[#This Row],[CustomerID]],customers[],4,FALSE)</f>
        <v>Seattle</v>
      </c>
      <c r="K468" s="2" t="str">
        <f>VLOOKUP(ORDERS[[#This Row],[ProductID]],Products[],3,FALSE)</f>
        <v>Both</v>
      </c>
      <c r="L468" s="2">
        <f>DAY(ORDERS[[#This Row],[OrderDate]])</f>
        <v>26</v>
      </c>
      <c r="M468" s="2">
        <f>YEAR(ORDERS[[#This Row],[OrderDate]])</f>
        <v>2012</v>
      </c>
    </row>
    <row r="469" spans="1:13" x14ac:dyDescent="0.3">
      <c r="A469">
        <v>468</v>
      </c>
      <c r="B469">
        <v>7</v>
      </c>
      <c r="C469">
        <v>2</v>
      </c>
      <c r="D469" s="1">
        <v>41270</v>
      </c>
      <c r="E469">
        <v>51</v>
      </c>
      <c r="F469">
        <f>VLOOKUP(ORDERS[[#This Row],[ProductID]],Products[],4,FALSE)</f>
        <v>30</v>
      </c>
      <c r="G469">
        <v>0</v>
      </c>
      <c r="H469">
        <f>(ORDERS[[#This Row],[UnitsOrdered]]*ORDERS[[#This Row],[unit price]])-(ORDERS[[#This Row],[UnitsOrdered]]*ORDERS[[#This Row],[unit price]]*ORDERS[[#This Row],[Discount]])</f>
        <v>1530</v>
      </c>
      <c r="I469" t="str">
        <f>VLOOKUP(ORDERS[[#This Row],[CustomerID]],customers[],2,FALSE)</f>
        <v>The Shirt on Your Back</v>
      </c>
      <c r="J469" s="2" t="str">
        <f>VLOOKUP(ORDERS[[#This Row],[CustomerID]],customers[],4,FALSE)</f>
        <v>Bonners Ferry</v>
      </c>
      <c r="K469" s="2" t="str">
        <f>VLOOKUP(ORDERS[[#This Row],[ProductID]],Products[],3,FALSE)</f>
        <v>Both</v>
      </c>
      <c r="L469" s="2">
        <f>DAY(ORDERS[[#This Row],[OrderDate]])</f>
        <v>27</v>
      </c>
      <c r="M469" s="2">
        <f>YEAR(ORDERS[[#This Row],[OrderDate]])</f>
        <v>2012</v>
      </c>
    </row>
    <row r="470" spans="1:13" x14ac:dyDescent="0.3">
      <c r="A470">
        <v>469</v>
      </c>
      <c r="B470">
        <v>1</v>
      </c>
      <c r="C470">
        <v>6</v>
      </c>
      <c r="D470" s="1">
        <v>41273</v>
      </c>
      <c r="E470">
        <v>95</v>
      </c>
      <c r="F470">
        <f>VLOOKUP(ORDERS[[#This Row],[ProductID]],Products[],4,FALSE)</f>
        <v>28</v>
      </c>
      <c r="G470">
        <v>0</v>
      </c>
      <c r="H470">
        <f>(ORDERS[[#This Row],[UnitsOrdered]]*ORDERS[[#This Row],[unit price]])-(ORDERS[[#This Row],[UnitsOrdered]]*ORDERS[[#This Row],[unit price]]*ORDERS[[#This Row],[Discount]])</f>
        <v>2660</v>
      </c>
      <c r="I470" t="str">
        <f>VLOOKUP(ORDERS[[#This Row],[CustomerID]],customers[],2,FALSE)</f>
        <v>Threads</v>
      </c>
      <c r="J470" s="2" t="str">
        <f>VLOOKUP(ORDERS[[#This Row],[CustomerID]],customers[],4,FALSE)</f>
        <v>Seattle</v>
      </c>
      <c r="K470" s="2" t="str">
        <f>VLOOKUP(ORDERS[[#This Row],[ProductID]],Products[],3,FALSE)</f>
        <v>Female</v>
      </c>
      <c r="L470" s="2">
        <f>DAY(ORDERS[[#This Row],[OrderDate]])</f>
        <v>30</v>
      </c>
      <c r="M470" s="2">
        <f>YEAR(ORDERS[[#This Row],[OrderDate]])</f>
        <v>2012</v>
      </c>
    </row>
    <row r="471" spans="1:13" x14ac:dyDescent="0.3">
      <c r="A471">
        <v>470</v>
      </c>
      <c r="B471">
        <v>3</v>
      </c>
      <c r="C471">
        <v>3</v>
      </c>
      <c r="D471" s="1">
        <v>41273</v>
      </c>
      <c r="E471">
        <v>43</v>
      </c>
      <c r="F471">
        <f>VLOOKUP(ORDERS[[#This Row],[ProductID]],Products[],4,FALSE)</f>
        <v>22</v>
      </c>
      <c r="G471">
        <v>0.10000000100000001</v>
      </c>
      <c r="H471">
        <f>(ORDERS[[#This Row],[UnitsOrdered]]*ORDERS[[#This Row],[unit price]])-(ORDERS[[#This Row],[UnitsOrdered]]*ORDERS[[#This Row],[unit price]]*ORDERS[[#This Row],[Discount]])</f>
        <v>851.39999905399998</v>
      </c>
      <c r="I471" t="str">
        <f>VLOOKUP(ORDERS[[#This Row],[CustomerID]],customers[],2,FALSE)</f>
        <v>Shirts R Us</v>
      </c>
      <c r="J471" s="2" t="str">
        <f>VLOOKUP(ORDERS[[#This Row],[CustomerID]],customers[],4,FALSE)</f>
        <v>Los Angeles</v>
      </c>
      <c r="K471" s="2" t="str">
        <f>VLOOKUP(ORDERS[[#This Row],[ProductID]],Products[],3,FALSE)</f>
        <v>Both</v>
      </c>
      <c r="L471" s="2">
        <f>DAY(ORDERS[[#This Row],[OrderDate]])</f>
        <v>30</v>
      </c>
      <c r="M471" s="2">
        <f>YEAR(ORDERS[[#This Row],[OrderDate]])</f>
        <v>2012</v>
      </c>
    </row>
    <row r="472" spans="1:13" x14ac:dyDescent="0.3">
      <c r="A472">
        <v>471</v>
      </c>
      <c r="B472">
        <v>4</v>
      </c>
      <c r="C472">
        <v>8</v>
      </c>
      <c r="D472" s="1">
        <v>41273</v>
      </c>
      <c r="E472">
        <v>112</v>
      </c>
      <c r="F472">
        <f>VLOOKUP(ORDERS[[#This Row],[ProductID]],Products[],4,FALSE)</f>
        <v>27</v>
      </c>
      <c r="G472">
        <v>0</v>
      </c>
      <c r="H472">
        <f>(ORDERS[[#This Row],[UnitsOrdered]]*ORDERS[[#This Row],[unit price]])-(ORDERS[[#This Row],[UnitsOrdered]]*ORDERS[[#This Row],[unit price]]*ORDERS[[#This Row],[Discount]])</f>
        <v>3024</v>
      </c>
      <c r="I472" t="str">
        <f>VLOOKUP(ORDERS[[#This Row],[CustomerID]],customers[],2,FALSE)</f>
        <v>Tshirt Unlimited</v>
      </c>
      <c r="J472" s="2" t="str">
        <f>VLOOKUP(ORDERS[[#This Row],[CustomerID]],customers[],4,FALSE)</f>
        <v>Phoenix</v>
      </c>
      <c r="K472" s="2" t="str">
        <f>VLOOKUP(ORDERS[[#This Row],[ProductID]],Products[],3,FALSE)</f>
        <v>Female</v>
      </c>
      <c r="L472" s="2">
        <f>DAY(ORDERS[[#This Row],[OrderDate]])</f>
        <v>30</v>
      </c>
      <c r="M472" s="2">
        <f>YEAR(ORDERS[[#This Row],[OrderDate]])</f>
        <v>2012</v>
      </c>
    </row>
    <row r="473" spans="1:13" x14ac:dyDescent="0.3">
      <c r="A473">
        <v>472</v>
      </c>
      <c r="B473">
        <v>7</v>
      </c>
      <c r="C473">
        <v>7</v>
      </c>
      <c r="D473" s="1">
        <v>41273</v>
      </c>
      <c r="E473">
        <v>42</v>
      </c>
      <c r="F473">
        <f>VLOOKUP(ORDERS[[#This Row],[ProductID]],Products[],4,FALSE)</f>
        <v>38</v>
      </c>
      <c r="G473">
        <v>0</v>
      </c>
      <c r="H473">
        <f>(ORDERS[[#This Row],[UnitsOrdered]]*ORDERS[[#This Row],[unit price]])-(ORDERS[[#This Row],[UnitsOrdered]]*ORDERS[[#This Row],[unit price]]*ORDERS[[#This Row],[Discount]])</f>
        <v>1596</v>
      </c>
      <c r="I473" t="str">
        <f>VLOOKUP(ORDERS[[#This Row],[CustomerID]],customers[],2,FALSE)</f>
        <v>The Shirt on Your Back</v>
      </c>
      <c r="J473" s="2" t="str">
        <f>VLOOKUP(ORDERS[[#This Row],[CustomerID]],customers[],4,FALSE)</f>
        <v>Bonners Ferry</v>
      </c>
      <c r="K473" s="2" t="str">
        <f>VLOOKUP(ORDERS[[#This Row],[ProductID]],Products[],3,FALSE)</f>
        <v>Female</v>
      </c>
      <c r="L473" s="2">
        <f>DAY(ORDERS[[#This Row],[OrderDate]])</f>
        <v>30</v>
      </c>
      <c r="M473" s="2">
        <f>YEAR(ORDERS[[#This Row],[OrderDate]])</f>
        <v>2012</v>
      </c>
    </row>
    <row r="474" spans="1:13" x14ac:dyDescent="0.3">
      <c r="A474">
        <v>473</v>
      </c>
      <c r="B474">
        <v>3</v>
      </c>
      <c r="C474">
        <v>3</v>
      </c>
      <c r="D474" s="1">
        <v>41275</v>
      </c>
      <c r="E474">
        <v>87</v>
      </c>
      <c r="F474">
        <f>VLOOKUP(ORDERS[[#This Row],[ProductID]],Products[],4,FALSE)</f>
        <v>22</v>
      </c>
      <c r="G474">
        <v>0</v>
      </c>
      <c r="H474">
        <f>(ORDERS[[#This Row],[UnitsOrdered]]*ORDERS[[#This Row],[unit price]])-(ORDERS[[#This Row],[UnitsOrdered]]*ORDERS[[#This Row],[unit price]]*ORDERS[[#This Row],[Discount]])</f>
        <v>1914</v>
      </c>
      <c r="I474" t="str">
        <f>VLOOKUP(ORDERS[[#This Row],[CustomerID]],customers[],2,FALSE)</f>
        <v>Shirts R Us</v>
      </c>
      <c r="J474" s="2" t="str">
        <f>VLOOKUP(ORDERS[[#This Row],[CustomerID]],customers[],4,FALSE)</f>
        <v>Los Angeles</v>
      </c>
      <c r="K474" s="2" t="str">
        <f>VLOOKUP(ORDERS[[#This Row],[ProductID]],Products[],3,FALSE)</f>
        <v>Both</v>
      </c>
      <c r="L474" s="2">
        <f>DAY(ORDERS[[#This Row],[OrderDate]])</f>
        <v>1</v>
      </c>
      <c r="M474" s="2">
        <f>YEAR(ORDERS[[#This Row],[OrderDate]])</f>
        <v>2013</v>
      </c>
    </row>
    <row r="475" spans="1:13" x14ac:dyDescent="0.3">
      <c r="A475">
        <v>474</v>
      </c>
      <c r="B475">
        <v>2</v>
      </c>
      <c r="C475">
        <v>2</v>
      </c>
      <c r="D475" s="1">
        <v>41276</v>
      </c>
      <c r="E475">
        <v>102</v>
      </c>
      <c r="F475">
        <f>VLOOKUP(ORDERS[[#This Row],[ProductID]],Products[],4,FALSE)</f>
        <v>30</v>
      </c>
      <c r="G475">
        <v>0</v>
      </c>
      <c r="H475">
        <f>(ORDERS[[#This Row],[UnitsOrdered]]*ORDERS[[#This Row],[unit price]])-(ORDERS[[#This Row],[UnitsOrdered]]*ORDERS[[#This Row],[unit price]]*ORDERS[[#This Row],[Discount]])</f>
        <v>3060</v>
      </c>
      <c r="I475" t="str">
        <f>VLOOKUP(ORDERS[[#This Row],[CustomerID]],customers[],2,FALSE)</f>
        <v>A Shirts Life</v>
      </c>
      <c r="J475" s="2" t="str">
        <f>VLOOKUP(ORDERS[[#This Row],[CustomerID]],customers[],4,FALSE)</f>
        <v>Portland</v>
      </c>
      <c r="K475" s="2" t="str">
        <f>VLOOKUP(ORDERS[[#This Row],[ProductID]],Products[],3,FALSE)</f>
        <v>Both</v>
      </c>
      <c r="L475" s="2">
        <f>DAY(ORDERS[[#This Row],[OrderDate]])</f>
        <v>2</v>
      </c>
      <c r="M475" s="2">
        <f>YEAR(ORDERS[[#This Row],[OrderDate]])</f>
        <v>2013</v>
      </c>
    </row>
    <row r="476" spans="1:13" x14ac:dyDescent="0.3">
      <c r="A476">
        <v>475</v>
      </c>
      <c r="B476">
        <v>2</v>
      </c>
      <c r="C476">
        <v>6</v>
      </c>
      <c r="D476" s="1">
        <v>41277</v>
      </c>
      <c r="E476">
        <v>100</v>
      </c>
      <c r="F476">
        <f>VLOOKUP(ORDERS[[#This Row],[ProductID]],Products[],4,FALSE)</f>
        <v>28</v>
      </c>
      <c r="G476">
        <v>0</v>
      </c>
      <c r="H476">
        <f>(ORDERS[[#This Row],[UnitsOrdered]]*ORDERS[[#This Row],[unit price]])-(ORDERS[[#This Row],[UnitsOrdered]]*ORDERS[[#This Row],[unit price]]*ORDERS[[#This Row],[Discount]])</f>
        <v>2800</v>
      </c>
      <c r="I476" t="str">
        <f>VLOOKUP(ORDERS[[#This Row],[CustomerID]],customers[],2,FALSE)</f>
        <v>A Shirts Life</v>
      </c>
      <c r="J476" s="2" t="str">
        <f>VLOOKUP(ORDERS[[#This Row],[CustomerID]],customers[],4,FALSE)</f>
        <v>Portland</v>
      </c>
      <c r="K476" s="2" t="str">
        <f>VLOOKUP(ORDERS[[#This Row],[ProductID]],Products[],3,FALSE)</f>
        <v>Female</v>
      </c>
      <c r="L476" s="2">
        <f>DAY(ORDERS[[#This Row],[OrderDate]])</f>
        <v>3</v>
      </c>
      <c r="M476" s="2">
        <f>YEAR(ORDERS[[#This Row],[OrderDate]])</f>
        <v>2013</v>
      </c>
    </row>
    <row r="477" spans="1:13" x14ac:dyDescent="0.3">
      <c r="A477">
        <v>476</v>
      </c>
      <c r="B477">
        <v>6</v>
      </c>
      <c r="C477">
        <v>5</v>
      </c>
      <c r="D477" s="1">
        <v>41277</v>
      </c>
      <c r="E477">
        <v>27</v>
      </c>
      <c r="F477">
        <f>VLOOKUP(ORDERS[[#This Row],[ProductID]],Products[],4,FALSE)</f>
        <v>16</v>
      </c>
      <c r="G477">
        <v>0</v>
      </c>
      <c r="H477">
        <f>(ORDERS[[#This Row],[UnitsOrdered]]*ORDERS[[#This Row],[unit price]])-(ORDERS[[#This Row],[UnitsOrdered]]*ORDERS[[#This Row],[unit price]]*ORDERS[[#This Row],[Discount]])</f>
        <v>432</v>
      </c>
      <c r="I477" t="str">
        <f>VLOOKUP(ORDERS[[#This Row],[CustomerID]],customers[],2,FALSE)</f>
        <v>Abracadaba Ink</v>
      </c>
      <c r="J477" s="2" t="str">
        <f>VLOOKUP(ORDERS[[#This Row],[CustomerID]],customers[],4,FALSE)</f>
        <v>Salt Lake City</v>
      </c>
      <c r="K477" s="2" t="str">
        <f>VLOOKUP(ORDERS[[#This Row],[ProductID]],Products[],3,FALSE)</f>
        <v>Female</v>
      </c>
      <c r="L477" s="2">
        <f>DAY(ORDERS[[#This Row],[OrderDate]])</f>
        <v>3</v>
      </c>
      <c r="M477" s="2">
        <f>YEAR(ORDERS[[#This Row],[OrderDate]])</f>
        <v>2013</v>
      </c>
    </row>
    <row r="478" spans="1:13" x14ac:dyDescent="0.3">
      <c r="A478">
        <v>477</v>
      </c>
      <c r="B478">
        <v>6</v>
      </c>
      <c r="C478">
        <v>10</v>
      </c>
      <c r="D478" s="1">
        <v>41277</v>
      </c>
      <c r="E478">
        <v>71</v>
      </c>
      <c r="F478">
        <f>VLOOKUP(ORDERS[[#This Row],[ProductID]],Products[],4,FALSE)</f>
        <v>35</v>
      </c>
      <c r="G478">
        <v>0</v>
      </c>
      <c r="H478">
        <f>(ORDERS[[#This Row],[UnitsOrdered]]*ORDERS[[#This Row],[unit price]])-(ORDERS[[#This Row],[UnitsOrdered]]*ORDERS[[#This Row],[unit price]]*ORDERS[[#This Row],[Discount]])</f>
        <v>2485</v>
      </c>
      <c r="I478" t="str">
        <f>VLOOKUP(ORDERS[[#This Row],[CustomerID]],customers[],2,FALSE)</f>
        <v>Abracadaba Ink</v>
      </c>
      <c r="J478" s="2" t="str">
        <f>VLOOKUP(ORDERS[[#This Row],[CustomerID]],customers[],4,FALSE)</f>
        <v>Salt Lake City</v>
      </c>
      <c r="K478" s="2" t="str">
        <f>VLOOKUP(ORDERS[[#This Row],[ProductID]],Products[],3,FALSE)</f>
        <v>Male</v>
      </c>
      <c r="L478" s="2">
        <f>DAY(ORDERS[[#This Row],[OrderDate]])</f>
        <v>3</v>
      </c>
      <c r="M478" s="2">
        <f>YEAR(ORDERS[[#This Row],[OrderDate]])</f>
        <v>2013</v>
      </c>
    </row>
    <row r="479" spans="1:13" x14ac:dyDescent="0.3">
      <c r="A479">
        <v>478</v>
      </c>
      <c r="B479">
        <v>4</v>
      </c>
      <c r="C479">
        <v>1</v>
      </c>
      <c r="D479" s="1">
        <v>41279</v>
      </c>
      <c r="E479">
        <v>66</v>
      </c>
      <c r="F479">
        <f>VLOOKUP(ORDERS[[#This Row],[ProductID]],Products[],4,FALSE)</f>
        <v>20</v>
      </c>
      <c r="G479">
        <v>0.10000000100000001</v>
      </c>
      <c r="H479">
        <f>(ORDERS[[#This Row],[UnitsOrdered]]*ORDERS[[#This Row],[unit price]])-(ORDERS[[#This Row],[UnitsOrdered]]*ORDERS[[#This Row],[unit price]]*ORDERS[[#This Row],[Discount]])</f>
        <v>1187.9999986800001</v>
      </c>
      <c r="I479" t="str">
        <f>VLOOKUP(ORDERS[[#This Row],[CustomerID]],customers[],2,FALSE)</f>
        <v>Tshirt Unlimited</v>
      </c>
      <c r="J479" s="2" t="str">
        <f>VLOOKUP(ORDERS[[#This Row],[CustomerID]],customers[],4,FALSE)</f>
        <v>Phoenix</v>
      </c>
      <c r="K479" s="2" t="str">
        <f>VLOOKUP(ORDERS[[#This Row],[ProductID]],Products[],3,FALSE)</f>
        <v>Both</v>
      </c>
      <c r="L479" s="2">
        <f>DAY(ORDERS[[#This Row],[OrderDate]])</f>
        <v>5</v>
      </c>
      <c r="M479" s="2">
        <f>YEAR(ORDERS[[#This Row],[OrderDate]])</f>
        <v>2013</v>
      </c>
    </row>
    <row r="480" spans="1:13" x14ac:dyDescent="0.3">
      <c r="A480">
        <v>479</v>
      </c>
      <c r="B480">
        <v>2</v>
      </c>
      <c r="C480">
        <v>4</v>
      </c>
      <c r="D480" s="1">
        <v>41280</v>
      </c>
      <c r="E480">
        <v>57</v>
      </c>
      <c r="F480">
        <f>VLOOKUP(ORDERS[[#This Row],[ProductID]],Products[],4,FALSE)</f>
        <v>30</v>
      </c>
      <c r="G480">
        <v>0</v>
      </c>
      <c r="H480">
        <f>(ORDERS[[#This Row],[UnitsOrdered]]*ORDERS[[#This Row],[unit price]])-(ORDERS[[#This Row],[UnitsOrdered]]*ORDERS[[#This Row],[unit price]]*ORDERS[[#This Row],[Discount]])</f>
        <v>1710</v>
      </c>
      <c r="I480" t="str">
        <f>VLOOKUP(ORDERS[[#This Row],[CustomerID]],customers[],2,FALSE)</f>
        <v>A Shirts Life</v>
      </c>
      <c r="J480" s="2" t="str">
        <f>VLOOKUP(ORDERS[[#This Row],[CustomerID]],customers[],4,FALSE)</f>
        <v>Portland</v>
      </c>
      <c r="K480" s="2" t="str">
        <f>VLOOKUP(ORDERS[[#This Row],[ProductID]],Products[],3,FALSE)</f>
        <v>Both</v>
      </c>
      <c r="L480" s="2">
        <f>DAY(ORDERS[[#This Row],[OrderDate]])</f>
        <v>6</v>
      </c>
      <c r="M480" s="2">
        <f>YEAR(ORDERS[[#This Row],[OrderDate]])</f>
        <v>2013</v>
      </c>
    </row>
    <row r="481" spans="1:13" x14ac:dyDescent="0.3">
      <c r="A481">
        <v>480</v>
      </c>
      <c r="B481">
        <v>2</v>
      </c>
      <c r="C481">
        <v>6</v>
      </c>
      <c r="D481" s="1">
        <v>41280</v>
      </c>
      <c r="E481">
        <v>137</v>
      </c>
      <c r="F481">
        <f>VLOOKUP(ORDERS[[#This Row],[ProductID]],Products[],4,FALSE)</f>
        <v>28</v>
      </c>
      <c r="G481">
        <v>0</v>
      </c>
      <c r="H481">
        <f>(ORDERS[[#This Row],[UnitsOrdered]]*ORDERS[[#This Row],[unit price]])-(ORDERS[[#This Row],[UnitsOrdered]]*ORDERS[[#This Row],[unit price]]*ORDERS[[#This Row],[Discount]])</f>
        <v>3836</v>
      </c>
      <c r="I481" t="str">
        <f>VLOOKUP(ORDERS[[#This Row],[CustomerID]],customers[],2,FALSE)</f>
        <v>A Shirts Life</v>
      </c>
      <c r="J481" s="2" t="str">
        <f>VLOOKUP(ORDERS[[#This Row],[CustomerID]],customers[],4,FALSE)</f>
        <v>Portland</v>
      </c>
      <c r="K481" s="2" t="str">
        <f>VLOOKUP(ORDERS[[#This Row],[ProductID]],Products[],3,FALSE)</f>
        <v>Female</v>
      </c>
      <c r="L481" s="2">
        <f>DAY(ORDERS[[#This Row],[OrderDate]])</f>
        <v>6</v>
      </c>
      <c r="M481" s="2">
        <f>YEAR(ORDERS[[#This Row],[OrderDate]])</f>
        <v>2013</v>
      </c>
    </row>
    <row r="482" spans="1:13" x14ac:dyDescent="0.3">
      <c r="A482">
        <v>481</v>
      </c>
      <c r="B482">
        <v>3</v>
      </c>
      <c r="C482">
        <v>4</v>
      </c>
      <c r="D482" s="1">
        <v>41280</v>
      </c>
      <c r="E482">
        <v>150</v>
      </c>
      <c r="F482">
        <f>VLOOKUP(ORDERS[[#This Row],[ProductID]],Products[],4,FALSE)</f>
        <v>30</v>
      </c>
      <c r="G482">
        <v>0</v>
      </c>
      <c r="H482">
        <f>(ORDERS[[#This Row],[UnitsOrdered]]*ORDERS[[#This Row],[unit price]])-(ORDERS[[#This Row],[UnitsOrdered]]*ORDERS[[#This Row],[unit price]]*ORDERS[[#This Row],[Discount]])</f>
        <v>4500</v>
      </c>
      <c r="I482" t="str">
        <f>VLOOKUP(ORDERS[[#This Row],[CustomerID]],customers[],2,FALSE)</f>
        <v>Shirts R Us</v>
      </c>
      <c r="J482" s="2" t="str">
        <f>VLOOKUP(ORDERS[[#This Row],[CustomerID]],customers[],4,FALSE)</f>
        <v>Los Angeles</v>
      </c>
      <c r="K482" s="2" t="str">
        <f>VLOOKUP(ORDERS[[#This Row],[ProductID]],Products[],3,FALSE)</f>
        <v>Both</v>
      </c>
      <c r="L482" s="2">
        <f>DAY(ORDERS[[#This Row],[OrderDate]])</f>
        <v>6</v>
      </c>
      <c r="M482" s="2">
        <f>YEAR(ORDERS[[#This Row],[OrderDate]])</f>
        <v>2013</v>
      </c>
    </row>
    <row r="483" spans="1:13" x14ac:dyDescent="0.3">
      <c r="A483">
        <v>482</v>
      </c>
      <c r="B483">
        <v>2</v>
      </c>
      <c r="C483">
        <v>10</v>
      </c>
      <c r="D483" s="1">
        <v>41282</v>
      </c>
      <c r="E483">
        <v>123</v>
      </c>
      <c r="F483">
        <f>VLOOKUP(ORDERS[[#This Row],[ProductID]],Products[],4,FALSE)</f>
        <v>35</v>
      </c>
      <c r="G483">
        <v>0.15000000599999999</v>
      </c>
      <c r="H483">
        <f>(ORDERS[[#This Row],[UnitsOrdered]]*ORDERS[[#This Row],[unit price]])-(ORDERS[[#This Row],[UnitsOrdered]]*ORDERS[[#This Row],[unit price]]*ORDERS[[#This Row],[Discount]])</f>
        <v>3659.2499741700003</v>
      </c>
      <c r="I483" t="str">
        <f>VLOOKUP(ORDERS[[#This Row],[CustomerID]],customers[],2,FALSE)</f>
        <v>A Shirts Life</v>
      </c>
      <c r="J483" s="2" t="str">
        <f>VLOOKUP(ORDERS[[#This Row],[CustomerID]],customers[],4,FALSE)</f>
        <v>Portland</v>
      </c>
      <c r="K483" s="2" t="str">
        <f>VLOOKUP(ORDERS[[#This Row],[ProductID]],Products[],3,FALSE)</f>
        <v>Male</v>
      </c>
      <c r="L483" s="2">
        <f>DAY(ORDERS[[#This Row],[OrderDate]])</f>
        <v>8</v>
      </c>
      <c r="M483" s="2">
        <f>YEAR(ORDERS[[#This Row],[OrderDate]])</f>
        <v>2013</v>
      </c>
    </row>
    <row r="484" spans="1:13" x14ac:dyDescent="0.3">
      <c r="A484">
        <v>483</v>
      </c>
      <c r="B484">
        <v>7</v>
      </c>
      <c r="C484">
        <v>3</v>
      </c>
      <c r="D484" s="1">
        <v>41282</v>
      </c>
      <c r="E484">
        <v>66</v>
      </c>
      <c r="F484">
        <f>VLOOKUP(ORDERS[[#This Row],[ProductID]],Products[],4,FALSE)</f>
        <v>22</v>
      </c>
      <c r="G484">
        <v>0</v>
      </c>
      <c r="H484">
        <f>(ORDERS[[#This Row],[UnitsOrdered]]*ORDERS[[#This Row],[unit price]])-(ORDERS[[#This Row],[UnitsOrdered]]*ORDERS[[#This Row],[unit price]]*ORDERS[[#This Row],[Discount]])</f>
        <v>1452</v>
      </c>
      <c r="I484" t="str">
        <f>VLOOKUP(ORDERS[[#This Row],[CustomerID]],customers[],2,FALSE)</f>
        <v>The Shirt on Your Back</v>
      </c>
      <c r="J484" s="2" t="str">
        <f>VLOOKUP(ORDERS[[#This Row],[CustomerID]],customers[],4,FALSE)</f>
        <v>Bonners Ferry</v>
      </c>
      <c r="K484" s="2" t="str">
        <f>VLOOKUP(ORDERS[[#This Row],[ProductID]],Products[],3,FALSE)</f>
        <v>Both</v>
      </c>
      <c r="L484" s="2">
        <f>DAY(ORDERS[[#This Row],[OrderDate]])</f>
        <v>8</v>
      </c>
      <c r="M484" s="2">
        <f>YEAR(ORDERS[[#This Row],[OrderDate]])</f>
        <v>2013</v>
      </c>
    </row>
    <row r="485" spans="1:13" x14ac:dyDescent="0.3">
      <c r="A485">
        <v>484</v>
      </c>
      <c r="B485">
        <v>6</v>
      </c>
      <c r="C485">
        <v>6</v>
      </c>
      <c r="D485" s="1">
        <v>41283</v>
      </c>
      <c r="E485">
        <v>81</v>
      </c>
      <c r="F485">
        <f>VLOOKUP(ORDERS[[#This Row],[ProductID]],Products[],4,FALSE)</f>
        <v>28</v>
      </c>
      <c r="G485">
        <v>5.0000001000000002E-2</v>
      </c>
      <c r="H485">
        <f>(ORDERS[[#This Row],[UnitsOrdered]]*ORDERS[[#This Row],[unit price]])-(ORDERS[[#This Row],[UnitsOrdered]]*ORDERS[[#This Row],[unit price]]*ORDERS[[#This Row],[Discount]])</f>
        <v>2154.5999977319998</v>
      </c>
      <c r="I485" t="str">
        <f>VLOOKUP(ORDERS[[#This Row],[CustomerID]],customers[],2,FALSE)</f>
        <v>Abracadaba Ink</v>
      </c>
      <c r="J485" s="2" t="str">
        <f>VLOOKUP(ORDERS[[#This Row],[CustomerID]],customers[],4,FALSE)</f>
        <v>Salt Lake City</v>
      </c>
      <c r="K485" s="2" t="str">
        <f>VLOOKUP(ORDERS[[#This Row],[ProductID]],Products[],3,FALSE)</f>
        <v>Female</v>
      </c>
      <c r="L485" s="2">
        <f>DAY(ORDERS[[#This Row],[OrderDate]])</f>
        <v>9</v>
      </c>
      <c r="M485" s="2">
        <f>YEAR(ORDERS[[#This Row],[OrderDate]])</f>
        <v>2013</v>
      </c>
    </row>
    <row r="486" spans="1:13" x14ac:dyDescent="0.3">
      <c r="A486">
        <v>485</v>
      </c>
      <c r="B486">
        <v>4</v>
      </c>
      <c r="C486">
        <v>5</v>
      </c>
      <c r="D486" s="1">
        <v>41285</v>
      </c>
      <c r="E486">
        <v>77</v>
      </c>
      <c r="F486">
        <f>VLOOKUP(ORDERS[[#This Row],[ProductID]],Products[],4,FALSE)</f>
        <v>16</v>
      </c>
      <c r="G486">
        <v>0</v>
      </c>
      <c r="H486">
        <f>(ORDERS[[#This Row],[UnitsOrdered]]*ORDERS[[#This Row],[unit price]])-(ORDERS[[#This Row],[UnitsOrdered]]*ORDERS[[#This Row],[unit price]]*ORDERS[[#This Row],[Discount]])</f>
        <v>1232</v>
      </c>
      <c r="I486" t="str">
        <f>VLOOKUP(ORDERS[[#This Row],[CustomerID]],customers[],2,FALSE)</f>
        <v>Tshirt Unlimited</v>
      </c>
      <c r="J486" s="2" t="str">
        <f>VLOOKUP(ORDERS[[#This Row],[CustomerID]],customers[],4,FALSE)</f>
        <v>Phoenix</v>
      </c>
      <c r="K486" s="2" t="str">
        <f>VLOOKUP(ORDERS[[#This Row],[ProductID]],Products[],3,FALSE)</f>
        <v>Female</v>
      </c>
      <c r="L486" s="2">
        <f>DAY(ORDERS[[#This Row],[OrderDate]])</f>
        <v>11</v>
      </c>
      <c r="M486" s="2">
        <f>YEAR(ORDERS[[#This Row],[OrderDate]])</f>
        <v>2013</v>
      </c>
    </row>
    <row r="487" spans="1:13" x14ac:dyDescent="0.3">
      <c r="A487">
        <v>486</v>
      </c>
      <c r="B487">
        <v>7</v>
      </c>
      <c r="C487">
        <v>4</v>
      </c>
      <c r="D487" s="1">
        <v>41285</v>
      </c>
      <c r="E487">
        <v>71</v>
      </c>
      <c r="F487">
        <f>VLOOKUP(ORDERS[[#This Row],[ProductID]],Products[],4,FALSE)</f>
        <v>30</v>
      </c>
      <c r="G487">
        <v>0</v>
      </c>
      <c r="H487">
        <f>(ORDERS[[#This Row],[UnitsOrdered]]*ORDERS[[#This Row],[unit price]])-(ORDERS[[#This Row],[UnitsOrdered]]*ORDERS[[#This Row],[unit price]]*ORDERS[[#This Row],[Discount]])</f>
        <v>2130</v>
      </c>
      <c r="I487" t="str">
        <f>VLOOKUP(ORDERS[[#This Row],[CustomerID]],customers[],2,FALSE)</f>
        <v>The Shirt on Your Back</v>
      </c>
      <c r="J487" s="2" t="str">
        <f>VLOOKUP(ORDERS[[#This Row],[CustomerID]],customers[],4,FALSE)</f>
        <v>Bonners Ferry</v>
      </c>
      <c r="K487" s="2" t="str">
        <f>VLOOKUP(ORDERS[[#This Row],[ProductID]],Products[],3,FALSE)</f>
        <v>Both</v>
      </c>
      <c r="L487" s="2">
        <f>DAY(ORDERS[[#This Row],[OrderDate]])</f>
        <v>11</v>
      </c>
      <c r="M487" s="2">
        <f>YEAR(ORDERS[[#This Row],[OrderDate]])</f>
        <v>2013</v>
      </c>
    </row>
    <row r="488" spans="1:13" x14ac:dyDescent="0.3">
      <c r="A488">
        <v>487</v>
      </c>
      <c r="B488">
        <v>5</v>
      </c>
      <c r="C488">
        <v>4</v>
      </c>
      <c r="D488" s="1">
        <v>41286</v>
      </c>
      <c r="E488">
        <v>126</v>
      </c>
      <c r="F488">
        <f>VLOOKUP(ORDERS[[#This Row],[ProductID]],Products[],4,FALSE)</f>
        <v>30</v>
      </c>
      <c r="G488">
        <v>0</v>
      </c>
      <c r="H488">
        <f>(ORDERS[[#This Row],[UnitsOrdered]]*ORDERS[[#This Row],[unit price]])-(ORDERS[[#This Row],[UnitsOrdered]]*ORDERS[[#This Row],[unit price]]*ORDERS[[#This Row],[Discount]])</f>
        <v>3780</v>
      </c>
      <c r="I488" t="str">
        <f>VLOOKUP(ORDERS[[#This Row],[CustomerID]],customers[],2,FALSE)</f>
        <v>Rags to Riches</v>
      </c>
      <c r="J488" s="2" t="str">
        <f>VLOOKUP(ORDERS[[#This Row],[CustomerID]],customers[],4,FALSE)</f>
        <v>Las Vegas</v>
      </c>
      <c r="K488" s="2" t="str">
        <f>VLOOKUP(ORDERS[[#This Row],[ProductID]],Products[],3,FALSE)</f>
        <v>Both</v>
      </c>
      <c r="L488" s="2">
        <f>DAY(ORDERS[[#This Row],[OrderDate]])</f>
        <v>12</v>
      </c>
      <c r="M488" s="2">
        <f>YEAR(ORDERS[[#This Row],[OrderDate]])</f>
        <v>2013</v>
      </c>
    </row>
    <row r="489" spans="1:13" x14ac:dyDescent="0.3">
      <c r="A489">
        <v>488</v>
      </c>
      <c r="B489">
        <v>6</v>
      </c>
      <c r="C489">
        <v>2</v>
      </c>
      <c r="D489" s="1">
        <v>41289</v>
      </c>
      <c r="E489">
        <v>144</v>
      </c>
      <c r="F489">
        <f>VLOOKUP(ORDERS[[#This Row],[ProductID]],Products[],4,FALSE)</f>
        <v>30</v>
      </c>
      <c r="G489">
        <v>0</v>
      </c>
      <c r="H489">
        <f>(ORDERS[[#This Row],[UnitsOrdered]]*ORDERS[[#This Row],[unit price]])-(ORDERS[[#This Row],[UnitsOrdered]]*ORDERS[[#This Row],[unit price]]*ORDERS[[#This Row],[Discount]])</f>
        <v>4320</v>
      </c>
      <c r="I489" t="str">
        <f>VLOOKUP(ORDERS[[#This Row],[CustomerID]],customers[],2,FALSE)</f>
        <v>Abracadaba Ink</v>
      </c>
      <c r="J489" s="2" t="str">
        <f>VLOOKUP(ORDERS[[#This Row],[CustomerID]],customers[],4,FALSE)</f>
        <v>Salt Lake City</v>
      </c>
      <c r="K489" s="2" t="str">
        <f>VLOOKUP(ORDERS[[#This Row],[ProductID]],Products[],3,FALSE)</f>
        <v>Both</v>
      </c>
      <c r="L489" s="2">
        <f>DAY(ORDERS[[#This Row],[OrderDate]])</f>
        <v>15</v>
      </c>
      <c r="M489" s="2">
        <f>YEAR(ORDERS[[#This Row],[OrderDate]])</f>
        <v>2013</v>
      </c>
    </row>
    <row r="490" spans="1:13" x14ac:dyDescent="0.3">
      <c r="A490">
        <v>489</v>
      </c>
      <c r="B490">
        <v>7</v>
      </c>
      <c r="C490">
        <v>5</v>
      </c>
      <c r="D490" s="1">
        <v>41289</v>
      </c>
      <c r="E490">
        <v>44</v>
      </c>
      <c r="F490">
        <f>VLOOKUP(ORDERS[[#This Row],[ProductID]],Products[],4,FALSE)</f>
        <v>16</v>
      </c>
      <c r="G490">
        <v>0</v>
      </c>
      <c r="H490">
        <f>(ORDERS[[#This Row],[UnitsOrdered]]*ORDERS[[#This Row],[unit price]])-(ORDERS[[#This Row],[UnitsOrdered]]*ORDERS[[#This Row],[unit price]]*ORDERS[[#This Row],[Discount]])</f>
        <v>704</v>
      </c>
      <c r="I490" t="str">
        <f>VLOOKUP(ORDERS[[#This Row],[CustomerID]],customers[],2,FALSE)</f>
        <v>The Shirt on Your Back</v>
      </c>
      <c r="J490" s="2" t="str">
        <f>VLOOKUP(ORDERS[[#This Row],[CustomerID]],customers[],4,FALSE)</f>
        <v>Bonners Ferry</v>
      </c>
      <c r="K490" s="2" t="str">
        <f>VLOOKUP(ORDERS[[#This Row],[ProductID]],Products[],3,FALSE)</f>
        <v>Female</v>
      </c>
      <c r="L490" s="2">
        <f>DAY(ORDERS[[#This Row],[OrderDate]])</f>
        <v>15</v>
      </c>
      <c r="M490" s="2">
        <f>YEAR(ORDERS[[#This Row],[OrderDate]])</f>
        <v>2013</v>
      </c>
    </row>
    <row r="491" spans="1:13" x14ac:dyDescent="0.3">
      <c r="A491">
        <v>490</v>
      </c>
      <c r="B491">
        <v>3</v>
      </c>
      <c r="C491">
        <v>4</v>
      </c>
      <c r="D491" s="1">
        <v>41291</v>
      </c>
      <c r="E491">
        <v>102</v>
      </c>
      <c r="F491">
        <f>VLOOKUP(ORDERS[[#This Row],[ProductID]],Products[],4,FALSE)</f>
        <v>30</v>
      </c>
      <c r="G491">
        <v>0</v>
      </c>
      <c r="H491">
        <f>(ORDERS[[#This Row],[UnitsOrdered]]*ORDERS[[#This Row],[unit price]])-(ORDERS[[#This Row],[UnitsOrdered]]*ORDERS[[#This Row],[unit price]]*ORDERS[[#This Row],[Discount]])</f>
        <v>3060</v>
      </c>
      <c r="I491" t="str">
        <f>VLOOKUP(ORDERS[[#This Row],[CustomerID]],customers[],2,FALSE)</f>
        <v>Shirts R Us</v>
      </c>
      <c r="J491" s="2" t="str">
        <f>VLOOKUP(ORDERS[[#This Row],[CustomerID]],customers[],4,FALSE)</f>
        <v>Los Angeles</v>
      </c>
      <c r="K491" s="2" t="str">
        <f>VLOOKUP(ORDERS[[#This Row],[ProductID]],Products[],3,FALSE)</f>
        <v>Both</v>
      </c>
      <c r="L491" s="2">
        <f>DAY(ORDERS[[#This Row],[OrderDate]])</f>
        <v>17</v>
      </c>
      <c r="M491" s="2">
        <f>YEAR(ORDERS[[#This Row],[OrderDate]])</f>
        <v>2013</v>
      </c>
    </row>
    <row r="492" spans="1:13" x14ac:dyDescent="0.3">
      <c r="A492">
        <v>491</v>
      </c>
      <c r="B492">
        <v>5</v>
      </c>
      <c r="C492">
        <v>1</v>
      </c>
      <c r="D492" s="1">
        <v>41291</v>
      </c>
      <c r="E492">
        <v>48</v>
      </c>
      <c r="F492">
        <f>VLOOKUP(ORDERS[[#This Row],[ProductID]],Products[],4,FALSE)</f>
        <v>20</v>
      </c>
      <c r="G492">
        <v>0</v>
      </c>
      <c r="H492">
        <f>(ORDERS[[#This Row],[UnitsOrdered]]*ORDERS[[#This Row],[unit price]])-(ORDERS[[#This Row],[UnitsOrdered]]*ORDERS[[#This Row],[unit price]]*ORDERS[[#This Row],[Discount]])</f>
        <v>960</v>
      </c>
      <c r="I492" t="str">
        <f>VLOOKUP(ORDERS[[#This Row],[CustomerID]],customers[],2,FALSE)</f>
        <v>Rags to Riches</v>
      </c>
      <c r="J492" s="2" t="str">
        <f>VLOOKUP(ORDERS[[#This Row],[CustomerID]],customers[],4,FALSE)</f>
        <v>Las Vegas</v>
      </c>
      <c r="K492" s="2" t="str">
        <f>VLOOKUP(ORDERS[[#This Row],[ProductID]],Products[],3,FALSE)</f>
        <v>Both</v>
      </c>
      <c r="L492" s="2">
        <f>DAY(ORDERS[[#This Row],[OrderDate]])</f>
        <v>17</v>
      </c>
      <c r="M492" s="2">
        <f>YEAR(ORDERS[[#This Row],[OrderDate]])</f>
        <v>2013</v>
      </c>
    </row>
    <row r="493" spans="1:13" x14ac:dyDescent="0.3">
      <c r="A493">
        <v>492</v>
      </c>
      <c r="B493">
        <v>7</v>
      </c>
      <c r="C493">
        <v>10</v>
      </c>
      <c r="D493" s="1">
        <v>41291</v>
      </c>
      <c r="E493">
        <v>56</v>
      </c>
      <c r="F493">
        <f>VLOOKUP(ORDERS[[#This Row],[ProductID]],Products[],4,FALSE)</f>
        <v>35</v>
      </c>
      <c r="G493">
        <v>0</v>
      </c>
      <c r="H493">
        <f>(ORDERS[[#This Row],[UnitsOrdered]]*ORDERS[[#This Row],[unit price]])-(ORDERS[[#This Row],[UnitsOrdered]]*ORDERS[[#This Row],[unit price]]*ORDERS[[#This Row],[Discount]])</f>
        <v>1960</v>
      </c>
      <c r="I493" t="str">
        <f>VLOOKUP(ORDERS[[#This Row],[CustomerID]],customers[],2,FALSE)</f>
        <v>The Shirt on Your Back</v>
      </c>
      <c r="J493" s="2" t="str">
        <f>VLOOKUP(ORDERS[[#This Row],[CustomerID]],customers[],4,FALSE)</f>
        <v>Bonners Ferry</v>
      </c>
      <c r="K493" s="2" t="str">
        <f>VLOOKUP(ORDERS[[#This Row],[ProductID]],Products[],3,FALSE)</f>
        <v>Male</v>
      </c>
      <c r="L493" s="2">
        <f>DAY(ORDERS[[#This Row],[OrderDate]])</f>
        <v>17</v>
      </c>
      <c r="M493" s="2">
        <f>YEAR(ORDERS[[#This Row],[OrderDate]])</f>
        <v>2013</v>
      </c>
    </row>
    <row r="494" spans="1:13" x14ac:dyDescent="0.3">
      <c r="A494">
        <v>493</v>
      </c>
      <c r="B494">
        <v>3</v>
      </c>
      <c r="C494">
        <v>1</v>
      </c>
      <c r="D494" s="1">
        <v>41292</v>
      </c>
      <c r="E494">
        <v>80</v>
      </c>
      <c r="F494">
        <f>VLOOKUP(ORDERS[[#This Row],[ProductID]],Products[],4,FALSE)</f>
        <v>20</v>
      </c>
      <c r="G494">
        <v>5.0000001000000002E-2</v>
      </c>
      <c r="H494">
        <f>(ORDERS[[#This Row],[UnitsOrdered]]*ORDERS[[#This Row],[unit price]])-(ORDERS[[#This Row],[UnitsOrdered]]*ORDERS[[#This Row],[unit price]]*ORDERS[[#This Row],[Discount]])</f>
        <v>1519.9999984000001</v>
      </c>
      <c r="I494" t="str">
        <f>VLOOKUP(ORDERS[[#This Row],[CustomerID]],customers[],2,FALSE)</f>
        <v>Shirts R Us</v>
      </c>
      <c r="J494" s="2" t="str">
        <f>VLOOKUP(ORDERS[[#This Row],[CustomerID]],customers[],4,FALSE)</f>
        <v>Los Angeles</v>
      </c>
      <c r="K494" s="2" t="str">
        <f>VLOOKUP(ORDERS[[#This Row],[ProductID]],Products[],3,FALSE)</f>
        <v>Both</v>
      </c>
      <c r="L494" s="2">
        <f>DAY(ORDERS[[#This Row],[OrderDate]])</f>
        <v>18</v>
      </c>
      <c r="M494" s="2">
        <f>YEAR(ORDERS[[#This Row],[OrderDate]])</f>
        <v>2013</v>
      </c>
    </row>
    <row r="495" spans="1:13" x14ac:dyDescent="0.3">
      <c r="A495">
        <v>494</v>
      </c>
      <c r="B495">
        <v>7</v>
      </c>
      <c r="C495">
        <v>9</v>
      </c>
      <c r="D495" s="1">
        <v>41292</v>
      </c>
      <c r="E495">
        <v>132</v>
      </c>
      <c r="F495">
        <f>VLOOKUP(ORDERS[[#This Row],[ProductID]],Products[],4,FALSE)</f>
        <v>25</v>
      </c>
      <c r="G495">
        <v>5.0000001000000002E-2</v>
      </c>
      <c r="H495">
        <f>(ORDERS[[#This Row],[UnitsOrdered]]*ORDERS[[#This Row],[unit price]])-(ORDERS[[#This Row],[UnitsOrdered]]*ORDERS[[#This Row],[unit price]]*ORDERS[[#This Row],[Discount]])</f>
        <v>3134.9999966999999</v>
      </c>
      <c r="I495" t="str">
        <f>VLOOKUP(ORDERS[[#This Row],[CustomerID]],customers[],2,FALSE)</f>
        <v>The Shirt on Your Back</v>
      </c>
      <c r="J495" s="2" t="str">
        <f>VLOOKUP(ORDERS[[#This Row],[CustomerID]],customers[],4,FALSE)</f>
        <v>Bonners Ferry</v>
      </c>
      <c r="K495" s="2" t="str">
        <f>VLOOKUP(ORDERS[[#This Row],[ProductID]],Products[],3,FALSE)</f>
        <v>Male</v>
      </c>
      <c r="L495" s="2">
        <f>DAY(ORDERS[[#This Row],[OrderDate]])</f>
        <v>18</v>
      </c>
      <c r="M495" s="2">
        <f>YEAR(ORDERS[[#This Row],[OrderDate]])</f>
        <v>2013</v>
      </c>
    </row>
    <row r="496" spans="1:13" x14ac:dyDescent="0.3">
      <c r="A496">
        <v>495</v>
      </c>
      <c r="B496">
        <v>2</v>
      </c>
      <c r="C496">
        <v>9</v>
      </c>
      <c r="D496" s="1">
        <v>41294</v>
      </c>
      <c r="E496">
        <v>115</v>
      </c>
      <c r="F496">
        <f>VLOOKUP(ORDERS[[#This Row],[ProductID]],Products[],4,FALSE)</f>
        <v>25</v>
      </c>
      <c r="G496">
        <v>0.10000000100000001</v>
      </c>
      <c r="H496">
        <f>(ORDERS[[#This Row],[UnitsOrdered]]*ORDERS[[#This Row],[unit price]])-(ORDERS[[#This Row],[UnitsOrdered]]*ORDERS[[#This Row],[unit price]]*ORDERS[[#This Row],[Discount]])</f>
        <v>2587.4999971249999</v>
      </c>
      <c r="I496" t="str">
        <f>VLOOKUP(ORDERS[[#This Row],[CustomerID]],customers[],2,FALSE)</f>
        <v>A Shirts Life</v>
      </c>
      <c r="J496" s="2" t="str">
        <f>VLOOKUP(ORDERS[[#This Row],[CustomerID]],customers[],4,FALSE)</f>
        <v>Portland</v>
      </c>
      <c r="K496" s="2" t="str">
        <f>VLOOKUP(ORDERS[[#This Row],[ProductID]],Products[],3,FALSE)</f>
        <v>Male</v>
      </c>
      <c r="L496" s="2">
        <f>DAY(ORDERS[[#This Row],[OrderDate]])</f>
        <v>20</v>
      </c>
      <c r="M496" s="2">
        <f>YEAR(ORDERS[[#This Row],[OrderDate]])</f>
        <v>2013</v>
      </c>
    </row>
    <row r="497" spans="1:13" x14ac:dyDescent="0.3">
      <c r="A497">
        <v>496</v>
      </c>
      <c r="B497">
        <v>3</v>
      </c>
      <c r="C497">
        <v>4</v>
      </c>
      <c r="D497" s="1">
        <v>41294</v>
      </c>
      <c r="E497">
        <v>87</v>
      </c>
      <c r="F497">
        <f>VLOOKUP(ORDERS[[#This Row],[ProductID]],Products[],4,FALSE)</f>
        <v>30</v>
      </c>
      <c r="G497">
        <v>5.0000001000000002E-2</v>
      </c>
      <c r="H497">
        <f>(ORDERS[[#This Row],[UnitsOrdered]]*ORDERS[[#This Row],[unit price]])-(ORDERS[[#This Row],[UnitsOrdered]]*ORDERS[[#This Row],[unit price]]*ORDERS[[#This Row],[Discount]])</f>
        <v>2479.4999973899999</v>
      </c>
      <c r="I497" t="str">
        <f>VLOOKUP(ORDERS[[#This Row],[CustomerID]],customers[],2,FALSE)</f>
        <v>Shirts R Us</v>
      </c>
      <c r="J497" s="2" t="str">
        <f>VLOOKUP(ORDERS[[#This Row],[CustomerID]],customers[],4,FALSE)</f>
        <v>Los Angeles</v>
      </c>
      <c r="K497" s="2" t="str">
        <f>VLOOKUP(ORDERS[[#This Row],[ProductID]],Products[],3,FALSE)</f>
        <v>Both</v>
      </c>
      <c r="L497" s="2">
        <f>DAY(ORDERS[[#This Row],[OrderDate]])</f>
        <v>20</v>
      </c>
      <c r="M497" s="2">
        <f>YEAR(ORDERS[[#This Row],[OrderDate]])</f>
        <v>2013</v>
      </c>
    </row>
    <row r="498" spans="1:13" x14ac:dyDescent="0.3">
      <c r="A498">
        <v>497</v>
      </c>
      <c r="B498">
        <v>4</v>
      </c>
      <c r="C498">
        <v>5</v>
      </c>
      <c r="D498" s="1">
        <v>41294</v>
      </c>
      <c r="E498">
        <v>26</v>
      </c>
      <c r="F498">
        <f>VLOOKUP(ORDERS[[#This Row],[ProductID]],Products[],4,FALSE)</f>
        <v>16</v>
      </c>
      <c r="G498">
        <v>0</v>
      </c>
      <c r="H498">
        <f>(ORDERS[[#This Row],[UnitsOrdered]]*ORDERS[[#This Row],[unit price]])-(ORDERS[[#This Row],[UnitsOrdered]]*ORDERS[[#This Row],[unit price]]*ORDERS[[#This Row],[Discount]])</f>
        <v>416</v>
      </c>
      <c r="I498" t="str">
        <f>VLOOKUP(ORDERS[[#This Row],[CustomerID]],customers[],2,FALSE)</f>
        <v>Tshirt Unlimited</v>
      </c>
      <c r="J498" s="2" t="str">
        <f>VLOOKUP(ORDERS[[#This Row],[CustomerID]],customers[],4,FALSE)</f>
        <v>Phoenix</v>
      </c>
      <c r="K498" s="2" t="str">
        <f>VLOOKUP(ORDERS[[#This Row],[ProductID]],Products[],3,FALSE)</f>
        <v>Female</v>
      </c>
      <c r="L498" s="2">
        <f>DAY(ORDERS[[#This Row],[OrderDate]])</f>
        <v>20</v>
      </c>
      <c r="M498" s="2">
        <f>YEAR(ORDERS[[#This Row],[OrderDate]])</f>
        <v>2013</v>
      </c>
    </row>
    <row r="499" spans="1:13" x14ac:dyDescent="0.3">
      <c r="A499">
        <v>498</v>
      </c>
      <c r="B499">
        <v>7</v>
      </c>
      <c r="C499">
        <v>1</v>
      </c>
      <c r="D499" s="1">
        <v>41294</v>
      </c>
      <c r="E499">
        <v>76</v>
      </c>
      <c r="F499">
        <f>VLOOKUP(ORDERS[[#This Row],[ProductID]],Products[],4,FALSE)</f>
        <v>20</v>
      </c>
      <c r="G499">
        <v>0</v>
      </c>
      <c r="H499">
        <f>(ORDERS[[#This Row],[UnitsOrdered]]*ORDERS[[#This Row],[unit price]])-(ORDERS[[#This Row],[UnitsOrdered]]*ORDERS[[#This Row],[unit price]]*ORDERS[[#This Row],[Discount]])</f>
        <v>1520</v>
      </c>
      <c r="I499" t="str">
        <f>VLOOKUP(ORDERS[[#This Row],[CustomerID]],customers[],2,FALSE)</f>
        <v>The Shirt on Your Back</v>
      </c>
      <c r="J499" s="2" t="str">
        <f>VLOOKUP(ORDERS[[#This Row],[CustomerID]],customers[],4,FALSE)</f>
        <v>Bonners Ferry</v>
      </c>
      <c r="K499" s="2" t="str">
        <f>VLOOKUP(ORDERS[[#This Row],[ProductID]],Products[],3,FALSE)</f>
        <v>Both</v>
      </c>
      <c r="L499" s="2">
        <f>DAY(ORDERS[[#This Row],[OrderDate]])</f>
        <v>20</v>
      </c>
      <c r="M499" s="2">
        <f>YEAR(ORDERS[[#This Row],[OrderDate]])</f>
        <v>2013</v>
      </c>
    </row>
    <row r="500" spans="1:13" x14ac:dyDescent="0.3">
      <c r="A500">
        <v>499</v>
      </c>
      <c r="B500">
        <v>7</v>
      </c>
      <c r="C500">
        <v>5</v>
      </c>
      <c r="D500" s="1">
        <v>41294</v>
      </c>
      <c r="E500">
        <v>43</v>
      </c>
      <c r="F500">
        <f>VLOOKUP(ORDERS[[#This Row],[ProductID]],Products[],4,FALSE)</f>
        <v>16</v>
      </c>
      <c r="G500">
        <v>0</v>
      </c>
      <c r="H500">
        <f>(ORDERS[[#This Row],[UnitsOrdered]]*ORDERS[[#This Row],[unit price]])-(ORDERS[[#This Row],[UnitsOrdered]]*ORDERS[[#This Row],[unit price]]*ORDERS[[#This Row],[Discount]])</f>
        <v>688</v>
      </c>
      <c r="I500" t="str">
        <f>VLOOKUP(ORDERS[[#This Row],[CustomerID]],customers[],2,FALSE)</f>
        <v>The Shirt on Your Back</v>
      </c>
      <c r="J500" s="2" t="str">
        <f>VLOOKUP(ORDERS[[#This Row],[CustomerID]],customers[],4,FALSE)</f>
        <v>Bonners Ferry</v>
      </c>
      <c r="K500" s="2" t="str">
        <f>VLOOKUP(ORDERS[[#This Row],[ProductID]],Products[],3,FALSE)</f>
        <v>Female</v>
      </c>
      <c r="L500" s="2">
        <f>DAY(ORDERS[[#This Row],[OrderDate]])</f>
        <v>20</v>
      </c>
      <c r="M500" s="2">
        <f>YEAR(ORDERS[[#This Row],[OrderDate]])</f>
        <v>2013</v>
      </c>
    </row>
    <row r="501" spans="1:13" x14ac:dyDescent="0.3">
      <c r="A501">
        <v>500</v>
      </c>
      <c r="B501">
        <v>2</v>
      </c>
      <c r="C501">
        <v>1</v>
      </c>
      <c r="D501" s="1">
        <v>41295</v>
      </c>
      <c r="E501">
        <v>30</v>
      </c>
      <c r="F501">
        <f>VLOOKUP(ORDERS[[#This Row],[ProductID]],Products[],4,FALSE)</f>
        <v>20</v>
      </c>
      <c r="G501">
        <v>0</v>
      </c>
      <c r="H501">
        <f>(ORDERS[[#This Row],[UnitsOrdered]]*ORDERS[[#This Row],[unit price]])-(ORDERS[[#This Row],[UnitsOrdered]]*ORDERS[[#This Row],[unit price]]*ORDERS[[#This Row],[Discount]])</f>
        <v>600</v>
      </c>
      <c r="I501" t="str">
        <f>VLOOKUP(ORDERS[[#This Row],[CustomerID]],customers[],2,FALSE)</f>
        <v>A Shirts Life</v>
      </c>
      <c r="J501" s="2" t="str">
        <f>VLOOKUP(ORDERS[[#This Row],[CustomerID]],customers[],4,FALSE)</f>
        <v>Portland</v>
      </c>
      <c r="K501" s="2" t="str">
        <f>VLOOKUP(ORDERS[[#This Row],[ProductID]],Products[],3,FALSE)</f>
        <v>Both</v>
      </c>
      <c r="L501" s="2">
        <f>DAY(ORDERS[[#This Row],[OrderDate]])</f>
        <v>21</v>
      </c>
      <c r="M501" s="2">
        <f>YEAR(ORDERS[[#This Row],[OrderDate]])</f>
        <v>2013</v>
      </c>
    </row>
    <row r="502" spans="1:13" x14ac:dyDescent="0.3">
      <c r="A502">
        <v>501</v>
      </c>
      <c r="B502">
        <v>2</v>
      </c>
      <c r="C502">
        <v>6</v>
      </c>
      <c r="D502" s="1">
        <v>41295</v>
      </c>
      <c r="E502">
        <v>50</v>
      </c>
      <c r="F502">
        <f>VLOOKUP(ORDERS[[#This Row],[ProductID]],Products[],4,FALSE)</f>
        <v>28</v>
      </c>
      <c r="G502">
        <v>0</v>
      </c>
      <c r="H502">
        <f>(ORDERS[[#This Row],[UnitsOrdered]]*ORDERS[[#This Row],[unit price]])-(ORDERS[[#This Row],[UnitsOrdered]]*ORDERS[[#This Row],[unit price]]*ORDERS[[#This Row],[Discount]])</f>
        <v>1400</v>
      </c>
      <c r="I502" t="str">
        <f>VLOOKUP(ORDERS[[#This Row],[CustomerID]],customers[],2,FALSE)</f>
        <v>A Shirts Life</v>
      </c>
      <c r="J502" s="2" t="str">
        <f>VLOOKUP(ORDERS[[#This Row],[CustomerID]],customers[],4,FALSE)</f>
        <v>Portland</v>
      </c>
      <c r="K502" s="2" t="str">
        <f>VLOOKUP(ORDERS[[#This Row],[ProductID]],Products[],3,FALSE)</f>
        <v>Female</v>
      </c>
      <c r="L502" s="2">
        <f>DAY(ORDERS[[#This Row],[OrderDate]])</f>
        <v>21</v>
      </c>
      <c r="M502" s="2">
        <f>YEAR(ORDERS[[#This Row],[OrderDate]])</f>
        <v>2013</v>
      </c>
    </row>
    <row r="503" spans="1:13" x14ac:dyDescent="0.3">
      <c r="A503">
        <v>502</v>
      </c>
      <c r="B503">
        <v>4</v>
      </c>
      <c r="C503">
        <v>3</v>
      </c>
      <c r="D503" s="1">
        <v>41296</v>
      </c>
      <c r="E503">
        <v>138</v>
      </c>
      <c r="F503">
        <f>VLOOKUP(ORDERS[[#This Row],[ProductID]],Products[],4,FALSE)</f>
        <v>22</v>
      </c>
      <c r="G503">
        <v>0</v>
      </c>
      <c r="H503">
        <f>(ORDERS[[#This Row],[UnitsOrdered]]*ORDERS[[#This Row],[unit price]])-(ORDERS[[#This Row],[UnitsOrdered]]*ORDERS[[#This Row],[unit price]]*ORDERS[[#This Row],[Discount]])</f>
        <v>3036</v>
      </c>
      <c r="I503" t="str">
        <f>VLOOKUP(ORDERS[[#This Row],[CustomerID]],customers[],2,FALSE)</f>
        <v>Tshirt Unlimited</v>
      </c>
      <c r="J503" s="2" t="str">
        <f>VLOOKUP(ORDERS[[#This Row],[CustomerID]],customers[],4,FALSE)</f>
        <v>Phoenix</v>
      </c>
      <c r="K503" s="2" t="str">
        <f>VLOOKUP(ORDERS[[#This Row],[ProductID]],Products[],3,FALSE)</f>
        <v>Both</v>
      </c>
      <c r="L503" s="2">
        <f>DAY(ORDERS[[#This Row],[OrderDate]])</f>
        <v>22</v>
      </c>
      <c r="M503" s="2">
        <f>YEAR(ORDERS[[#This Row],[OrderDate]])</f>
        <v>2013</v>
      </c>
    </row>
    <row r="504" spans="1:13" x14ac:dyDescent="0.3">
      <c r="A504">
        <v>503</v>
      </c>
      <c r="B504">
        <v>1</v>
      </c>
      <c r="C504">
        <v>6</v>
      </c>
      <c r="D504" s="1">
        <v>41297</v>
      </c>
      <c r="E504">
        <v>110</v>
      </c>
      <c r="F504">
        <f>VLOOKUP(ORDERS[[#This Row],[ProductID]],Products[],4,FALSE)</f>
        <v>28</v>
      </c>
      <c r="G504">
        <v>5.0000001000000002E-2</v>
      </c>
      <c r="H504">
        <f>(ORDERS[[#This Row],[UnitsOrdered]]*ORDERS[[#This Row],[unit price]])-(ORDERS[[#This Row],[UnitsOrdered]]*ORDERS[[#This Row],[unit price]]*ORDERS[[#This Row],[Discount]])</f>
        <v>2925.9999969199998</v>
      </c>
      <c r="I504" t="str">
        <f>VLOOKUP(ORDERS[[#This Row],[CustomerID]],customers[],2,FALSE)</f>
        <v>Threads</v>
      </c>
      <c r="J504" s="2" t="str">
        <f>VLOOKUP(ORDERS[[#This Row],[CustomerID]],customers[],4,FALSE)</f>
        <v>Seattle</v>
      </c>
      <c r="K504" s="2" t="str">
        <f>VLOOKUP(ORDERS[[#This Row],[ProductID]],Products[],3,FALSE)</f>
        <v>Female</v>
      </c>
      <c r="L504" s="2">
        <f>DAY(ORDERS[[#This Row],[OrderDate]])</f>
        <v>23</v>
      </c>
      <c r="M504" s="2">
        <f>YEAR(ORDERS[[#This Row],[OrderDate]])</f>
        <v>2013</v>
      </c>
    </row>
    <row r="505" spans="1:13" x14ac:dyDescent="0.3">
      <c r="A505">
        <v>504</v>
      </c>
      <c r="B505">
        <v>3</v>
      </c>
      <c r="C505">
        <v>1</v>
      </c>
      <c r="D505" s="1">
        <v>41297</v>
      </c>
      <c r="E505">
        <v>105</v>
      </c>
      <c r="F505">
        <f>VLOOKUP(ORDERS[[#This Row],[ProductID]],Products[],4,FALSE)</f>
        <v>20</v>
      </c>
      <c r="G505">
        <v>0</v>
      </c>
      <c r="H505">
        <f>(ORDERS[[#This Row],[UnitsOrdered]]*ORDERS[[#This Row],[unit price]])-(ORDERS[[#This Row],[UnitsOrdered]]*ORDERS[[#This Row],[unit price]]*ORDERS[[#This Row],[Discount]])</f>
        <v>2100</v>
      </c>
      <c r="I505" t="str">
        <f>VLOOKUP(ORDERS[[#This Row],[CustomerID]],customers[],2,FALSE)</f>
        <v>Shirts R Us</v>
      </c>
      <c r="J505" s="2" t="str">
        <f>VLOOKUP(ORDERS[[#This Row],[CustomerID]],customers[],4,FALSE)</f>
        <v>Los Angeles</v>
      </c>
      <c r="K505" s="2" t="str">
        <f>VLOOKUP(ORDERS[[#This Row],[ProductID]],Products[],3,FALSE)</f>
        <v>Both</v>
      </c>
      <c r="L505" s="2">
        <f>DAY(ORDERS[[#This Row],[OrderDate]])</f>
        <v>23</v>
      </c>
      <c r="M505" s="2">
        <f>YEAR(ORDERS[[#This Row],[OrderDate]])</f>
        <v>2013</v>
      </c>
    </row>
    <row r="506" spans="1:13" x14ac:dyDescent="0.3">
      <c r="A506">
        <v>505</v>
      </c>
      <c r="B506">
        <v>1</v>
      </c>
      <c r="C506">
        <v>9</v>
      </c>
      <c r="D506" s="1">
        <v>41299</v>
      </c>
      <c r="E506">
        <v>97</v>
      </c>
      <c r="F506">
        <f>VLOOKUP(ORDERS[[#This Row],[ProductID]],Products[],4,FALSE)</f>
        <v>25</v>
      </c>
      <c r="G506">
        <v>0</v>
      </c>
      <c r="H506">
        <f>(ORDERS[[#This Row],[UnitsOrdered]]*ORDERS[[#This Row],[unit price]])-(ORDERS[[#This Row],[UnitsOrdered]]*ORDERS[[#This Row],[unit price]]*ORDERS[[#This Row],[Discount]])</f>
        <v>2425</v>
      </c>
      <c r="I506" t="str">
        <f>VLOOKUP(ORDERS[[#This Row],[CustomerID]],customers[],2,FALSE)</f>
        <v>Threads</v>
      </c>
      <c r="J506" s="2" t="str">
        <f>VLOOKUP(ORDERS[[#This Row],[CustomerID]],customers[],4,FALSE)</f>
        <v>Seattle</v>
      </c>
      <c r="K506" s="2" t="str">
        <f>VLOOKUP(ORDERS[[#This Row],[ProductID]],Products[],3,FALSE)</f>
        <v>Male</v>
      </c>
      <c r="L506" s="2">
        <f>DAY(ORDERS[[#This Row],[OrderDate]])</f>
        <v>25</v>
      </c>
      <c r="M506" s="2">
        <f>YEAR(ORDERS[[#This Row],[OrderDate]])</f>
        <v>2013</v>
      </c>
    </row>
    <row r="507" spans="1:13" x14ac:dyDescent="0.3">
      <c r="A507">
        <v>506</v>
      </c>
      <c r="B507">
        <v>2</v>
      </c>
      <c r="C507">
        <v>6</v>
      </c>
      <c r="D507" s="1">
        <v>41299</v>
      </c>
      <c r="E507">
        <v>52</v>
      </c>
      <c r="F507">
        <f>VLOOKUP(ORDERS[[#This Row],[ProductID]],Products[],4,FALSE)</f>
        <v>28</v>
      </c>
      <c r="G507">
        <v>0.10000000100000001</v>
      </c>
      <c r="H507">
        <f>(ORDERS[[#This Row],[UnitsOrdered]]*ORDERS[[#This Row],[unit price]])-(ORDERS[[#This Row],[UnitsOrdered]]*ORDERS[[#This Row],[unit price]]*ORDERS[[#This Row],[Discount]])</f>
        <v>1310.399998544</v>
      </c>
      <c r="I507" t="str">
        <f>VLOOKUP(ORDERS[[#This Row],[CustomerID]],customers[],2,FALSE)</f>
        <v>A Shirts Life</v>
      </c>
      <c r="J507" s="2" t="str">
        <f>VLOOKUP(ORDERS[[#This Row],[CustomerID]],customers[],4,FALSE)</f>
        <v>Portland</v>
      </c>
      <c r="K507" s="2" t="str">
        <f>VLOOKUP(ORDERS[[#This Row],[ProductID]],Products[],3,FALSE)</f>
        <v>Female</v>
      </c>
      <c r="L507" s="2">
        <f>DAY(ORDERS[[#This Row],[OrderDate]])</f>
        <v>25</v>
      </c>
      <c r="M507" s="2">
        <f>YEAR(ORDERS[[#This Row],[OrderDate]])</f>
        <v>2013</v>
      </c>
    </row>
    <row r="508" spans="1:13" x14ac:dyDescent="0.3">
      <c r="A508">
        <v>507</v>
      </c>
      <c r="B508">
        <v>3</v>
      </c>
      <c r="C508">
        <v>1</v>
      </c>
      <c r="D508" s="1">
        <v>41299</v>
      </c>
      <c r="E508">
        <v>55</v>
      </c>
      <c r="F508">
        <f>VLOOKUP(ORDERS[[#This Row],[ProductID]],Products[],4,FALSE)</f>
        <v>20</v>
      </c>
      <c r="G508">
        <v>0</v>
      </c>
      <c r="H508">
        <f>(ORDERS[[#This Row],[UnitsOrdered]]*ORDERS[[#This Row],[unit price]])-(ORDERS[[#This Row],[UnitsOrdered]]*ORDERS[[#This Row],[unit price]]*ORDERS[[#This Row],[Discount]])</f>
        <v>1100</v>
      </c>
      <c r="I508" t="str">
        <f>VLOOKUP(ORDERS[[#This Row],[CustomerID]],customers[],2,FALSE)</f>
        <v>Shirts R Us</v>
      </c>
      <c r="J508" s="2" t="str">
        <f>VLOOKUP(ORDERS[[#This Row],[CustomerID]],customers[],4,FALSE)</f>
        <v>Los Angeles</v>
      </c>
      <c r="K508" s="2" t="str">
        <f>VLOOKUP(ORDERS[[#This Row],[ProductID]],Products[],3,FALSE)</f>
        <v>Both</v>
      </c>
      <c r="L508" s="2">
        <f>DAY(ORDERS[[#This Row],[OrderDate]])</f>
        <v>25</v>
      </c>
      <c r="M508" s="2">
        <f>YEAR(ORDERS[[#This Row],[OrderDate]])</f>
        <v>2013</v>
      </c>
    </row>
    <row r="509" spans="1:13" x14ac:dyDescent="0.3">
      <c r="A509">
        <v>508</v>
      </c>
      <c r="B509">
        <v>2</v>
      </c>
      <c r="C509">
        <v>2</v>
      </c>
      <c r="D509" s="1">
        <v>41300</v>
      </c>
      <c r="E509">
        <v>65</v>
      </c>
      <c r="F509">
        <f>VLOOKUP(ORDERS[[#This Row],[ProductID]],Products[],4,FALSE)</f>
        <v>30</v>
      </c>
      <c r="G509">
        <v>0</v>
      </c>
      <c r="H509">
        <f>(ORDERS[[#This Row],[UnitsOrdered]]*ORDERS[[#This Row],[unit price]])-(ORDERS[[#This Row],[UnitsOrdered]]*ORDERS[[#This Row],[unit price]]*ORDERS[[#This Row],[Discount]])</f>
        <v>1950</v>
      </c>
      <c r="I509" t="str">
        <f>VLOOKUP(ORDERS[[#This Row],[CustomerID]],customers[],2,FALSE)</f>
        <v>A Shirts Life</v>
      </c>
      <c r="J509" s="2" t="str">
        <f>VLOOKUP(ORDERS[[#This Row],[CustomerID]],customers[],4,FALSE)</f>
        <v>Portland</v>
      </c>
      <c r="K509" s="2" t="str">
        <f>VLOOKUP(ORDERS[[#This Row],[ProductID]],Products[],3,FALSE)</f>
        <v>Both</v>
      </c>
      <c r="L509" s="2">
        <f>DAY(ORDERS[[#This Row],[OrderDate]])</f>
        <v>26</v>
      </c>
      <c r="M509" s="2">
        <f>YEAR(ORDERS[[#This Row],[OrderDate]])</f>
        <v>2013</v>
      </c>
    </row>
    <row r="510" spans="1:13" x14ac:dyDescent="0.3">
      <c r="A510">
        <v>509</v>
      </c>
      <c r="B510">
        <v>5</v>
      </c>
      <c r="C510">
        <v>3</v>
      </c>
      <c r="D510" s="1">
        <v>41301</v>
      </c>
      <c r="E510">
        <v>114</v>
      </c>
      <c r="F510">
        <f>VLOOKUP(ORDERS[[#This Row],[ProductID]],Products[],4,FALSE)</f>
        <v>22</v>
      </c>
      <c r="G510">
        <v>0</v>
      </c>
      <c r="H510">
        <f>(ORDERS[[#This Row],[UnitsOrdered]]*ORDERS[[#This Row],[unit price]])-(ORDERS[[#This Row],[UnitsOrdered]]*ORDERS[[#This Row],[unit price]]*ORDERS[[#This Row],[Discount]])</f>
        <v>2508</v>
      </c>
      <c r="I510" t="str">
        <f>VLOOKUP(ORDERS[[#This Row],[CustomerID]],customers[],2,FALSE)</f>
        <v>Rags to Riches</v>
      </c>
      <c r="J510" s="2" t="str">
        <f>VLOOKUP(ORDERS[[#This Row],[CustomerID]],customers[],4,FALSE)</f>
        <v>Las Vegas</v>
      </c>
      <c r="K510" s="2" t="str">
        <f>VLOOKUP(ORDERS[[#This Row],[ProductID]],Products[],3,FALSE)</f>
        <v>Both</v>
      </c>
      <c r="L510" s="2">
        <f>DAY(ORDERS[[#This Row],[OrderDate]])</f>
        <v>27</v>
      </c>
      <c r="M510" s="2">
        <f>YEAR(ORDERS[[#This Row],[OrderDate]])</f>
        <v>2013</v>
      </c>
    </row>
    <row r="511" spans="1:13" x14ac:dyDescent="0.3">
      <c r="A511">
        <v>510</v>
      </c>
      <c r="B511">
        <v>1</v>
      </c>
      <c r="C511">
        <v>9</v>
      </c>
      <c r="D511" s="1">
        <v>41302</v>
      </c>
      <c r="E511">
        <v>79</v>
      </c>
      <c r="F511">
        <f>VLOOKUP(ORDERS[[#This Row],[ProductID]],Products[],4,FALSE)</f>
        <v>25</v>
      </c>
      <c r="G511">
        <v>0</v>
      </c>
      <c r="H511">
        <f>(ORDERS[[#This Row],[UnitsOrdered]]*ORDERS[[#This Row],[unit price]])-(ORDERS[[#This Row],[UnitsOrdered]]*ORDERS[[#This Row],[unit price]]*ORDERS[[#This Row],[Discount]])</f>
        <v>1975</v>
      </c>
      <c r="I511" t="str">
        <f>VLOOKUP(ORDERS[[#This Row],[CustomerID]],customers[],2,FALSE)</f>
        <v>Threads</v>
      </c>
      <c r="J511" s="2" t="str">
        <f>VLOOKUP(ORDERS[[#This Row],[CustomerID]],customers[],4,FALSE)</f>
        <v>Seattle</v>
      </c>
      <c r="K511" s="2" t="str">
        <f>VLOOKUP(ORDERS[[#This Row],[ProductID]],Products[],3,FALSE)</f>
        <v>Male</v>
      </c>
      <c r="L511" s="2">
        <f>DAY(ORDERS[[#This Row],[OrderDate]])</f>
        <v>28</v>
      </c>
      <c r="M511" s="2">
        <f>YEAR(ORDERS[[#This Row],[OrderDate]])</f>
        <v>2013</v>
      </c>
    </row>
    <row r="512" spans="1:13" x14ac:dyDescent="0.3">
      <c r="A512">
        <v>511</v>
      </c>
      <c r="B512">
        <v>4</v>
      </c>
      <c r="C512">
        <v>4</v>
      </c>
      <c r="D512" s="1">
        <v>41302</v>
      </c>
      <c r="E512">
        <v>143</v>
      </c>
      <c r="F512">
        <f>VLOOKUP(ORDERS[[#This Row],[ProductID]],Products[],4,FALSE)</f>
        <v>30</v>
      </c>
      <c r="G512">
        <v>0</v>
      </c>
      <c r="H512">
        <f>(ORDERS[[#This Row],[UnitsOrdered]]*ORDERS[[#This Row],[unit price]])-(ORDERS[[#This Row],[UnitsOrdered]]*ORDERS[[#This Row],[unit price]]*ORDERS[[#This Row],[Discount]])</f>
        <v>4290</v>
      </c>
      <c r="I512" t="str">
        <f>VLOOKUP(ORDERS[[#This Row],[CustomerID]],customers[],2,FALSE)</f>
        <v>Tshirt Unlimited</v>
      </c>
      <c r="J512" s="2" t="str">
        <f>VLOOKUP(ORDERS[[#This Row],[CustomerID]],customers[],4,FALSE)</f>
        <v>Phoenix</v>
      </c>
      <c r="K512" s="2" t="str">
        <f>VLOOKUP(ORDERS[[#This Row],[ProductID]],Products[],3,FALSE)</f>
        <v>Both</v>
      </c>
      <c r="L512" s="2">
        <f>DAY(ORDERS[[#This Row],[OrderDate]])</f>
        <v>28</v>
      </c>
      <c r="M512" s="2">
        <f>YEAR(ORDERS[[#This Row],[OrderDate]])</f>
        <v>2013</v>
      </c>
    </row>
    <row r="513" spans="1:13" x14ac:dyDescent="0.3">
      <c r="A513">
        <v>512</v>
      </c>
      <c r="B513">
        <v>5</v>
      </c>
      <c r="C513">
        <v>10</v>
      </c>
      <c r="D513" s="1">
        <v>41302</v>
      </c>
      <c r="E513">
        <v>46</v>
      </c>
      <c r="F513">
        <f>VLOOKUP(ORDERS[[#This Row],[ProductID]],Products[],4,FALSE)</f>
        <v>35</v>
      </c>
      <c r="G513">
        <v>0</v>
      </c>
      <c r="H513">
        <f>(ORDERS[[#This Row],[UnitsOrdered]]*ORDERS[[#This Row],[unit price]])-(ORDERS[[#This Row],[UnitsOrdered]]*ORDERS[[#This Row],[unit price]]*ORDERS[[#This Row],[Discount]])</f>
        <v>1610</v>
      </c>
      <c r="I513" t="str">
        <f>VLOOKUP(ORDERS[[#This Row],[CustomerID]],customers[],2,FALSE)</f>
        <v>Rags to Riches</v>
      </c>
      <c r="J513" s="2" t="str">
        <f>VLOOKUP(ORDERS[[#This Row],[CustomerID]],customers[],4,FALSE)</f>
        <v>Las Vegas</v>
      </c>
      <c r="K513" s="2" t="str">
        <f>VLOOKUP(ORDERS[[#This Row],[ProductID]],Products[],3,FALSE)</f>
        <v>Male</v>
      </c>
      <c r="L513" s="2">
        <f>DAY(ORDERS[[#This Row],[OrderDate]])</f>
        <v>28</v>
      </c>
      <c r="M513" s="2">
        <f>YEAR(ORDERS[[#This Row],[OrderDate]])</f>
        <v>2013</v>
      </c>
    </row>
    <row r="514" spans="1:13" x14ac:dyDescent="0.3">
      <c r="A514">
        <v>513</v>
      </c>
      <c r="B514">
        <v>1</v>
      </c>
      <c r="C514">
        <v>10</v>
      </c>
      <c r="D514" s="1">
        <v>41303</v>
      </c>
      <c r="E514">
        <v>43</v>
      </c>
      <c r="F514">
        <f>VLOOKUP(ORDERS[[#This Row],[ProductID]],Products[],4,FALSE)</f>
        <v>35</v>
      </c>
      <c r="G514">
        <v>0</v>
      </c>
      <c r="H514">
        <f>(ORDERS[[#This Row],[UnitsOrdered]]*ORDERS[[#This Row],[unit price]])-(ORDERS[[#This Row],[UnitsOrdered]]*ORDERS[[#This Row],[unit price]]*ORDERS[[#This Row],[Discount]])</f>
        <v>1505</v>
      </c>
      <c r="I514" t="str">
        <f>VLOOKUP(ORDERS[[#This Row],[CustomerID]],customers[],2,FALSE)</f>
        <v>Threads</v>
      </c>
      <c r="J514" s="2" t="str">
        <f>VLOOKUP(ORDERS[[#This Row],[CustomerID]],customers[],4,FALSE)</f>
        <v>Seattle</v>
      </c>
      <c r="K514" s="2" t="str">
        <f>VLOOKUP(ORDERS[[#This Row],[ProductID]],Products[],3,FALSE)</f>
        <v>Male</v>
      </c>
      <c r="L514" s="2">
        <f>DAY(ORDERS[[#This Row],[OrderDate]])</f>
        <v>29</v>
      </c>
      <c r="M514" s="2">
        <f>YEAR(ORDERS[[#This Row],[OrderDate]])</f>
        <v>2013</v>
      </c>
    </row>
    <row r="515" spans="1:13" x14ac:dyDescent="0.3">
      <c r="A515">
        <v>514</v>
      </c>
      <c r="B515">
        <v>2</v>
      </c>
      <c r="C515">
        <v>9</v>
      </c>
      <c r="D515" s="1">
        <v>41304</v>
      </c>
      <c r="E515">
        <v>91</v>
      </c>
      <c r="F515">
        <f>VLOOKUP(ORDERS[[#This Row],[ProductID]],Products[],4,FALSE)</f>
        <v>25</v>
      </c>
      <c r="G515">
        <v>0</v>
      </c>
      <c r="H515">
        <f>(ORDERS[[#This Row],[UnitsOrdered]]*ORDERS[[#This Row],[unit price]])-(ORDERS[[#This Row],[UnitsOrdered]]*ORDERS[[#This Row],[unit price]]*ORDERS[[#This Row],[Discount]])</f>
        <v>2275</v>
      </c>
      <c r="I515" t="str">
        <f>VLOOKUP(ORDERS[[#This Row],[CustomerID]],customers[],2,FALSE)</f>
        <v>A Shirts Life</v>
      </c>
      <c r="J515" s="2" t="str">
        <f>VLOOKUP(ORDERS[[#This Row],[CustomerID]],customers[],4,FALSE)</f>
        <v>Portland</v>
      </c>
      <c r="K515" s="2" t="str">
        <f>VLOOKUP(ORDERS[[#This Row],[ProductID]],Products[],3,FALSE)</f>
        <v>Male</v>
      </c>
      <c r="L515" s="2">
        <f>DAY(ORDERS[[#This Row],[OrderDate]])</f>
        <v>30</v>
      </c>
      <c r="M515" s="2">
        <f>YEAR(ORDERS[[#This Row],[OrderDate]])</f>
        <v>2013</v>
      </c>
    </row>
    <row r="516" spans="1:13" x14ac:dyDescent="0.3">
      <c r="A516">
        <v>515</v>
      </c>
      <c r="B516">
        <v>1</v>
      </c>
      <c r="C516">
        <v>3</v>
      </c>
      <c r="D516" s="1">
        <v>41305</v>
      </c>
      <c r="E516">
        <v>47</v>
      </c>
      <c r="F516">
        <f>VLOOKUP(ORDERS[[#This Row],[ProductID]],Products[],4,FALSE)</f>
        <v>22</v>
      </c>
      <c r="G516">
        <v>5.0000001000000002E-2</v>
      </c>
      <c r="H516">
        <f>(ORDERS[[#This Row],[UnitsOrdered]]*ORDERS[[#This Row],[unit price]])-(ORDERS[[#This Row],[UnitsOrdered]]*ORDERS[[#This Row],[unit price]]*ORDERS[[#This Row],[Discount]])</f>
        <v>982.29999896599998</v>
      </c>
      <c r="I516" t="str">
        <f>VLOOKUP(ORDERS[[#This Row],[CustomerID]],customers[],2,FALSE)</f>
        <v>Threads</v>
      </c>
      <c r="J516" s="2" t="str">
        <f>VLOOKUP(ORDERS[[#This Row],[CustomerID]],customers[],4,FALSE)</f>
        <v>Seattle</v>
      </c>
      <c r="K516" s="2" t="str">
        <f>VLOOKUP(ORDERS[[#This Row],[ProductID]],Products[],3,FALSE)</f>
        <v>Both</v>
      </c>
      <c r="L516" s="2">
        <f>DAY(ORDERS[[#This Row],[OrderDate]])</f>
        <v>31</v>
      </c>
      <c r="M516" s="2">
        <f>YEAR(ORDERS[[#This Row],[OrderDate]])</f>
        <v>2013</v>
      </c>
    </row>
    <row r="517" spans="1:13" x14ac:dyDescent="0.3">
      <c r="A517">
        <v>516</v>
      </c>
      <c r="B517">
        <v>3</v>
      </c>
      <c r="C517">
        <v>6</v>
      </c>
      <c r="D517" s="1">
        <v>41306</v>
      </c>
      <c r="E517">
        <v>84</v>
      </c>
      <c r="F517">
        <f>VLOOKUP(ORDERS[[#This Row],[ProductID]],Products[],4,FALSE)</f>
        <v>28</v>
      </c>
      <c r="G517">
        <v>0</v>
      </c>
      <c r="H517">
        <f>(ORDERS[[#This Row],[UnitsOrdered]]*ORDERS[[#This Row],[unit price]])-(ORDERS[[#This Row],[UnitsOrdered]]*ORDERS[[#This Row],[unit price]]*ORDERS[[#This Row],[Discount]])</f>
        <v>2352</v>
      </c>
      <c r="I517" t="str">
        <f>VLOOKUP(ORDERS[[#This Row],[CustomerID]],customers[],2,FALSE)</f>
        <v>Shirts R Us</v>
      </c>
      <c r="J517" s="2" t="str">
        <f>VLOOKUP(ORDERS[[#This Row],[CustomerID]],customers[],4,FALSE)</f>
        <v>Los Angeles</v>
      </c>
      <c r="K517" s="2" t="str">
        <f>VLOOKUP(ORDERS[[#This Row],[ProductID]],Products[],3,FALSE)</f>
        <v>Female</v>
      </c>
      <c r="L517" s="2">
        <f>DAY(ORDERS[[#This Row],[OrderDate]])</f>
        <v>1</v>
      </c>
      <c r="M517" s="2">
        <f>YEAR(ORDERS[[#This Row],[OrderDate]])</f>
        <v>2013</v>
      </c>
    </row>
    <row r="518" spans="1:13" x14ac:dyDescent="0.3">
      <c r="A518">
        <v>517</v>
      </c>
      <c r="B518">
        <v>7</v>
      </c>
      <c r="C518">
        <v>7</v>
      </c>
      <c r="D518" s="1">
        <v>41306</v>
      </c>
      <c r="E518">
        <v>69</v>
      </c>
      <c r="F518">
        <f>VLOOKUP(ORDERS[[#This Row],[ProductID]],Products[],4,FALSE)</f>
        <v>38</v>
      </c>
      <c r="G518">
        <v>0</v>
      </c>
      <c r="H518">
        <f>(ORDERS[[#This Row],[UnitsOrdered]]*ORDERS[[#This Row],[unit price]])-(ORDERS[[#This Row],[UnitsOrdered]]*ORDERS[[#This Row],[unit price]]*ORDERS[[#This Row],[Discount]])</f>
        <v>2622</v>
      </c>
      <c r="I518" t="str">
        <f>VLOOKUP(ORDERS[[#This Row],[CustomerID]],customers[],2,FALSE)</f>
        <v>The Shirt on Your Back</v>
      </c>
      <c r="J518" s="2" t="str">
        <f>VLOOKUP(ORDERS[[#This Row],[CustomerID]],customers[],4,FALSE)</f>
        <v>Bonners Ferry</v>
      </c>
      <c r="K518" s="2" t="str">
        <f>VLOOKUP(ORDERS[[#This Row],[ProductID]],Products[],3,FALSE)</f>
        <v>Female</v>
      </c>
      <c r="L518" s="2">
        <f>DAY(ORDERS[[#This Row],[OrderDate]])</f>
        <v>1</v>
      </c>
      <c r="M518" s="2">
        <f>YEAR(ORDERS[[#This Row],[OrderDate]])</f>
        <v>2013</v>
      </c>
    </row>
    <row r="519" spans="1:13" x14ac:dyDescent="0.3">
      <c r="A519">
        <v>518</v>
      </c>
      <c r="B519">
        <v>1</v>
      </c>
      <c r="C519">
        <v>4</v>
      </c>
      <c r="D519" s="1">
        <v>41308</v>
      </c>
      <c r="E519">
        <v>31</v>
      </c>
      <c r="F519">
        <f>VLOOKUP(ORDERS[[#This Row],[ProductID]],Products[],4,FALSE)</f>
        <v>30</v>
      </c>
      <c r="G519">
        <v>0</v>
      </c>
      <c r="H519">
        <f>(ORDERS[[#This Row],[UnitsOrdered]]*ORDERS[[#This Row],[unit price]])-(ORDERS[[#This Row],[UnitsOrdered]]*ORDERS[[#This Row],[unit price]]*ORDERS[[#This Row],[Discount]])</f>
        <v>930</v>
      </c>
      <c r="I519" t="str">
        <f>VLOOKUP(ORDERS[[#This Row],[CustomerID]],customers[],2,FALSE)</f>
        <v>Threads</v>
      </c>
      <c r="J519" s="2" t="str">
        <f>VLOOKUP(ORDERS[[#This Row],[CustomerID]],customers[],4,FALSE)</f>
        <v>Seattle</v>
      </c>
      <c r="K519" s="2" t="str">
        <f>VLOOKUP(ORDERS[[#This Row],[ProductID]],Products[],3,FALSE)</f>
        <v>Both</v>
      </c>
      <c r="L519" s="2">
        <f>DAY(ORDERS[[#This Row],[OrderDate]])</f>
        <v>3</v>
      </c>
      <c r="M519" s="2">
        <f>YEAR(ORDERS[[#This Row],[OrderDate]])</f>
        <v>2013</v>
      </c>
    </row>
    <row r="520" spans="1:13" x14ac:dyDescent="0.3">
      <c r="A520">
        <v>519</v>
      </c>
      <c r="B520">
        <v>4</v>
      </c>
      <c r="C520">
        <v>9</v>
      </c>
      <c r="D520" s="1">
        <v>41309</v>
      </c>
      <c r="E520">
        <v>60</v>
      </c>
      <c r="F520">
        <f>VLOOKUP(ORDERS[[#This Row],[ProductID]],Products[],4,FALSE)</f>
        <v>25</v>
      </c>
      <c r="G520">
        <v>0.10000000100000001</v>
      </c>
      <c r="H520">
        <f>(ORDERS[[#This Row],[UnitsOrdered]]*ORDERS[[#This Row],[unit price]])-(ORDERS[[#This Row],[UnitsOrdered]]*ORDERS[[#This Row],[unit price]]*ORDERS[[#This Row],[Discount]])</f>
        <v>1349.9999984999999</v>
      </c>
      <c r="I520" t="str">
        <f>VLOOKUP(ORDERS[[#This Row],[CustomerID]],customers[],2,FALSE)</f>
        <v>Tshirt Unlimited</v>
      </c>
      <c r="J520" s="2" t="str">
        <f>VLOOKUP(ORDERS[[#This Row],[CustomerID]],customers[],4,FALSE)</f>
        <v>Phoenix</v>
      </c>
      <c r="K520" s="2" t="str">
        <f>VLOOKUP(ORDERS[[#This Row],[ProductID]],Products[],3,FALSE)</f>
        <v>Male</v>
      </c>
      <c r="L520" s="2">
        <f>DAY(ORDERS[[#This Row],[OrderDate]])</f>
        <v>4</v>
      </c>
      <c r="M520" s="2">
        <f>YEAR(ORDERS[[#This Row],[OrderDate]])</f>
        <v>2013</v>
      </c>
    </row>
    <row r="521" spans="1:13" x14ac:dyDescent="0.3">
      <c r="A521">
        <v>520</v>
      </c>
      <c r="B521">
        <v>1</v>
      </c>
      <c r="C521">
        <v>1</v>
      </c>
      <c r="D521" s="1">
        <v>41310</v>
      </c>
      <c r="E521">
        <v>81</v>
      </c>
      <c r="F521">
        <f>VLOOKUP(ORDERS[[#This Row],[ProductID]],Products[],4,FALSE)</f>
        <v>20</v>
      </c>
      <c r="G521">
        <v>0</v>
      </c>
      <c r="H521">
        <f>(ORDERS[[#This Row],[UnitsOrdered]]*ORDERS[[#This Row],[unit price]])-(ORDERS[[#This Row],[UnitsOrdered]]*ORDERS[[#This Row],[unit price]]*ORDERS[[#This Row],[Discount]])</f>
        <v>1620</v>
      </c>
      <c r="I521" t="str">
        <f>VLOOKUP(ORDERS[[#This Row],[CustomerID]],customers[],2,FALSE)</f>
        <v>Threads</v>
      </c>
      <c r="J521" s="2" t="str">
        <f>VLOOKUP(ORDERS[[#This Row],[CustomerID]],customers[],4,FALSE)</f>
        <v>Seattle</v>
      </c>
      <c r="K521" s="2" t="str">
        <f>VLOOKUP(ORDERS[[#This Row],[ProductID]],Products[],3,FALSE)</f>
        <v>Both</v>
      </c>
      <c r="L521" s="2">
        <f>DAY(ORDERS[[#This Row],[OrderDate]])</f>
        <v>5</v>
      </c>
      <c r="M521" s="2">
        <f>YEAR(ORDERS[[#This Row],[OrderDate]])</f>
        <v>2013</v>
      </c>
    </row>
    <row r="522" spans="1:13" x14ac:dyDescent="0.3">
      <c r="A522">
        <v>521</v>
      </c>
      <c r="B522">
        <v>2</v>
      </c>
      <c r="C522">
        <v>1</v>
      </c>
      <c r="D522" s="1">
        <v>41310</v>
      </c>
      <c r="E522">
        <v>118</v>
      </c>
      <c r="F522">
        <f>VLOOKUP(ORDERS[[#This Row],[ProductID]],Products[],4,FALSE)</f>
        <v>20</v>
      </c>
      <c r="G522">
        <v>0</v>
      </c>
      <c r="H522">
        <f>(ORDERS[[#This Row],[UnitsOrdered]]*ORDERS[[#This Row],[unit price]])-(ORDERS[[#This Row],[UnitsOrdered]]*ORDERS[[#This Row],[unit price]]*ORDERS[[#This Row],[Discount]])</f>
        <v>2360</v>
      </c>
      <c r="I522" t="str">
        <f>VLOOKUP(ORDERS[[#This Row],[CustomerID]],customers[],2,FALSE)</f>
        <v>A Shirts Life</v>
      </c>
      <c r="J522" s="2" t="str">
        <f>VLOOKUP(ORDERS[[#This Row],[CustomerID]],customers[],4,FALSE)</f>
        <v>Portland</v>
      </c>
      <c r="K522" s="2" t="str">
        <f>VLOOKUP(ORDERS[[#This Row],[ProductID]],Products[],3,FALSE)</f>
        <v>Both</v>
      </c>
      <c r="L522" s="2">
        <f>DAY(ORDERS[[#This Row],[OrderDate]])</f>
        <v>5</v>
      </c>
      <c r="M522" s="2">
        <f>YEAR(ORDERS[[#This Row],[OrderDate]])</f>
        <v>2013</v>
      </c>
    </row>
    <row r="523" spans="1:13" x14ac:dyDescent="0.3">
      <c r="A523">
        <v>522</v>
      </c>
      <c r="B523">
        <v>7</v>
      </c>
      <c r="C523">
        <v>10</v>
      </c>
      <c r="D523" s="1">
        <v>41310</v>
      </c>
      <c r="E523">
        <v>99</v>
      </c>
      <c r="F523">
        <f>VLOOKUP(ORDERS[[#This Row],[ProductID]],Products[],4,FALSE)</f>
        <v>35</v>
      </c>
      <c r="G523">
        <v>0.10000000100000001</v>
      </c>
      <c r="H523">
        <f>(ORDERS[[#This Row],[UnitsOrdered]]*ORDERS[[#This Row],[unit price]])-(ORDERS[[#This Row],[UnitsOrdered]]*ORDERS[[#This Row],[unit price]]*ORDERS[[#This Row],[Discount]])</f>
        <v>3118.4999965349998</v>
      </c>
      <c r="I523" t="str">
        <f>VLOOKUP(ORDERS[[#This Row],[CustomerID]],customers[],2,FALSE)</f>
        <v>The Shirt on Your Back</v>
      </c>
      <c r="J523" s="2" t="str">
        <f>VLOOKUP(ORDERS[[#This Row],[CustomerID]],customers[],4,FALSE)</f>
        <v>Bonners Ferry</v>
      </c>
      <c r="K523" s="2" t="str">
        <f>VLOOKUP(ORDERS[[#This Row],[ProductID]],Products[],3,FALSE)</f>
        <v>Male</v>
      </c>
      <c r="L523" s="2">
        <f>DAY(ORDERS[[#This Row],[OrderDate]])</f>
        <v>5</v>
      </c>
      <c r="M523" s="2">
        <f>YEAR(ORDERS[[#This Row],[OrderDate]])</f>
        <v>2013</v>
      </c>
    </row>
    <row r="524" spans="1:13" x14ac:dyDescent="0.3">
      <c r="A524">
        <v>523</v>
      </c>
      <c r="B524">
        <v>1</v>
      </c>
      <c r="C524">
        <v>7</v>
      </c>
      <c r="D524" s="1">
        <v>41312</v>
      </c>
      <c r="E524">
        <v>85</v>
      </c>
      <c r="F524">
        <f>VLOOKUP(ORDERS[[#This Row],[ProductID]],Products[],4,FALSE)</f>
        <v>38</v>
      </c>
      <c r="G524">
        <v>0</v>
      </c>
      <c r="H524">
        <f>(ORDERS[[#This Row],[UnitsOrdered]]*ORDERS[[#This Row],[unit price]])-(ORDERS[[#This Row],[UnitsOrdered]]*ORDERS[[#This Row],[unit price]]*ORDERS[[#This Row],[Discount]])</f>
        <v>3230</v>
      </c>
      <c r="I524" t="str">
        <f>VLOOKUP(ORDERS[[#This Row],[CustomerID]],customers[],2,FALSE)</f>
        <v>Threads</v>
      </c>
      <c r="J524" s="2" t="str">
        <f>VLOOKUP(ORDERS[[#This Row],[CustomerID]],customers[],4,FALSE)</f>
        <v>Seattle</v>
      </c>
      <c r="K524" s="2" t="str">
        <f>VLOOKUP(ORDERS[[#This Row],[ProductID]],Products[],3,FALSE)</f>
        <v>Female</v>
      </c>
      <c r="L524" s="2">
        <f>DAY(ORDERS[[#This Row],[OrderDate]])</f>
        <v>7</v>
      </c>
      <c r="M524" s="2">
        <f>YEAR(ORDERS[[#This Row],[OrderDate]])</f>
        <v>2013</v>
      </c>
    </row>
    <row r="525" spans="1:13" x14ac:dyDescent="0.3">
      <c r="A525">
        <v>524</v>
      </c>
      <c r="B525">
        <v>2</v>
      </c>
      <c r="C525">
        <v>7</v>
      </c>
      <c r="D525" s="1">
        <v>41312</v>
      </c>
      <c r="E525">
        <v>149</v>
      </c>
      <c r="F525">
        <f>VLOOKUP(ORDERS[[#This Row],[ProductID]],Products[],4,FALSE)</f>
        <v>38</v>
      </c>
      <c r="G525">
        <v>0</v>
      </c>
      <c r="H525">
        <f>(ORDERS[[#This Row],[UnitsOrdered]]*ORDERS[[#This Row],[unit price]])-(ORDERS[[#This Row],[UnitsOrdered]]*ORDERS[[#This Row],[unit price]]*ORDERS[[#This Row],[Discount]])</f>
        <v>5662</v>
      </c>
      <c r="I525" t="str">
        <f>VLOOKUP(ORDERS[[#This Row],[CustomerID]],customers[],2,FALSE)</f>
        <v>A Shirts Life</v>
      </c>
      <c r="J525" s="2" t="str">
        <f>VLOOKUP(ORDERS[[#This Row],[CustomerID]],customers[],4,FALSE)</f>
        <v>Portland</v>
      </c>
      <c r="K525" s="2" t="str">
        <f>VLOOKUP(ORDERS[[#This Row],[ProductID]],Products[],3,FALSE)</f>
        <v>Female</v>
      </c>
      <c r="L525" s="2">
        <f>DAY(ORDERS[[#This Row],[OrderDate]])</f>
        <v>7</v>
      </c>
      <c r="M525" s="2">
        <f>YEAR(ORDERS[[#This Row],[OrderDate]])</f>
        <v>2013</v>
      </c>
    </row>
    <row r="526" spans="1:13" x14ac:dyDescent="0.3">
      <c r="A526">
        <v>525</v>
      </c>
      <c r="B526">
        <v>1</v>
      </c>
      <c r="C526">
        <v>4</v>
      </c>
      <c r="D526" s="1">
        <v>41313</v>
      </c>
      <c r="E526">
        <v>149</v>
      </c>
      <c r="F526">
        <f>VLOOKUP(ORDERS[[#This Row],[ProductID]],Products[],4,FALSE)</f>
        <v>30</v>
      </c>
      <c r="G526">
        <v>5.0000001000000002E-2</v>
      </c>
      <c r="H526">
        <f>(ORDERS[[#This Row],[UnitsOrdered]]*ORDERS[[#This Row],[unit price]])-(ORDERS[[#This Row],[UnitsOrdered]]*ORDERS[[#This Row],[unit price]]*ORDERS[[#This Row],[Discount]])</f>
        <v>4246.49999553</v>
      </c>
      <c r="I526" t="str">
        <f>VLOOKUP(ORDERS[[#This Row],[CustomerID]],customers[],2,FALSE)</f>
        <v>Threads</v>
      </c>
      <c r="J526" s="2" t="str">
        <f>VLOOKUP(ORDERS[[#This Row],[CustomerID]],customers[],4,FALSE)</f>
        <v>Seattle</v>
      </c>
      <c r="K526" s="2" t="str">
        <f>VLOOKUP(ORDERS[[#This Row],[ProductID]],Products[],3,FALSE)</f>
        <v>Both</v>
      </c>
      <c r="L526" s="2">
        <f>DAY(ORDERS[[#This Row],[OrderDate]])</f>
        <v>8</v>
      </c>
      <c r="M526" s="2">
        <f>YEAR(ORDERS[[#This Row],[OrderDate]])</f>
        <v>2013</v>
      </c>
    </row>
    <row r="527" spans="1:13" x14ac:dyDescent="0.3">
      <c r="A527">
        <v>526</v>
      </c>
      <c r="B527">
        <v>1</v>
      </c>
      <c r="C527">
        <v>9</v>
      </c>
      <c r="D527" s="1">
        <v>41315</v>
      </c>
      <c r="E527">
        <v>65</v>
      </c>
      <c r="F527">
        <f>VLOOKUP(ORDERS[[#This Row],[ProductID]],Products[],4,FALSE)</f>
        <v>25</v>
      </c>
      <c r="G527">
        <v>0</v>
      </c>
      <c r="H527">
        <f>(ORDERS[[#This Row],[UnitsOrdered]]*ORDERS[[#This Row],[unit price]])-(ORDERS[[#This Row],[UnitsOrdered]]*ORDERS[[#This Row],[unit price]]*ORDERS[[#This Row],[Discount]])</f>
        <v>1625</v>
      </c>
      <c r="I527" t="str">
        <f>VLOOKUP(ORDERS[[#This Row],[CustomerID]],customers[],2,FALSE)</f>
        <v>Threads</v>
      </c>
      <c r="J527" s="2" t="str">
        <f>VLOOKUP(ORDERS[[#This Row],[CustomerID]],customers[],4,FALSE)</f>
        <v>Seattle</v>
      </c>
      <c r="K527" s="2" t="str">
        <f>VLOOKUP(ORDERS[[#This Row],[ProductID]],Products[],3,FALSE)</f>
        <v>Male</v>
      </c>
      <c r="L527" s="2">
        <f>DAY(ORDERS[[#This Row],[OrderDate]])</f>
        <v>10</v>
      </c>
      <c r="M527" s="2">
        <f>YEAR(ORDERS[[#This Row],[OrderDate]])</f>
        <v>2013</v>
      </c>
    </row>
    <row r="528" spans="1:13" x14ac:dyDescent="0.3">
      <c r="A528">
        <v>527</v>
      </c>
      <c r="B528">
        <v>2</v>
      </c>
      <c r="C528">
        <v>7</v>
      </c>
      <c r="D528" s="1">
        <v>41316</v>
      </c>
      <c r="E528">
        <v>71</v>
      </c>
      <c r="F528">
        <f>VLOOKUP(ORDERS[[#This Row],[ProductID]],Products[],4,FALSE)</f>
        <v>38</v>
      </c>
      <c r="G528">
        <v>0</v>
      </c>
      <c r="H528">
        <f>(ORDERS[[#This Row],[UnitsOrdered]]*ORDERS[[#This Row],[unit price]])-(ORDERS[[#This Row],[UnitsOrdered]]*ORDERS[[#This Row],[unit price]]*ORDERS[[#This Row],[Discount]])</f>
        <v>2698</v>
      </c>
      <c r="I528" t="str">
        <f>VLOOKUP(ORDERS[[#This Row],[CustomerID]],customers[],2,FALSE)</f>
        <v>A Shirts Life</v>
      </c>
      <c r="J528" s="2" t="str">
        <f>VLOOKUP(ORDERS[[#This Row],[CustomerID]],customers[],4,FALSE)</f>
        <v>Portland</v>
      </c>
      <c r="K528" s="2" t="str">
        <f>VLOOKUP(ORDERS[[#This Row],[ProductID]],Products[],3,FALSE)</f>
        <v>Female</v>
      </c>
      <c r="L528" s="2">
        <f>DAY(ORDERS[[#This Row],[OrderDate]])</f>
        <v>11</v>
      </c>
      <c r="M528" s="2">
        <f>YEAR(ORDERS[[#This Row],[OrderDate]])</f>
        <v>2013</v>
      </c>
    </row>
    <row r="529" spans="1:13" x14ac:dyDescent="0.3">
      <c r="A529">
        <v>528</v>
      </c>
      <c r="B529">
        <v>5</v>
      </c>
      <c r="C529">
        <v>6</v>
      </c>
      <c r="D529" s="1">
        <v>41317</v>
      </c>
      <c r="E529">
        <v>94</v>
      </c>
      <c r="F529">
        <f>VLOOKUP(ORDERS[[#This Row],[ProductID]],Products[],4,FALSE)</f>
        <v>28</v>
      </c>
      <c r="G529">
        <v>0</v>
      </c>
      <c r="H529">
        <f>(ORDERS[[#This Row],[UnitsOrdered]]*ORDERS[[#This Row],[unit price]])-(ORDERS[[#This Row],[UnitsOrdered]]*ORDERS[[#This Row],[unit price]]*ORDERS[[#This Row],[Discount]])</f>
        <v>2632</v>
      </c>
      <c r="I529" t="str">
        <f>VLOOKUP(ORDERS[[#This Row],[CustomerID]],customers[],2,FALSE)</f>
        <v>Rags to Riches</v>
      </c>
      <c r="J529" s="2" t="str">
        <f>VLOOKUP(ORDERS[[#This Row],[CustomerID]],customers[],4,FALSE)</f>
        <v>Las Vegas</v>
      </c>
      <c r="K529" s="2" t="str">
        <f>VLOOKUP(ORDERS[[#This Row],[ProductID]],Products[],3,FALSE)</f>
        <v>Female</v>
      </c>
      <c r="L529" s="2">
        <f>DAY(ORDERS[[#This Row],[OrderDate]])</f>
        <v>12</v>
      </c>
      <c r="M529" s="2">
        <f>YEAR(ORDERS[[#This Row],[OrderDate]])</f>
        <v>2013</v>
      </c>
    </row>
    <row r="530" spans="1:13" x14ac:dyDescent="0.3">
      <c r="A530">
        <v>529</v>
      </c>
      <c r="B530">
        <v>5</v>
      </c>
      <c r="C530">
        <v>10</v>
      </c>
      <c r="D530" s="1">
        <v>41318</v>
      </c>
      <c r="E530">
        <v>138</v>
      </c>
      <c r="F530">
        <f>VLOOKUP(ORDERS[[#This Row],[ProductID]],Products[],4,FALSE)</f>
        <v>35</v>
      </c>
      <c r="G530">
        <v>0.15000000599999999</v>
      </c>
      <c r="H530">
        <f>(ORDERS[[#This Row],[UnitsOrdered]]*ORDERS[[#This Row],[unit price]])-(ORDERS[[#This Row],[UnitsOrdered]]*ORDERS[[#This Row],[unit price]]*ORDERS[[#This Row],[Discount]])</f>
        <v>4105.49997102</v>
      </c>
      <c r="I530" t="str">
        <f>VLOOKUP(ORDERS[[#This Row],[CustomerID]],customers[],2,FALSE)</f>
        <v>Rags to Riches</v>
      </c>
      <c r="J530" s="2" t="str">
        <f>VLOOKUP(ORDERS[[#This Row],[CustomerID]],customers[],4,FALSE)</f>
        <v>Las Vegas</v>
      </c>
      <c r="K530" s="2" t="str">
        <f>VLOOKUP(ORDERS[[#This Row],[ProductID]],Products[],3,FALSE)</f>
        <v>Male</v>
      </c>
      <c r="L530" s="2">
        <f>DAY(ORDERS[[#This Row],[OrderDate]])</f>
        <v>13</v>
      </c>
      <c r="M530" s="2">
        <f>YEAR(ORDERS[[#This Row],[OrderDate]])</f>
        <v>2013</v>
      </c>
    </row>
    <row r="531" spans="1:13" x14ac:dyDescent="0.3">
      <c r="A531">
        <v>530</v>
      </c>
      <c r="B531">
        <v>6</v>
      </c>
      <c r="C531">
        <v>1</v>
      </c>
      <c r="D531" s="1">
        <v>41318</v>
      </c>
      <c r="E531">
        <v>70</v>
      </c>
      <c r="F531">
        <f>VLOOKUP(ORDERS[[#This Row],[ProductID]],Products[],4,FALSE)</f>
        <v>20</v>
      </c>
      <c r="G531">
        <v>0</v>
      </c>
      <c r="H531">
        <f>(ORDERS[[#This Row],[UnitsOrdered]]*ORDERS[[#This Row],[unit price]])-(ORDERS[[#This Row],[UnitsOrdered]]*ORDERS[[#This Row],[unit price]]*ORDERS[[#This Row],[Discount]])</f>
        <v>1400</v>
      </c>
      <c r="I531" t="str">
        <f>VLOOKUP(ORDERS[[#This Row],[CustomerID]],customers[],2,FALSE)</f>
        <v>Abracadaba Ink</v>
      </c>
      <c r="J531" s="2" t="str">
        <f>VLOOKUP(ORDERS[[#This Row],[CustomerID]],customers[],4,FALSE)</f>
        <v>Salt Lake City</v>
      </c>
      <c r="K531" s="2" t="str">
        <f>VLOOKUP(ORDERS[[#This Row],[ProductID]],Products[],3,FALSE)</f>
        <v>Both</v>
      </c>
      <c r="L531" s="2">
        <f>DAY(ORDERS[[#This Row],[OrderDate]])</f>
        <v>13</v>
      </c>
      <c r="M531" s="2">
        <f>YEAR(ORDERS[[#This Row],[OrderDate]])</f>
        <v>2013</v>
      </c>
    </row>
    <row r="532" spans="1:13" x14ac:dyDescent="0.3">
      <c r="A532">
        <v>531</v>
      </c>
      <c r="B532">
        <v>2</v>
      </c>
      <c r="C532">
        <v>1</v>
      </c>
      <c r="D532" s="1">
        <v>41321</v>
      </c>
      <c r="E532">
        <v>29</v>
      </c>
      <c r="F532">
        <f>VLOOKUP(ORDERS[[#This Row],[ProductID]],Products[],4,FALSE)</f>
        <v>20</v>
      </c>
      <c r="G532">
        <v>0</v>
      </c>
      <c r="H532">
        <f>(ORDERS[[#This Row],[UnitsOrdered]]*ORDERS[[#This Row],[unit price]])-(ORDERS[[#This Row],[UnitsOrdered]]*ORDERS[[#This Row],[unit price]]*ORDERS[[#This Row],[Discount]])</f>
        <v>580</v>
      </c>
      <c r="I532" t="str">
        <f>VLOOKUP(ORDERS[[#This Row],[CustomerID]],customers[],2,FALSE)</f>
        <v>A Shirts Life</v>
      </c>
      <c r="J532" s="2" t="str">
        <f>VLOOKUP(ORDERS[[#This Row],[CustomerID]],customers[],4,FALSE)</f>
        <v>Portland</v>
      </c>
      <c r="K532" s="2" t="str">
        <f>VLOOKUP(ORDERS[[#This Row],[ProductID]],Products[],3,FALSE)</f>
        <v>Both</v>
      </c>
      <c r="L532" s="2">
        <f>DAY(ORDERS[[#This Row],[OrderDate]])</f>
        <v>16</v>
      </c>
      <c r="M532" s="2">
        <f>YEAR(ORDERS[[#This Row],[OrderDate]])</f>
        <v>2013</v>
      </c>
    </row>
    <row r="533" spans="1:13" x14ac:dyDescent="0.3">
      <c r="A533">
        <v>532</v>
      </c>
      <c r="B533">
        <v>2</v>
      </c>
      <c r="C533">
        <v>1</v>
      </c>
      <c r="D533" s="1">
        <v>41323</v>
      </c>
      <c r="E533">
        <v>99</v>
      </c>
      <c r="F533">
        <f>VLOOKUP(ORDERS[[#This Row],[ProductID]],Products[],4,FALSE)</f>
        <v>20</v>
      </c>
      <c r="G533">
        <v>0</v>
      </c>
      <c r="H533">
        <f>(ORDERS[[#This Row],[UnitsOrdered]]*ORDERS[[#This Row],[unit price]])-(ORDERS[[#This Row],[UnitsOrdered]]*ORDERS[[#This Row],[unit price]]*ORDERS[[#This Row],[Discount]])</f>
        <v>1980</v>
      </c>
      <c r="I533" t="str">
        <f>VLOOKUP(ORDERS[[#This Row],[CustomerID]],customers[],2,FALSE)</f>
        <v>A Shirts Life</v>
      </c>
      <c r="J533" s="2" t="str">
        <f>VLOOKUP(ORDERS[[#This Row],[CustomerID]],customers[],4,FALSE)</f>
        <v>Portland</v>
      </c>
      <c r="K533" s="2" t="str">
        <f>VLOOKUP(ORDERS[[#This Row],[ProductID]],Products[],3,FALSE)</f>
        <v>Both</v>
      </c>
      <c r="L533" s="2">
        <f>DAY(ORDERS[[#This Row],[OrderDate]])</f>
        <v>18</v>
      </c>
      <c r="M533" s="2">
        <f>YEAR(ORDERS[[#This Row],[OrderDate]])</f>
        <v>2013</v>
      </c>
    </row>
    <row r="534" spans="1:13" x14ac:dyDescent="0.3">
      <c r="A534">
        <v>533</v>
      </c>
      <c r="B534">
        <v>4</v>
      </c>
      <c r="C534">
        <v>3</v>
      </c>
      <c r="D534" s="1">
        <v>41324</v>
      </c>
      <c r="E534">
        <v>83</v>
      </c>
      <c r="F534">
        <f>VLOOKUP(ORDERS[[#This Row],[ProductID]],Products[],4,FALSE)</f>
        <v>22</v>
      </c>
      <c r="G534">
        <v>0.10000000100000001</v>
      </c>
      <c r="H534">
        <f>(ORDERS[[#This Row],[UnitsOrdered]]*ORDERS[[#This Row],[unit price]])-(ORDERS[[#This Row],[UnitsOrdered]]*ORDERS[[#This Row],[unit price]]*ORDERS[[#This Row],[Discount]])</f>
        <v>1643.3999981740001</v>
      </c>
      <c r="I534" t="str">
        <f>VLOOKUP(ORDERS[[#This Row],[CustomerID]],customers[],2,FALSE)</f>
        <v>Tshirt Unlimited</v>
      </c>
      <c r="J534" s="2" t="str">
        <f>VLOOKUP(ORDERS[[#This Row],[CustomerID]],customers[],4,FALSE)</f>
        <v>Phoenix</v>
      </c>
      <c r="K534" s="2" t="str">
        <f>VLOOKUP(ORDERS[[#This Row],[ProductID]],Products[],3,FALSE)</f>
        <v>Both</v>
      </c>
      <c r="L534" s="2">
        <f>DAY(ORDERS[[#This Row],[OrderDate]])</f>
        <v>19</v>
      </c>
      <c r="M534" s="2">
        <f>YEAR(ORDERS[[#This Row],[OrderDate]])</f>
        <v>2013</v>
      </c>
    </row>
    <row r="535" spans="1:13" x14ac:dyDescent="0.3">
      <c r="A535">
        <v>534</v>
      </c>
      <c r="B535">
        <v>4</v>
      </c>
      <c r="C535">
        <v>9</v>
      </c>
      <c r="D535" s="1">
        <v>41324</v>
      </c>
      <c r="E535">
        <v>110</v>
      </c>
      <c r="F535">
        <f>VLOOKUP(ORDERS[[#This Row],[ProductID]],Products[],4,FALSE)</f>
        <v>25</v>
      </c>
      <c r="G535">
        <v>0</v>
      </c>
      <c r="H535">
        <f>(ORDERS[[#This Row],[UnitsOrdered]]*ORDERS[[#This Row],[unit price]])-(ORDERS[[#This Row],[UnitsOrdered]]*ORDERS[[#This Row],[unit price]]*ORDERS[[#This Row],[Discount]])</f>
        <v>2750</v>
      </c>
      <c r="I535" t="str">
        <f>VLOOKUP(ORDERS[[#This Row],[CustomerID]],customers[],2,FALSE)</f>
        <v>Tshirt Unlimited</v>
      </c>
      <c r="J535" s="2" t="str">
        <f>VLOOKUP(ORDERS[[#This Row],[CustomerID]],customers[],4,FALSE)</f>
        <v>Phoenix</v>
      </c>
      <c r="K535" s="2" t="str">
        <f>VLOOKUP(ORDERS[[#This Row],[ProductID]],Products[],3,FALSE)</f>
        <v>Male</v>
      </c>
      <c r="L535" s="2">
        <f>DAY(ORDERS[[#This Row],[OrderDate]])</f>
        <v>19</v>
      </c>
      <c r="M535" s="2">
        <f>YEAR(ORDERS[[#This Row],[OrderDate]])</f>
        <v>2013</v>
      </c>
    </row>
    <row r="536" spans="1:13" x14ac:dyDescent="0.3">
      <c r="A536">
        <v>535</v>
      </c>
      <c r="B536">
        <v>1</v>
      </c>
      <c r="C536">
        <v>3</v>
      </c>
      <c r="D536" s="1">
        <v>41325</v>
      </c>
      <c r="E536">
        <v>121</v>
      </c>
      <c r="F536">
        <f>VLOOKUP(ORDERS[[#This Row],[ProductID]],Products[],4,FALSE)</f>
        <v>22</v>
      </c>
      <c r="G536">
        <v>0</v>
      </c>
      <c r="H536">
        <f>(ORDERS[[#This Row],[UnitsOrdered]]*ORDERS[[#This Row],[unit price]])-(ORDERS[[#This Row],[UnitsOrdered]]*ORDERS[[#This Row],[unit price]]*ORDERS[[#This Row],[Discount]])</f>
        <v>2662</v>
      </c>
      <c r="I536" t="str">
        <f>VLOOKUP(ORDERS[[#This Row],[CustomerID]],customers[],2,FALSE)</f>
        <v>Threads</v>
      </c>
      <c r="J536" s="2" t="str">
        <f>VLOOKUP(ORDERS[[#This Row],[CustomerID]],customers[],4,FALSE)</f>
        <v>Seattle</v>
      </c>
      <c r="K536" s="2" t="str">
        <f>VLOOKUP(ORDERS[[#This Row],[ProductID]],Products[],3,FALSE)</f>
        <v>Both</v>
      </c>
      <c r="L536" s="2">
        <f>DAY(ORDERS[[#This Row],[OrderDate]])</f>
        <v>20</v>
      </c>
      <c r="M536" s="2">
        <f>YEAR(ORDERS[[#This Row],[OrderDate]])</f>
        <v>2013</v>
      </c>
    </row>
    <row r="537" spans="1:13" x14ac:dyDescent="0.3">
      <c r="A537">
        <v>536</v>
      </c>
      <c r="B537">
        <v>3</v>
      </c>
      <c r="C537">
        <v>8</v>
      </c>
      <c r="D537" s="1">
        <v>41325</v>
      </c>
      <c r="E537">
        <v>133</v>
      </c>
      <c r="F537">
        <f>VLOOKUP(ORDERS[[#This Row],[ProductID]],Products[],4,FALSE)</f>
        <v>27</v>
      </c>
      <c r="G537">
        <v>0.10000000100000001</v>
      </c>
      <c r="H537">
        <f>(ORDERS[[#This Row],[UnitsOrdered]]*ORDERS[[#This Row],[unit price]])-(ORDERS[[#This Row],[UnitsOrdered]]*ORDERS[[#This Row],[unit price]]*ORDERS[[#This Row],[Discount]])</f>
        <v>3231.8999964089999</v>
      </c>
      <c r="I537" t="str">
        <f>VLOOKUP(ORDERS[[#This Row],[CustomerID]],customers[],2,FALSE)</f>
        <v>Shirts R Us</v>
      </c>
      <c r="J537" s="2" t="str">
        <f>VLOOKUP(ORDERS[[#This Row],[CustomerID]],customers[],4,FALSE)</f>
        <v>Los Angeles</v>
      </c>
      <c r="K537" s="2" t="str">
        <f>VLOOKUP(ORDERS[[#This Row],[ProductID]],Products[],3,FALSE)</f>
        <v>Female</v>
      </c>
      <c r="L537" s="2">
        <f>DAY(ORDERS[[#This Row],[OrderDate]])</f>
        <v>20</v>
      </c>
      <c r="M537" s="2">
        <f>YEAR(ORDERS[[#This Row],[OrderDate]])</f>
        <v>2013</v>
      </c>
    </row>
    <row r="538" spans="1:13" x14ac:dyDescent="0.3">
      <c r="A538">
        <v>537</v>
      </c>
      <c r="B538">
        <v>5</v>
      </c>
      <c r="C538">
        <v>2</v>
      </c>
      <c r="D538" s="1">
        <v>41325</v>
      </c>
      <c r="E538">
        <v>66</v>
      </c>
      <c r="F538">
        <f>VLOOKUP(ORDERS[[#This Row],[ProductID]],Products[],4,FALSE)</f>
        <v>30</v>
      </c>
      <c r="G538">
        <v>0</v>
      </c>
      <c r="H538">
        <f>(ORDERS[[#This Row],[UnitsOrdered]]*ORDERS[[#This Row],[unit price]])-(ORDERS[[#This Row],[UnitsOrdered]]*ORDERS[[#This Row],[unit price]]*ORDERS[[#This Row],[Discount]])</f>
        <v>1980</v>
      </c>
      <c r="I538" t="str">
        <f>VLOOKUP(ORDERS[[#This Row],[CustomerID]],customers[],2,FALSE)</f>
        <v>Rags to Riches</v>
      </c>
      <c r="J538" s="2" t="str">
        <f>VLOOKUP(ORDERS[[#This Row],[CustomerID]],customers[],4,FALSE)</f>
        <v>Las Vegas</v>
      </c>
      <c r="K538" s="2" t="str">
        <f>VLOOKUP(ORDERS[[#This Row],[ProductID]],Products[],3,FALSE)</f>
        <v>Both</v>
      </c>
      <c r="L538" s="2">
        <f>DAY(ORDERS[[#This Row],[OrderDate]])</f>
        <v>20</v>
      </c>
      <c r="M538" s="2">
        <f>YEAR(ORDERS[[#This Row],[OrderDate]])</f>
        <v>2013</v>
      </c>
    </row>
    <row r="539" spans="1:13" x14ac:dyDescent="0.3">
      <c r="A539">
        <v>538</v>
      </c>
      <c r="B539">
        <v>7</v>
      </c>
      <c r="C539">
        <v>5</v>
      </c>
      <c r="D539" s="1">
        <v>41325</v>
      </c>
      <c r="E539">
        <v>125</v>
      </c>
      <c r="F539">
        <f>VLOOKUP(ORDERS[[#This Row],[ProductID]],Products[],4,FALSE)</f>
        <v>16</v>
      </c>
      <c r="G539">
        <v>0</v>
      </c>
      <c r="H539">
        <f>(ORDERS[[#This Row],[UnitsOrdered]]*ORDERS[[#This Row],[unit price]])-(ORDERS[[#This Row],[UnitsOrdered]]*ORDERS[[#This Row],[unit price]]*ORDERS[[#This Row],[Discount]])</f>
        <v>2000</v>
      </c>
      <c r="I539" t="str">
        <f>VLOOKUP(ORDERS[[#This Row],[CustomerID]],customers[],2,FALSE)</f>
        <v>The Shirt on Your Back</v>
      </c>
      <c r="J539" s="2" t="str">
        <f>VLOOKUP(ORDERS[[#This Row],[CustomerID]],customers[],4,FALSE)</f>
        <v>Bonners Ferry</v>
      </c>
      <c r="K539" s="2" t="str">
        <f>VLOOKUP(ORDERS[[#This Row],[ProductID]],Products[],3,FALSE)</f>
        <v>Female</v>
      </c>
      <c r="L539" s="2">
        <f>DAY(ORDERS[[#This Row],[OrderDate]])</f>
        <v>20</v>
      </c>
      <c r="M539" s="2">
        <f>YEAR(ORDERS[[#This Row],[OrderDate]])</f>
        <v>2013</v>
      </c>
    </row>
    <row r="540" spans="1:13" x14ac:dyDescent="0.3">
      <c r="A540">
        <v>539</v>
      </c>
      <c r="B540">
        <v>2</v>
      </c>
      <c r="C540">
        <v>2</v>
      </c>
      <c r="D540" s="1">
        <v>41326</v>
      </c>
      <c r="E540">
        <v>135</v>
      </c>
      <c r="F540">
        <f>VLOOKUP(ORDERS[[#This Row],[ProductID]],Products[],4,FALSE)</f>
        <v>30</v>
      </c>
      <c r="G540">
        <v>0.15000000599999999</v>
      </c>
      <c r="H540">
        <f>(ORDERS[[#This Row],[UnitsOrdered]]*ORDERS[[#This Row],[unit price]])-(ORDERS[[#This Row],[UnitsOrdered]]*ORDERS[[#This Row],[unit price]]*ORDERS[[#This Row],[Discount]])</f>
        <v>3442.4999757</v>
      </c>
      <c r="I540" t="str">
        <f>VLOOKUP(ORDERS[[#This Row],[CustomerID]],customers[],2,FALSE)</f>
        <v>A Shirts Life</v>
      </c>
      <c r="J540" s="2" t="str">
        <f>VLOOKUP(ORDERS[[#This Row],[CustomerID]],customers[],4,FALSE)</f>
        <v>Portland</v>
      </c>
      <c r="K540" s="2" t="str">
        <f>VLOOKUP(ORDERS[[#This Row],[ProductID]],Products[],3,FALSE)</f>
        <v>Both</v>
      </c>
      <c r="L540" s="2">
        <f>DAY(ORDERS[[#This Row],[OrderDate]])</f>
        <v>21</v>
      </c>
      <c r="M540" s="2">
        <f>YEAR(ORDERS[[#This Row],[OrderDate]])</f>
        <v>2013</v>
      </c>
    </row>
    <row r="541" spans="1:13" x14ac:dyDescent="0.3">
      <c r="A541">
        <v>540</v>
      </c>
      <c r="B541">
        <v>3</v>
      </c>
      <c r="C541">
        <v>2</v>
      </c>
      <c r="D541" s="1">
        <v>41326</v>
      </c>
      <c r="E541">
        <v>142</v>
      </c>
      <c r="F541">
        <f>VLOOKUP(ORDERS[[#This Row],[ProductID]],Products[],4,FALSE)</f>
        <v>30</v>
      </c>
      <c r="G541">
        <v>0</v>
      </c>
      <c r="H541">
        <f>(ORDERS[[#This Row],[UnitsOrdered]]*ORDERS[[#This Row],[unit price]])-(ORDERS[[#This Row],[UnitsOrdered]]*ORDERS[[#This Row],[unit price]]*ORDERS[[#This Row],[Discount]])</f>
        <v>4260</v>
      </c>
      <c r="I541" t="str">
        <f>VLOOKUP(ORDERS[[#This Row],[CustomerID]],customers[],2,FALSE)</f>
        <v>Shirts R Us</v>
      </c>
      <c r="J541" s="2" t="str">
        <f>VLOOKUP(ORDERS[[#This Row],[CustomerID]],customers[],4,FALSE)</f>
        <v>Los Angeles</v>
      </c>
      <c r="K541" s="2" t="str">
        <f>VLOOKUP(ORDERS[[#This Row],[ProductID]],Products[],3,FALSE)</f>
        <v>Both</v>
      </c>
      <c r="L541" s="2">
        <f>DAY(ORDERS[[#This Row],[OrderDate]])</f>
        <v>21</v>
      </c>
      <c r="M541" s="2">
        <f>YEAR(ORDERS[[#This Row],[OrderDate]])</f>
        <v>2013</v>
      </c>
    </row>
    <row r="542" spans="1:13" x14ac:dyDescent="0.3">
      <c r="A542">
        <v>541</v>
      </c>
      <c r="B542">
        <v>7</v>
      </c>
      <c r="C542">
        <v>6</v>
      </c>
      <c r="D542" s="1">
        <v>41326</v>
      </c>
      <c r="E542">
        <v>50</v>
      </c>
      <c r="F542">
        <f>VLOOKUP(ORDERS[[#This Row],[ProductID]],Products[],4,FALSE)</f>
        <v>28</v>
      </c>
      <c r="G542">
        <v>0</v>
      </c>
      <c r="H542">
        <f>(ORDERS[[#This Row],[UnitsOrdered]]*ORDERS[[#This Row],[unit price]])-(ORDERS[[#This Row],[UnitsOrdered]]*ORDERS[[#This Row],[unit price]]*ORDERS[[#This Row],[Discount]])</f>
        <v>1400</v>
      </c>
      <c r="I542" t="str">
        <f>VLOOKUP(ORDERS[[#This Row],[CustomerID]],customers[],2,FALSE)</f>
        <v>The Shirt on Your Back</v>
      </c>
      <c r="J542" s="2" t="str">
        <f>VLOOKUP(ORDERS[[#This Row],[CustomerID]],customers[],4,FALSE)</f>
        <v>Bonners Ferry</v>
      </c>
      <c r="K542" s="2" t="str">
        <f>VLOOKUP(ORDERS[[#This Row],[ProductID]],Products[],3,FALSE)</f>
        <v>Female</v>
      </c>
      <c r="L542" s="2">
        <f>DAY(ORDERS[[#This Row],[OrderDate]])</f>
        <v>21</v>
      </c>
      <c r="M542" s="2">
        <f>YEAR(ORDERS[[#This Row],[OrderDate]])</f>
        <v>2013</v>
      </c>
    </row>
    <row r="543" spans="1:13" x14ac:dyDescent="0.3">
      <c r="A543">
        <v>542</v>
      </c>
      <c r="B543">
        <v>3</v>
      </c>
      <c r="C543">
        <v>10</v>
      </c>
      <c r="D543" s="1">
        <v>41328</v>
      </c>
      <c r="E543">
        <v>85</v>
      </c>
      <c r="F543">
        <f>VLOOKUP(ORDERS[[#This Row],[ProductID]],Products[],4,FALSE)</f>
        <v>35</v>
      </c>
      <c r="G543">
        <v>5.0000001000000002E-2</v>
      </c>
      <c r="H543">
        <f>(ORDERS[[#This Row],[UnitsOrdered]]*ORDERS[[#This Row],[unit price]])-(ORDERS[[#This Row],[UnitsOrdered]]*ORDERS[[#This Row],[unit price]]*ORDERS[[#This Row],[Discount]])</f>
        <v>2826.2499970250001</v>
      </c>
      <c r="I543" t="str">
        <f>VLOOKUP(ORDERS[[#This Row],[CustomerID]],customers[],2,FALSE)</f>
        <v>Shirts R Us</v>
      </c>
      <c r="J543" s="2" t="str">
        <f>VLOOKUP(ORDERS[[#This Row],[CustomerID]],customers[],4,FALSE)</f>
        <v>Los Angeles</v>
      </c>
      <c r="K543" s="2" t="str">
        <f>VLOOKUP(ORDERS[[#This Row],[ProductID]],Products[],3,FALSE)</f>
        <v>Male</v>
      </c>
      <c r="L543" s="2">
        <f>DAY(ORDERS[[#This Row],[OrderDate]])</f>
        <v>23</v>
      </c>
      <c r="M543" s="2">
        <f>YEAR(ORDERS[[#This Row],[OrderDate]])</f>
        <v>2013</v>
      </c>
    </row>
    <row r="544" spans="1:13" x14ac:dyDescent="0.3">
      <c r="A544">
        <v>543</v>
      </c>
      <c r="B544">
        <v>5</v>
      </c>
      <c r="C544">
        <v>7</v>
      </c>
      <c r="D544" s="1">
        <v>41328</v>
      </c>
      <c r="E544">
        <v>58</v>
      </c>
      <c r="F544">
        <f>VLOOKUP(ORDERS[[#This Row],[ProductID]],Products[],4,FALSE)</f>
        <v>38</v>
      </c>
      <c r="G544">
        <v>0</v>
      </c>
      <c r="H544">
        <f>(ORDERS[[#This Row],[UnitsOrdered]]*ORDERS[[#This Row],[unit price]])-(ORDERS[[#This Row],[UnitsOrdered]]*ORDERS[[#This Row],[unit price]]*ORDERS[[#This Row],[Discount]])</f>
        <v>2204</v>
      </c>
      <c r="I544" t="str">
        <f>VLOOKUP(ORDERS[[#This Row],[CustomerID]],customers[],2,FALSE)</f>
        <v>Rags to Riches</v>
      </c>
      <c r="J544" s="2" t="str">
        <f>VLOOKUP(ORDERS[[#This Row],[CustomerID]],customers[],4,FALSE)</f>
        <v>Las Vegas</v>
      </c>
      <c r="K544" s="2" t="str">
        <f>VLOOKUP(ORDERS[[#This Row],[ProductID]],Products[],3,FALSE)</f>
        <v>Female</v>
      </c>
      <c r="L544" s="2">
        <f>DAY(ORDERS[[#This Row],[OrderDate]])</f>
        <v>23</v>
      </c>
      <c r="M544" s="2">
        <f>YEAR(ORDERS[[#This Row],[OrderDate]])</f>
        <v>2013</v>
      </c>
    </row>
    <row r="545" spans="1:13" x14ac:dyDescent="0.3">
      <c r="A545">
        <v>544</v>
      </c>
      <c r="B545">
        <v>4</v>
      </c>
      <c r="C545">
        <v>8</v>
      </c>
      <c r="D545" s="1">
        <v>41330</v>
      </c>
      <c r="E545">
        <v>33</v>
      </c>
      <c r="F545">
        <f>VLOOKUP(ORDERS[[#This Row],[ProductID]],Products[],4,FALSE)</f>
        <v>27</v>
      </c>
      <c r="G545">
        <v>0.10000000100000001</v>
      </c>
      <c r="H545">
        <f>(ORDERS[[#This Row],[UnitsOrdered]]*ORDERS[[#This Row],[unit price]])-(ORDERS[[#This Row],[UnitsOrdered]]*ORDERS[[#This Row],[unit price]]*ORDERS[[#This Row],[Discount]])</f>
        <v>801.89999910899996</v>
      </c>
      <c r="I545" t="str">
        <f>VLOOKUP(ORDERS[[#This Row],[CustomerID]],customers[],2,FALSE)</f>
        <v>Tshirt Unlimited</v>
      </c>
      <c r="J545" s="2" t="str">
        <f>VLOOKUP(ORDERS[[#This Row],[CustomerID]],customers[],4,FALSE)</f>
        <v>Phoenix</v>
      </c>
      <c r="K545" s="2" t="str">
        <f>VLOOKUP(ORDERS[[#This Row],[ProductID]],Products[],3,FALSE)</f>
        <v>Female</v>
      </c>
      <c r="L545" s="2">
        <f>DAY(ORDERS[[#This Row],[OrderDate]])</f>
        <v>25</v>
      </c>
      <c r="M545" s="2">
        <f>YEAR(ORDERS[[#This Row],[OrderDate]])</f>
        <v>2013</v>
      </c>
    </row>
    <row r="546" spans="1:13" x14ac:dyDescent="0.3">
      <c r="A546">
        <v>545</v>
      </c>
      <c r="B546">
        <v>3</v>
      </c>
      <c r="C546">
        <v>6</v>
      </c>
      <c r="D546" s="1">
        <v>41331</v>
      </c>
      <c r="E546">
        <v>125</v>
      </c>
      <c r="F546">
        <f>VLOOKUP(ORDERS[[#This Row],[ProductID]],Products[],4,FALSE)</f>
        <v>28</v>
      </c>
      <c r="G546">
        <v>0</v>
      </c>
      <c r="H546">
        <f>(ORDERS[[#This Row],[UnitsOrdered]]*ORDERS[[#This Row],[unit price]])-(ORDERS[[#This Row],[UnitsOrdered]]*ORDERS[[#This Row],[unit price]]*ORDERS[[#This Row],[Discount]])</f>
        <v>3500</v>
      </c>
      <c r="I546" t="str">
        <f>VLOOKUP(ORDERS[[#This Row],[CustomerID]],customers[],2,FALSE)</f>
        <v>Shirts R Us</v>
      </c>
      <c r="J546" s="2" t="str">
        <f>VLOOKUP(ORDERS[[#This Row],[CustomerID]],customers[],4,FALSE)</f>
        <v>Los Angeles</v>
      </c>
      <c r="K546" s="2" t="str">
        <f>VLOOKUP(ORDERS[[#This Row],[ProductID]],Products[],3,FALSE)</f>
        <v>Female</v>
      </c>
      <c r="L546" s="2">
        <f>DAY(ORDERS[[#This Row],[OrderDate]])</f>
        <v>26</v>
      </c>
      <c r="M546" s="2">
        <f>YEAR(ORDERS[[#This Row],[OrderDate]])</f>
        <v>2013</v>
      </c>
    </row>
    <row r="547" spans="1:13" x14ac:dyDescent="0.3">
      <c r="A547">
        <v>546</v>
      </c>
      <c r="B547">
        <v>4</v>
      </c>
      <c r="C547">
        <v>10</v>
      </c>
      <c r="D547" s="1">
        <v>41331</v>
      </c>
      <c r="E547">
        <v>119</v>
      </c>
      <c r="F547">
        <f>VLOOKUP(ORDERS[[#This Row],[ProductID]],Products[],4,FALSE)</f>
        <v>35</v>
      </c>
      <c r="G547">
        <v>0.15000000599999999</v>
      </c>
      <c r="H547">
        <f>(ORDERS[[#This Row],[UnitsOrdered]]*ORDERS[[#This Row],[unit price]])-(ORDERS[[#This Row],[UnitsOrdered]]*ORDERS[[#This Row],[unit price]]*ORDERS[[#This Row],[Discount]])</f>
        <v>3540.2499750100001</v>
      </c>
      <c r="I547" t="str">
        <f>VLOOKUP(ORDERS[[#This Row],[CustomerID]],customers[],2,FALSE)</f>
        <v>Tshirt Unlimited</v>
      </c>
      <c r="J547" s="2" t="str">
        <f>VLOOKUP(ORDERS[[#This Row],[CustomerID]],customers[],4,FALSE)</f>
        <v>Phoenix</v>
      </c>
      <c r="K547" s="2" t="str">
        <f>VLOOKUP(ORDERS[[#This Row],[ProductID]],Products[],3,FALSE)</f>
        <v>Male</v>
      </c>
      <c r="L547" s="2">
        <f>DAY(ORDERS[[#This Row],[OrderDate]])</f>
        <v>26</v>
      </c>
      <c r="M547" s="2">
        <f>YEAR(ORDERS[[#This Row],[OrderDate]])</f>
        <v>2013</v>
      </c>
    </row>
    <row r="548" spans="1:13" x14ac:dyDescent="0.3">
      <c r="A548">
        <v>547</v>
      </c>
      <c r="B548">
        <v>2</v>
      </c>
      <c r="C548">
        <v>10</v>
      </c>
      <c r="D548" s="1">
        <v>41332</v>
      </c>
      <c r="E548">
        <v>36</v>
      </c>
      <c r="F548">
        <f>VLOOKUP(ORDERS[[#This Row],[ProductID]],Products[],4,FALSE)</f>
        <v>35</v>
      </c>
      <c r="G548">
        <v>0</v>
      </c>
      <c r="H548">
        <f>(ORDERS[[#This Row],[UnitsOrdered]]*ORDERS[[#This Row],[unit price]])-(ORDERS[[#This Row],[UnitsOrdered]]*ORDERS[[#This Row],[unit price]]*ORDERS[[#This Row],[Discount]])</f>
        <v>1260</v>
      </c>
      <c r="I548" t="str">
        <f>VLOOKUP(ORDERS[[#This Row],[CustomerID]],customers[],2,FALSE)</f>
        <v>A Shirts Life</v>
      </c>
      <c r="J548" s="2" t="str">
        <f>VLOOKUP(ORDERS[[#This Row],[CustomerID]],customers[],4,FALSE)</f>
        <v>Portland</v>
      </c>
      <c r="K548" s="2" t="str">
        <f>VLOOKUP(ORDERS[[#This Row],[ProductID]],Products[],3,FALSE)</f>
        <v>Male</v>
      </c>
      <c r="L548" s="2">
        <f>DAY(ORDERS[[#This Row],[OrderDate]])</f>
        <v>27</v>
      </c>
      <c r="M548" s="2">
        <f>YEAR(ORDERS[[#This Row],[OrderDate]])</f>
        <v>2013</v>
      </c>
    </row>
    <row r="549" spans="1:13" x14ac:dyDescent="0.3">
      <c r="A549">
        <v>548</v>
      </c>
      <c r="B549">
        <v>4</v>
      </c>
      <c r="C549">
        <v>8</v>
      </c>
      <c r="D549" s="1">
        <v>41332</v>
      </c>
      <c r="E549">
        <v>36</v>
      </c>
      <c r="F549">
        <f>VLOOKUP(ORDERS[[#This Row],[ProductID]],Products[],4,FALSE)</f>
        <v>27</v>
      </c>
      <c r="G549">
        <v>0</v>
      </c>
      <c r="H549">
        <f>(ORDERS[[#This Row],[UnitsOrdered]]*ORDERS[[#This Row],[unit price]])-(ORDERS[[#This Row],[UnitsOrdered]]*ORDERS[[#This Row],[unit price]]*ORDERS[[#This Row],[Discount]])</f>
        <v>972</v>
      </c>
      <c r="I549" t="str">
        <f>VLOOKUP(ORDERS[[#This Row],[CustomerID]],customers[],2,FALSE)</f>
        <v>Tshirt Unlimited</v>
      </c>
      <c r="J549" s="2" t="str">
        <f>VLOOKUP(ORDERS[[#This Row],[CustomerID]],customers[],4,FALSE)</f>
        <v>Phoenix</v>
      </c>
      <c r="K549" s="2" t="str">
        <f>VLOOKUP(ORDERS[[#This Row],[ProductID]],Products[],3,FALSE)</f>
        <v>Female</v>
      </c>
      <c r="L549" s="2">
        <f>DAY(ORDERS[[#This Row],[OrderDate]])</f>
        <v>27</v>
      </c>
      <c r="M549" s="2">
        <f>YEAR(ORDERS[[#This Row],[OrderDate]])</f>
        <v>2013</v>
      </c>
    </row>
    <row r="550" spans="1:13" x14ac:dyDescent="0.3">
      <c r="A550">
        <v>549</v>
      </c>
      <c r="B550">
        <v>5</v>
      </c>
      <c r="C550">
        <v>3</v>
      </c>
      <c r="D550" s="1">
        <v>41332</v>
      </c>
      <c r="E550">
        <v>97</v>
      </c>
      <c r="F550">
        <f>VLOOKUP(ORDERS[[#This Row],[ProductID]],Products[],4,FALSE)</f>
        <v>22</v>
      </c>
      <c r="G550">
        <v>0</v>
      </c>
      <c r="H550">
        <f>(ORDERS[[#This Row],[UnitsOrdered]]*ORDERS[[#This Row],[unit price]])-(ORDERS[[#This Row],[UnitsOrdered]]*ORDERS[[#This Row],[unit price]]*ORDERS[[#This Row],[Discount]])</f>
        <v>2134</v>
      </c>
      <c r="I550" t="str">
        <f>VLOOKUP(ORDERS[[#This Row],[CustomerID]],customers[],2,FALSE)</f>
        <v>Rags to Riches</v>
      </c>
      <c r="J550" s="2" t="str">
        <f>VLOOKUP(ORDERS[[#This Row],[CustomerID]],customers[],4,FALSE)</f>
        <v>Las Vegas</v>
      </c>
      <c r="K550" s="2" t="str">
        <f>VLOOKUP(ORDERS[[#This Row],[ProductID]],Products[],3,FALSE)</f>
        <v>Both</v>
      </c>
      <c r="L550" s="2">
        <f>DAY(ORDERS[[#This Row],[OrderDate]])</f>
        <v>27</v>
      </c>
      <c r="M550" s="2">
        <f>YEAR(ORDERS[[#This Row],[OrderDate]])</f>
        <v>2013</v>
      </c>
    </row>
    <row r="551" spans="1:13" x14ac:dyDescent="0.3">
      <c r="A551">
        <v>550</v>
      </c>
      <c r="B551">
        <v>2</v>
      </c>
      <c r="C551">
        <v>9</v>
      </c>
      <c r="D551" s="1">
        <v>41333</v>
      </c>
      <c r="E551">
        <v>57</v>
      </c>
      <c r="F551">
        <f>VLOOKUP(ORDERS[[#This Row],[ProductID]],Products[],4,FALSE)</f>
        <v>25</v>
      </c>
      <c r="G551">
        <v>0</v>
      </c>
      <c r="H551">
        <f>(ORDERS[[#This Row],[UnitsOrdered]]*ORDERS[[#This Row],[unit price]])-(ORDERS[[#This Row],[UnitsOrdered]]*ORDERS[[#This Row],[unit price]]*ORDERS[[#This Row],[Discount]])</f>
        <v>1425</v>
      </c>
      <c r="I551" t="str">
        <f>VLOOKUP(ORDERS[[#This Row],[CustomerID]],customers[],2,FALSE)</f>
        <v>A Shirts Life</v>
      </c>
      <c r="J551" s="2" t="str">
        <f>VLOOKUP(ORDERS[[#This Row],[CustomerID]],customers[],4,FALSE)</f>
        <v>Portland</v>
      </c>
      <c r="K551" s="2" t="str">
        <f>VLOOKUP(ORDERS[[#This Row],[ProductID]],Products[],3,FALSE)</f>
        <v>Male</v>
      </c>
      <c r="L551" s="2">
        <f>DAY(ORDERS[[#This Row],[OrderDate]])</f>
        <v>28</v>
      </c>
      <c r="M551" s="2">
        <f>YEAR(ORDERS[[#This Row],[OrderDate]])</f>
        <v>2013</v>
      </c>
    </row>
    <row r="552" spans="1:13" x14ac:dyDescent="0.3">
      <c r="A552">
        <v>551</v>
      </c>
      <c r="B552">
        <v>1</v>
      </c>
      <c r="C552">
        <v>6</v>
      </c>
      <c r="D552" s="1">
        <v>41334</v>
      </c>
      <c r="E552">
        <v>107</v>
      </c>
      <c r="F552">
        <f>VLOOKUP(ORDERS[[#This Row],[ProductID]],Products[],4,FALSE)</f>
        <v>28</v>
      </c>
      <c r="G552">
        <v>5.0000001000000002E-2</v>
      </c>
      <c r="H552">
        <f>(ORDERS[[#This Row],[UnitsOrdered]]*ORDERS[[#This Row],[unit price]])-(ORDERS[[#This Row],[UnitsOrdered]]*ORDERS[[#This Row],[unit price]]*ORDERS[[#This Row],[Discount]])</f>
        <v>2846.1999970040001</v>
      </c>
      <c r="I552" t="str">
        <f>VLOOKUP(ORDERS[[#This Row],[CustomerID]],customers[],2,FALSE)</f>
        <v>Threads</v>
      </c>
      <c r="J552" s="2" t="str">
        <f>VLOOKUP(ORDERS[[#This Row],[CustomerID]],customers[],4,FALSE)</f>
        <v>Seattle</v>
      </c>
      <c r="K552" s="2" t="str">
        <f>VLOOKUP(ORDERS[[#This Row],[ProductID]],Products[],3,FALSE)</f>
        <v>Female</v>
      </c>
      <c r="L552" s="2">
        <f>DAY(ORDERS[[#This Row],[OrderDate]])</f>
        <v>1</v>
      </c>
      <c r="M552" s="2">
        <f>YEAR(ORDERS[[#This Row],[OrderDate]])</f>
        <v>2013</v>
      </c>
    </row>
    <row r="553" spans="1:13" x14ac:dyDescent="0.3">
      <c r="A553">
        <v>552</v>
      </c>
      <c r="B553">
        <v>3</v>
      </c>
      <c r="C553">
        <v>10</v>
      </c>
      <c r="D553" s="1">
        <v>41334</v>
      </c>
      <c r="E553">
        <v>146</v>
      </c>
      <c r="F553">
        <f>VLOOKUP(ORDERS[[#This Row],[ProductID]],Products[],4,FALSE)</f>
        <v>35</v>
      </c>
      <c r="G553">
        <v>0</v>
      </c>
      <c r="H553">
        <f>(ORDERS[[#This Row],[UnitsOrdered]]*ORDERS[[#This Row],[unit price]])-(ORDERS[[#This Row],[UnitsOrdered]]*ORDERS[[#This Row],[unit price]]*ORDERS[[#This Row],[Discount]])</f>
        <v>5110</v>
      </c>
      <c r="I553" t="str">
        <f>VLOOKUP(ORDERS[[#This Row],[CustomerID]],customers[],2,FALSE)</f>
        <v>Shirts R Us</v>
      </c>
      <c r="J553" s="2" t="str">
        <f>VLOOKUP(ORDERS[[#This Row],[CustomerID]],customers[],4,FALSE)</f>
        <v>Los Angeles</v>
      </c>
      <c r="K553" s="2" t="str">
        <f>VLOOKUP(ORDERS[[#This Row],[ProductID]],Products[],3,FALSE)</f>
        <v>Male</v>
      </c>
      <c r="L553" s="2">
        <f>DAY(ORDERS[[#This Row],[OrderDate]])</f>
        <v>1</v>
      </c>
      <c r="M553" s="2">
        <f>YEAR(ORDERS[[#This Row],[OrderDate]])</f>
        <v>2013</v>
      </c>
    </row>
    <row r="554" spans="1:13" x14ac:dyDescent="0.3">
      <c r="A554">
        <v>553</v>
      </c>
      <c r="B554">
        <v>5</v>
      </c>
      <c r="C554">
        <v>1</v>
      </c>
      <c r="D554" s="1">
        <v>41334</v>
      </c>
      <c r="E554">
        <v>88</v>
      </c>
      <c r="F554">
        <f>VLOOKUP(ORDERS[[#This Row],[ProductID]],Products[],4,FALSE)</f>
        <v>20</v>
      </c>
      <c r="G554">
        <v>0</v>
      </c>
      <c r="H554">
        <f>(ORDERS[[#This Row],[UnitsOrdered]]*ORDERS[[#This Row],[unit price]])-(ORDERS[[#This Row],[UnitsOrdered]]*ORDERS[[#This Row],[unit price]]*ORDERS[[#This Row],[Discount]])</f>
        <v>1760</v>
      </c>
      <c r="I554" t="str">
        <f>VLOOKUP(ORDERS[[#This Row],[CustomerID]],customers[],2,FALSE)</f>
        <v>Rags to Riches</v>
      </c>
      <c r="J554" s="2" t="str">
        <f>VLOOKUP(ORDERS[[#This Row],[CustomerID]],customers[],4,FALSE)</f>
        <v>Las Vegas</v>
      </c>
      <c r="K554" s="2" t="str">
        <f>VLOOKUP(ORDERS[[#This Row],[ProductID]],Products[],3,FALSE)</f>
        <v>Both</v>
      </c>
      <c r="L554" s="2">
        <f>DAY(ORDERS[[#This Row],[OrderDate]])</f>
        <v>1</v>
      </c>
      <c r="M554" s="2">
        <f>YEAR(ORDERS[[#This Row],[OrderDate]])</f>
        <v>2013</v>
      </c>
    </row>
    <row r="555" spans="1:13" x14ac:dyDescent="0.3">
      <c r="A555">
        <v>554</v>
      </c>
      <c r="B555">
        <v>1</v>
      </c>
      <c r="C555">
        <v>7</v>
      </c>
      <c r="D555" s="1">
        <v>41335</v>
      </c>
      <c r="E555">
        <v>136</v>
      </c>
      <c r="F555">
        <f>VLOOKUP(ORDERS[[#This Row],[ProductID]],Products[],4,FALSE)</f>
        <v>38</v>
      </c>
      <c r="G555">
        <v>0</v>
      </c>
      <c r="H555">
        <f>(ORDERS[[#This Row],[UnitsOrdered]]*ORDERS[[#This Row],[unit price]])-(ORDERS[[#This Row],[UnitsOrdered]]*ORDERS[[#This Row],[unit price]]*ORDERS[[#This Row],[Discount]])</f>
        <v>5168</v>
      </c>
      <c r="I555" t="str">
        <f>VLOOKUP(ORDERS[[#This Row],[CustomerID]],customers[],2,FALSE)</f>
        <v>Threads</v>
      </c>
      <c r="J555" s="2" t="str">
        <f>VLOOKUP(ORDERS[[#This Row],[CustomerID]],customers[],4,FALSE)</f>
        <v>Seattle</v>
      </c>
      <c r="K555" s="2" t="str">
        <f>VLOOKUP(ORDERS[[#This Row],[ProductID]],Products[],3,FALSE)</f>
        <v>Female</v>
      </c>
      <c r="L555" s="2">
        <f>DAY(ORDERS[[#This Row],[OrderDate]])</f>
        <v>2</v>
      </c>
      <c r="M555" s="2">
        <f>YEAR(ORDERS[[#This Row],[OrderDate]])</f>
        <v>2013</v>
      </c>
    </row>
    <row r="556" spans="1:13" x14ac:dyDescent="0.3">
      <c r="A556">
        <v>555</v>
      </c>
      <c r="B556">
        <v>6</v>
      </c>
      <c r="C556">
        <v>8</v>
      </c>
      <c r="D556" s="1">
        <v>41335</v>
      </c>
      <c r="E556">
        <v>150</v>
      </c>
      <c r="F556">
        <f>VLOOKUP(ORDERS[[#This Row],[ProductID]],Products[],4,FALSE)</f>
        <v>27</v>
      </c>
      <c r="G556">
        <v>0</v>
      </c>
      <c r="H556">
        <f>(ORDERS[[#This Row],[UnitsOrdered]]*ORDERS[[#This Row],[unit price]])-(ORDERS[[#This Row],[UnitsOrdered]]*ORDERS[[#This Row],[unit price]]*ORDERS[[#This Row],[Discount]])</f>
        <v>4050</v>
      </c>
      <c r="I556" t="str">
        <f>VLOOKUP(ORDERS[[#This Row],[CustomerID]],customers[],2,FALSE)</f>
        <v>Abracadaba Ink</v>
      </c>
      <c r="J556" s="2" t="str">
        <f>VLOOKUP(ORDERS[[#This Row],[CustomerID]],customers[],4,FALSE)</f>
        <v>Salt Lake City</v>
      </c>
      <c r="K556" s="2" t="str">
        <f>VLOOKUP(ORDERS[[#This Row],[ProductID]],Products[],3,FALSE)</f>
        <v>Female</v>
      </c>
      <c r="L556" s="2">
        <f>DAY(ORDERS[[#This Row],[OrderDate]])</f>
        <v>2</v>
      </c>
      <c r="M556" s="2">
        <f>YEAR(ORDERS[[#This Row],[OrderDate]])</f>
        <v>2013</v>
      </c>
    </row>
    <row r="557" spans="1:13" x14ac:dyDescent="0.3">
      <c r="A557">
        <v>556</v>
      </c>
      <c r="B557">
        <v>2</v>
      </c>
      <c r="C557">
        <v>4</v>
      </c>
      <c r="D557" s="1">
        <v>41337</v>
      </c>
      <c r="E557">
        <v>92</v>
      </c>
      <c r="F557">
        <f>VLOOKUP(ORDERS[[#This Row],[ProductID]],Products[],4,FALSE)</f>
        <v>30</v>
      </c>
      <c r="G557">
        <v>5.0000001000000002E-2</v>
      </c>
      <c r="H557">
        <f>(ORDERS[[#This Row],[UnitsOrdered]]*ORDERS[[#This Row],[unit price]])-(ORDERS[[#This Row],[UnitsOrdered]]*ORDERS[[#This Row],[unit price]]*ORDERS[[#This Row],[Discount]])</f>
        <v>2621.9999972400001</v>
      </c>
      <c r="I557" t="str">
        <f>VLOOKUP(ORDERS[[#This Row],[CustomerID]],customers[],2,FALSE)</f>
        <v>A Shirts Life</v>
      </c>
      <c r="J557" s="2" t="str">
        <f>VLOOKUP(ORDERS[[#This Row],[CustomerID]],customers[],4,FALSE)</f>
        <v>Portland</v>
      </c>
      <c r="K557" s="2" t="str">
        <f>VLOOKUP(ORDERS[[#This Row],[ProductID]],Products[],3,FALSE)</f>
        <v>Both</v>
      </c>
      <c r="L557" s="2">
        <f>DAY(ORDERS[[#This Row],[OrderDate]])</f>
        <v>4</v>
      </c>
      <c r="M557" s="2">
        <f>YEAR(ORDERS[[#This Row],[OrderDate]])</f>
        <v>2013</v>
      </c>
    </row>
    <row r="558" spans="1:13" x14ac:dyDescent="0.3">
      <c r="A558">
        <v>557</v>
      </c>
      <c r="B558">
        <v>5</v>
      </c>
      <c r="C558">
        <v>5</v>
      </c>
      <c r="D558" s="1">
        <v>41337</v>
      </c>
      <c r="E558">
        <v>50</v>
      </c>
      <c r="F558">
        <f>VLOOKUP(ORDERS[[#This Row],[ProductID]],Products[],4,FALSE)</f>
        <v>16</v>
      </c>
      <c r="G558">
        <v>0</v>
      </c>
      <c r="H558">
        <f>(ORDERS[[#This Row],[UnitsOrdered]]*ORDERS[[#This Row],[unit price]])-(ORDERS[[#This Row],[UnitsOrdered]]*ORDERS[[#This Row],[unit price]]*ORDERS[[#This Row],[Discount]])</f>
        <v>800</v>
      </c>
      <c r="I558" t="str">
        <f>VLOOKUP(ORDERS[[#This Row],[CustomerID]],customers[],2,FALSE)</f>
        <v>Rags to Riches</v>
      </c>
      <c r="J558" s="2" t="str">
        <f>VLOOKUP(ORDERS[[#This Row],[CustomerID]],customers[],4,FALSE)</f>
        <v>Las Vegas</v>
      </c>
      <c r="K558" s="2" t="str">
        <f>VLOOKUP(ORDERS[[#This Row],[ProductID]],Products[],3,FALSE)</f>
        <v>Female</v>
      </c>
      <c r="L558" s="2">
        <f>DAY(ORDERS[[#This Row],[OrderDate]])</f>
        <v>4</v>
      </c>
      <c r="M558" s="2">
        <f>YEAR(ORDERS[[#This Row],[OrderDate]])</f>
        <v>2013</v>
      </c>
    </row>
    <row r="559" spans="1:13" x14ac:dyDescent="0.3">
      <c r="A559">
        <v>558</v>
      </c>
      <c r="B559">
        <v>3</v>
      </c>
      <c r="C559">
        <v>3</v>
      </c>
      <c r="D559" s="1">
        <v>41340</v>
      </c>
      <c r="E559">
        <v>72</v>
      </c>
      <c r="F559">
        <f>VLOOKUP(ORDERS[[#This Row],[ProductID]],Products[],4,FALSE)</f>
        <v>22</v>
      </c>
      <c r="G559">
        <v>0</v>
      </c>
      <c r="H559">
        <f>(ORDERS[[#This Row],[UnitsOrdered]]*ORDERS[[#This Row],[unit price]])-(ORDERS[[#This Row],[UnitsOrdered]]*ORDERS[[#This Row],[unit price]]*ORDERS[[#This Row],[Discount]])</f>
        <v>1584</v>
      </c>
      <c r="I559" t="str">
        <f>VLOOKUP(ORDERS[[#This Row],[CustomerID]],customers[],2,FALSE)</f>
        <v>Shirts R Us</v>
      </c>
      <c r="J559" s="2" t="str">
        <f>VLOOKUP(ORDERS[[#This Row],[CustomerID]],customers[],4,FALSE)</f>
        <v>Los Angeles</v>
      </c>
      <c r="K559" s="2" t="str">
        <f>VLOOKUP(ORDERS[[#This Row],[ProductID]],Products[],3,FALSE)</f>
        <v>Both</v>
      </c>
      <c r="L559" s="2">
        <f>DAY(ORDERS[[#This Row],[OrderDate]])</f>
        <v>7</v>
      </c>
      <c r="M559" s="2">
        <f>YEAR(ORDERS[[#This Row],[OrderDate]])</f>
        <v>2013</v>
      </c>
    </row>
    <row r="560" spans="1:13" x14ac:dyDescent="0.3">
      <c r="A560">
        <v>559</v>
      </c>
      <c r="B560">
        <v>4</v>
      </c>
      <c r="C560">
        <v>3</v>
      </c>
      <c r="D560" s="1">
        <v>41341</v>
      </c>
      <c r="E560">
        <v>137</v>
      </c>
      <c r="F560">
        <f>VLOOKUP(ORDERS[[#This Row],[ProductID]],Products[],4,FALSE)</f>
        <v>22</v>
      </c>
      <c r="G560">
        <v>0</v>
      </c>
      <c r="H560">
        <f>(ORDERS[[#This Row],[UnitsOrdered]]*ORDERS[[#This Row],[unit price]])-(ORDERS[[#This Row],[UnitsOrdered]]*ORDERS[[#This Row],[unit price]]*ORDERS[[#This Row],[Discount]])</f>
        <v>3014</v>
      </c>
      <c r="I560" t="str">
        <f>VLOOKUP(ORDERS[[#This Row],[CustomerID]],customers[],2,FALSE)</f>
        <v>Tshirt Unlimited</v>
      </c>
      <c r="J560" s="2" t="str">
        <f>VLOOKUP(ORDERS[[#This Row],[CustomerID]],customers[],4,FALSE)</f>
        <v>Phoenix</v>
      </c>
      <c r="K560" s="2" t="str">
        <f>VLOOKUP(ORDERS[[#This Row],[ProductID]],Products[],3,FALSE)</f>
        <v>Both</v>
      </c>
      <c r="L560" s="2">
        <f>DAY(ORDERS[[#This Row],[OrderDate]])</f>
        <v>8</v>
      </c>
      <c r="M560" s="2">
        <f>YEAR(ORDERS[[#This Row],[OrderDate]])</f>
        <v>2013</v>
      </c>
    </row>
    <row r="561" spans="1:13" x14ac:dyDescent="0.3">
      <c r="A561">
        <v>560</v>
      </c>
      <c r="B561">
        <v>6</v>
      </c>
      <c r="C561">
        <v>8</v>
      </c>
      <c r="D561" s="1">
        <v>41341</v>
      </c>
      <c r="E561">
        <v>64</v>
      </c>
      <c r="F561">
        <f>VLOOKUP(ORDERS[[#This Row],[ProductID]],Products[],4,FALSE)</f>
        <v>27</v>
      </c>
      <c r="G561">
        <v>0</v>
      </c>
      <c r="H561">
        <f>(ORDERS[[#This Row],[UnitsOrdered]]*ORDERS[[#This Row],[unit price]])-(ORDERS[[#This Row],[UnitsOrdered]]*ORDERS[[#This Row],[unit price]]*ORDERS[[#This Row],[Discount]])</f>
        <v>1728</v>
      </c>
      <c r="I561" t="str">
        <f>VLOOKUP(ORDERS[[#This Row],[CustomerID]],customers[],2,FALSE)</f>
        <v>Abracadaba Ink</v>
      </c>
      <c r="J561" s="2" t="str">
        <f>VLOOKUP(ORDERS[[#This Row],[CustomerID]],customers[],4,FALSE)</f>
        <v>Salt Lake City</v>
      </c>
      <c r="K561" s="2" t="str">
        <f>VLOOKUP(ORDERS[[#This Row],[ProductID]],Products[],3,FALSE)</f>
        <v>Female</v>
      </c>
      <c r="L561" s="2">
        <f>DAY(ORDERS[[#This Row],[OrderDate]])</f>
        <v>8</v>
      </c>
      <c r="M561" s="2">
        <f>YEAR(ORDERS[[#This Row],[OrderDate]])</f>
        <v>2013</v>
      </c>
    </row>
    <row r="562" spans="1:13" x14ac:dyDescent="0.3">
      <c r="A562">
        <v>561</v>
      </c>
      <c r="B562">
        <v>3</v>
      </c>
      <c r="C562">
        <v>2</v>
      </c>
      <c r="D562" s="1">
        <v>41342</v>
      </c>
      <c r="E562">
        <v>87</v>
      </c>
      <c r="F562">
        <f>VLOOKUP(ORDERS[[#This Row],[ProductID]],Products[],4,FALSE)</f>
        <v>30</v>
      </c>
      <c r="G562">
        <v>0</v>
      </c>
      <c r="H562">
        <f>(ORDERS[[#This Row],[UnitsOrdered]]*ORDERS[[#This Row],[unit price]])-(ORDERS[[#This Row],[UnitsOrdered]]*ORDERS[[#This Row],[unit price]]*ORDERS[[#This Row],[Discount]])</f>
        <v>2610</v>
      </c>
      <c r="I562" t="str">
        <f>VLOOKUP(ORDERS[[#This Row],[CustomerID]],customers[],2,FALSE)</f>
        <v>Shirts R Us</v>
      </c>
      <c r="J562" s="2" t="str">
        <f>VLOOKUP(ORDERS[[#This Row],[CustomerID]],customers[],4,FALSE)</f>
        <v>Los Angeles</v>
      </c>
      <c r="K562" s="2" t="str">
        <f>VLOOKUP(ORDERS[[#This Row],[ProductID]],Products[],3,FALSE)</f>
        <v>Both</v>
      </c>
      <c r="L562" s="2">
        <f>DAY(ORDERS[[#This Row],[OrderDate]])</f>
        <v>9</v>
      </c>
      <c r="M562" s="2">
        <f>YEAR(ORDERS[[#This Row],[OrderDate]])</f>
        <v>2013</v>
      </c>
    </row>
    <row r="563" spans="1:13" x14ac:dyDescent="0.3">
      <c r="A563">
        <v>562</v>
      </c>
      <c r="B563">
        <v>6</v>
      </c>
      <c r="C563">
        <v>5</v>
      </c>
      <c r="D563" s="1">
        <v>41345</v>
      </c>
      <c r="E563">
        <v>141</v>
      </c>
      <c r="F563">
        <f>VLOOKUP(ORDERS[[#This Row],[ProductID]],Products[],4,FALSE)</f>
        <v>16</v>
      </c>
      <c r="G563">
        <v>0</v>
      </c>
      <c r="H563">
        <f>(ORDERS[[#This Row],[UnitsOrdered]]*ORDERS[[#This Row],[unit price]])-(ORDERS[[#This Row],[UnitsOrdered]]*ORDERS[[#This Row],[unit price]]*ORDERS[[#This Row],[Discount]])</f>
        <v>2256</v>
      </c>
      <c r="I563" t="str">
        <f>VLOOKUP(ORDERS[[#This Row],[CustomerID]],customers[],2,FALSE)</f>
        <v>Abracadaba Ink</v>
      </c>
      <c r="J563" s="2" t="str">
        <f>VLOOKUP(ORDERS[[#This Row],[CustomerID]],customers[],4,FALSE)</f>
        <v>Salt Lake City</v>
      </c>
      <c r="K563" s="2" t="str">
        <f>VLOOKUP(ORDERS[[#This Row],[ProductID]],Products[],3,FALSE)</f>
        <v>Female</v>
      </c>
      <c r="L563" s="2">
        <f>DAY(ORDERS[[#This Row],[OrderDate]])</f>
        <v>12</v>
      </c>
      <c r="M563" s="2">
        <f>YEAR(ORDERS[[#This Row],[OrderDate]])</f>
        <v>2013</v>
      </c>
    </row>
    <row r="564" spans="1:13" x14ac:dyDescent="0.3">
      <c r="A564">
        <v>563</v>
      </c>
      <c r="B564">
        <v>6</v>
      </c>
      <c r="C564">
        <v>2</v>
      </c>
      <c r="D564" s="1">
        <v>41346</v>
      </c>
      <c r="E564">
        <v>110</v>
      </c>
      <c r="F564">
        <f>VLOOKUP(ORDERS[[#This Row],[ProductID]],Products[],4,FALSE)</f>
        <v>30</v>
      </c>
      <c r="G564">
        <v>0</v>
      </c>
      <c r="H564">
        <f>(ORDERS[[#This Row],[UnitsOrdered]]*ORDERS[[#This Row],[unit price]])-(ORDERS[[#This Row],[UnitsOrdered]]*ORDERS[[#This Row],[unit price]]*ORDERS[[#This Row],[Discount]])</f>
        <v>3300</v>
      </c>
      <c r="I564" t="str">
        <f>VLOOKUP(ORDERS[[#This Row],[CustomerID]],customers[],2,FALSE)</f>
        <v>Abracadaba Ink</v>
      </c>
      <c r="J564" s="2" t="str">
        <f>VLOOKUP(ORDERS[[#This Row],[CustomerID]],customers[],4,FALSE)</f>
        <v>Salt Lake City</v>
      </c>
      <c r="K564" s="2" t="str">
        <f>VLOOKUP(ORDERS[[#This Row],[ProductID]],Products[],3,FALSE)</f>
        <v>Both</v>
      </c>
      <c r="L564" s="2">
        <f>DAY(ORDERS[[#This Row],[OrderDate]])</f>
        <v>13</v>
      </c>
      <c r="M564" s="2">
        <f>YEAR(ORDERS[[#This Row],[OrderDate]])</f>
        <v>2013</v>
      </c>
    </row>
    <row r="565" spans="1:13" x14ac:dyDescent="0.3">
      <c r="A565">
        <v>564</v>
      </c>
      <c r="B565">
        <v>1</v>
      </c>
      <c r="C565">
        <v>10</v>
      </c>
      <c r="D565" s="1">
        <v>41348</v>
      </c>
      <c r="E565">
        <v>105</v>
      </c>
      <c r="F565">
        <f>VLOOKUP(ORDERS[[#This Row],[ProductID]],Products[],4,FALSE)</f>
        <v>35</v>
      </c>
      <c r="G565">
        <v>0</v>
      </c>
      <c r="H565">
        <f>(ORDERS[[#This Row],[UnitsOrdered]]*ORDERS[[#This Row],[unit price]])-(ORDERS[[#This Row],[UnitsOrdered]]*ORDERS[[#This Row],[unit price]]*ORDERS[[#This Row],[Discount]])</f>
        <v>3675</v>
      </c>
      <c r="I565" t="str">
        <f>VLOOKUP(ORDERS[[#This Row],[CustomerID]],customers[],2,FALSE)</f>
        <v>Threads</v>
      </c>
      <c r="J565" s="2" t="str">
        <f>VLOOKUP(ORDERS[[#This Row],[CustomerID]],customers[],4,FALSE)</f>
        <v>Seattle</v>
      </c>
      <c r="K565" s="2" t="str">
        <f>VLOOKUP(ORDERS[[#This Row],[ProductID]],Products[],3,FALSE)</f>
        <v>Male</v>
      </c>
      <c r="L565" s="2">
        <f>DAY(ORDERS[[#This Row],[OrderDate]])</f>
        <v>15</v>
      </c>
      <c r="M565" s="2">
        <f>YEAR(ORDERS[[#This Row],[OrderDate]])</f>
        <v>2013</v>
      </c>
    </row>
    <row r="566" spans="1:13" x14ac:dyDescent="0.3">
      <c r="A566">
        <v>565</v>
      </c>
      <c r="B566">
        <v>3</v>
      </c>
      <c r="C566">
        <v>5</v>
      </c>
      <c r="D566" s="1">
        <v>41348</v>
      </c>
      <c r="E566">
        <v>50</v>
      </c>
      <c r="F566">
        <f>VLOOKUP(ORDERS[[#This Row],[ProductID]],Products[],4,FALSE)</f>
        <v>16</v>
      </c>
      <c r="G566">
        <v>0</v>
      </c>
      <c r="H566">
        <f>(ORDERS[[#This Row],[UnitsOrdered]]*ORDERS[[#This Row],[unit price]])-(ORDERS[[#This Row],[UnitsOrdered]]*ORDERS[[#This Row],[unit price]]*ORDERS[[#This Row],[Discount]])</f>
        <v>800</v>
      </c>
      <c r="I566" t="str">
        <f>VLOOKUP(ORDERS[[#This Row],[CustomerID]],customers[],2,FALSE)</f>
        <v>Shirts R Us</v>
      </c>
      <c r="J566" s="2" t="str">
        <f>VLOOKUP(ORDERS[[#This Row],[CustomerID]],customers[],4,FALSE)</f>
        <v>Los Angeles</v>
      </c>
      <c r="K566" s="2" t="str">
        <f>VLOOKUP(ORDERS[[#This Row],[ProductID]],Products[],3,FALSE)</f>
        <v>Female</v>
      </c>
      <c r="L566" s="2">
        <f>DAY(ORDERS[[#This Row],[OrderDate]])</f>
        <v>15</v>
      </c>
      <c r="M566" s="2">
        <f>YEAR(ORDERS[[#This Row],[OrderDate]])</f>
        <v>2013</v>
      </c>
    </row>
    <row r="567" spans="1:13" x14ac:dyDescent="0.3">
      <c r="A567">
        <v>566</v>
      </c>
      <c r="B567">
        <v>3</v>
      </c>
      <c r="C567">
        <v>10</v>
      </c>
      <c r="D567" s="1">
        <v>41349</v>
      </c>
      <c r="E567">
        <v>111</v>
      </c>
      <c r="F567">
        <f>VLOOKUP(ORDERS[[#This Row],[ProductID]],Products[],4,FALSE)</f>
        <v>35</v>
      </c>
      <c r="G567">
        <v>0</v>
      </c>
      <c r="H567">
        <f>(ORDERS[[#This Row],[UnitsOrdered]]*ORDERS[[#This Row],[unit price]])-(ORDERS[[#This Row],[UnitsOrdered]]*ORDERS[[#This Row],[unit price]]*ORDERS[[#This Row],[Discount]])</f>
        <v>3885</v>
      </c>
      <c r="I567" t="str">
        <f>VLOOKUP(ORDERS[[#This Row],[CustomerID]],customers[],2,FALSE)</f>
        <v>Shirts R Us</v>
      </c>
      <c r="J567" s="2" t="str">
        <f>VLOOKUP(ORDERS[[#This Row],[CustomerID]],customers[],4,FALSE)</f>
        <v>Los Angeles</v>
      </c>
      <c r="K567" s="2" t="str">
        <f>VLOOKUP(ORDERS[[#This Row],[ProductID]],Products[],3,FALSE)</f>
        <v>Male</v>
      </c>
      <c r="L567" s="2">
        <f>DAY(ORDERS[[#This Row],[OrderDate]])</f>
        <v>16</v>
      </c>
      <c r="M567" s="2">
        <f>YEAR(ORDERS[[#This Row],[OrderDate]])</f>
        <v>2013</v>
      </c>
    </row>
    <row r="568" spans="1:13" x14ac:dyDescent="0.3">
      <c r="A568">
        <v>567</v>
      </c>
      <c r="B568">
        <v>4</v>
      </c>
      <c r="C568">
        <v>6</v>
      </c>
      <c r="D568" s="1">
        <v>41350</v>
      </c>
      <c r="E568">
        <v>135</v>
      </c>
      <c r="F568">
        <f>VLOOKUP(ORDERS[[#This Row],[ProductID]],Products[],4,FALSE)</f>
        <v>28</v>
      </c>
      <c r="G568">
        <v>0</v>
      </c>
      <c r="H568">
        <f>(ORDERS[[#This Row],[UnitsOrdered]]*ORDERS[[#This Row],[unit price]])-(ORDERS[[#This Row],[UnitsOrdered]]*ORDERS[[#This Row],[unit price]]*ORDERS[[#This Row],[Discount]])</f>
        <v>3780</v>
      </c>
      <c r="I568" t="str">
        <f>VLOOKUP(ORDERS[[#This Row],[CustomerID]],customers[],2,FALSE)</f>
        <v>Tshirt Unlimited</v>
      </c>
      <c r="J568" s="2" t="str">
        <f>VLOOKUP(ORDERS[[#This Row],[CustomerID]],customers[],4,FALSE)</f>
        <v>Phoenix</v>
      </c>
      <c r="K568" s="2" t="str">
        <f>VLOOKUP(ORDERS[[#This Row],[ProductID]],Products[],3,FALSE)</f>
        <v>Female</v>
      </c>
      <c r="L568" s="2">
        <f>DAY(ORDERS[[#This Row],[OrderDate]])</f>
        <v>17</v>
      </c>
      <c r="M568" s="2">
        <f>YEAR(ORDERS[[#This Row],[OrderDate]])</f>
        <v>2013</v>
      </c>
    </row>
    <row r="569" spans="1:13" x14ac:dyDescent="0.3">
      <c r="A569">
        <v>568</v>
      </c>
      <c r="B569">
        <v>1</v>
      </c>
      <c r="C569">
        <v>3</v>
      </c>
      <c r="D569" s="1">
        <v>41352</v>
      </c>
      <c r="E569">
        <v>83</v>
      </c>
      <c r="F569">
        <f>VLOOKUP(ORDERS[[#This Row],[ProductID]],Products[],4,FALSE)</f>
        <v>22</v>
      </c>
      <c r="G569">
        <v>0</v>
      </c>
      <c r="H569">
        <f>(ORDERS[[#This Row],[UnitsOrdered]]*ORDERS[[#This Row],[unit price]])-(ORDERS[[#This Row],[UnitsOrdered]]*ORDERS[[#This Row],[unit price]]*ORDERS[[#This Row],[Discount]])</f>
        <v>1826</v>
      </c>
      <c r="I569" t="str">
        <f>VLOOKUP(ORDERS[[#This Row],[CustomerID]],customers[],2,FALSE)</f>
        <v>Threads</v>
      </c>
      <c r="J569" s="2" t="str">
        <f>VLOOKUP(ORDERS[[#This Row],[CustomerID]],customers[],4,FALSE)</f>
        <v>Seattle</v>
      </c>
      <c r="K569" s="2" t="str">
        <f>VLOOKUP(ORDERS[[#This Row],[ProductID]],Products[],3,FALSE)</f>
        <v>Both</v>
      </c>
      <c r="L569" s="2">
        <f>DAY(ORDERS[[#This Row],[OrderDate]])</f>
        <v>19</v>
      </c>
      <c r="M569" s="2">
        <f>YEAR(ORDERS[[#This Row],[OrderDate]])</f>
        <v>2013</v>
      </c>
    </row>
    <row r="570" spans="1:13" x14ac:dyDescent="0.3">
      <c r="A570">
        <v>569</v>
      </c>
      <c r="B570">
        <v>2</v>
      </c>
      <c r="C570">
        <v>3</v>
      </c>
      <c r="D570" s="1">
        <v>41352</v>
      </c>
      <c r="E570">
        <v>150</v>
      </c>
      <c r="F570">
        <f>VLOOKUP(ORDERS[[#This Row],[ProductID]],Products[],4,FALSE)</f>
        <v>22</v>
      </c>
      <c r="G570">
        <v>0</v>
      </c>
      <c r="H570">
        <f>(ORDERS[[#This Row],[UnitsOrdered]]*ORDERS[[#This Row],[unit price]])-(ORDERS[[#This Row],[UnitsOrdered]]*ORDERS[[#This Row],[unit price]]*ORDERS[[#This Row],[Discount]])</f>
        <v>3300</v>
      </c>
      <c r="I570" t="str">
        <f>VLOOKUP(ORDERS[[#This Row],[CustomerID]],customers[],2,FALSE)</f>
        <v>A Shirts Life</v>
      </c>
      <c r="J570" s="2" t="str">
        <f>VLOOKUP(ORDERS[[#This Row],[CustomerID]],customers[],4,FALSE)</f>
        <v>Portland</v>
      </c>
      <c r="K570" s="2" t="str">
        <f>VLOOKUP(ORDERS[[#This Row],[ProductID]],Products[],3,FALSE)</f>
        <v>Both</v>
      </c>
      <c r="L570" s="2">
        <f>DAY(ORDERS[[#This Row],[OrderDate]])</f>
        <v>19</v>
      </c>
      <c r="M570" s="2">
        <f>YEAR(ORDERS[[#This Row],[OrderDate]])</f>
        <v>2013</v>
      </c>
    </row>
    <row r="571" spans="1:13" x14ac:dyDescent="0.3">
      <c r="A571">
        <v>570</v>
      </c>
      <c r="B571">
        <v>2</v>
      </c>
      <c r="C571">
        <v>10</v>
      </c>
      <c r="D571" s="1">
        <v>41352</v>
      </c>
      <c r="E571">
        <v>49</v>
      </c>
      <c r="F571">
        <f>VLOOKUP(ORDERS[[#This Row],[ProductID]],Products[],4,FALSE)</f>
        <v>35</v>
      </c>
      <c r="G571">
        <v>0</v>
      </c>
      <c r="H571">
        <f>(ORDERS[[#This Row],[UnitsOrdered]]*ORDERS[[#This Row],[unit price]])-(ORDERS[[#This Row],[UnitsOrdered]]*ORDERS[[#This Row],[unit price]]*ORDERS[[#This Row],[Discount]])</f>
        <v>1715</v>
      </c>
      <c r="I571" t="str">
        <f>VLOOKUP(ORDERS[[#This Row],[CustomerID]],customers[],2,FALSE)</f>
        <v>A Shirts Life</v>
      </c>
      <c r="J571" s="2" t="str">
        <f>VLOOKUP(ORDERS[[#This Row],[CustomerID]],customers[],4,FALSE)</f>
        <v>Portland</v>
      </c>
      <c r="K571" s="2" t="str">
        <f>VLOOKUP(ORDERS[[#This Row],[ProductID]],Products[],3,FALSE)</f>
        <v>Male</v>
      </c>
      <c r="L571" s="2">
        <f>DAY(ORDERS[[#This Row],[OrderDate]])</f>
        <v>19</v>
      </c>
      <c r="M571" s="2">
        <f>YEAR(ORDERS[[#This Row],[OrderDate]])</f>
        <v>2013</v>
      </c>
    </row>
    <row r="572" spans="1:13" x14ac:dyDescent="0.3">
      <c r="A572">
        <v>571</v>
      </c>
      <c r="B572">
        <v>5</v>
      </c>
      <c r="C572">
        <v>5</v>
      </c>
      <c r="D572" s="1">
        <v>41352</v>
      </c>
      <c r="E572">
        <v>129</v>
      </c>
      <c r="F572">
        <f>VLOOKUP(ORDERS[[#This Row],[ProductID]],Products[],4,FALSE)</f>
        <v>16</v>
      </c>
      <c r="G572">
        <v>0</v>
      </c>
      <c r="H572">
        <f>(ORDERS[[#This Row],[UnitsOrdered]]*ORDERS[[#This Row],[unit price]])-(ORDERS[[#This Row],[UnitsOrdered]]*ORDERS[[#This Row],[unit price]]*ORDERS[[#This Row],[Discount]])</f>
        <v>2064</v>
      </c>
      <c r="I572" t="str">
        <f>VLOOKUP(ORDERS[[#This Row],[CustomerID]],customers[],2,FALSE)</f>
        <v>Rags to Riches</v>
      </c>
      <c r="J572" s="2" t="str">
        <f>VLOOKUP(ORDERS[[#This Row],[CustomerID]],customers[],4,FALSE)</f>
        <v>Las Vegas</v>
      </c>
      <c r="K572" s="2" t="str">
        <f>VLOOKUP(ORDERS[[#This Row],[ProductID]],Products[],3,FALSE)</f>
        <v>Female</v>
      </c>
      <c r="L572" s="2">
        <f>DAY(ORDERS[[#This Row],[OrderDate]])</f>
        <v>19</v>
      </c>
      <c r="M572" s="2">
        <f>YEAR(ORDERS[[#This Row],[OrderDate]])</f>
        <v>2013</v>
      </c>
    </row>
    <row r="573" spans="1:13" x14ac:dyDescent="0.3">
      <c r="A573">
        <v>572</v>
      </c>
      <c r="B573">
        <v>1</v>
      </c>
      <c r="C573">
        <v>9</v>
      </c>
      <c r="D573" s="1">
        <v>41354</v>
      </c>
      <c r="E573">
        <v>61</v>
      </c>
      <c r="F573">
        <f>VLOOKUP(ORDERS[[#This Row],[ProductID]],Products[],4,FALSE)</f>
        <v>25</v>
      </c>
      <c r="G573">
        <v>0</v>
      </c>
      <c r="H573">
        <f>(ORDERS[[#This Row],[UnitsOrdered]]*ORDERS[[#This Row],[unit price]])-(ORDERS[[#This Row],[UnitsOrdered]]*ORDERS[[#This Row],[unit price]]*ORDERS[[#This Row],[Discount]])</f>
        <v>1525</v>
      </c>
      <c r="I573" t="str">
        <f>VLOOKUP(ORDERS[[#This Row],[CustomerID]],customers[],2,FALSE)</f>
        <v>Threads</v>
      </c>
      <c r="J573" s="2" t="str">
        <f>VLOOKUP(ORDERS[[#This Row],[CustomerID]],customers[],4,FALSE)</f>
        <v>Seattle</v>
      </c>
      <c r="K573" s="2" t="str">
        <f>VLOOKUP(ORDERS[[#This Row],[ProductID]],Products[],3,FALSE)</f>
        <v>Male</v>
      </c>
      <c r="L573" s="2">
        <f>DAY(ORDERS[[#This Row],[OrderDate]])</f>
        <v>21</v>
      </c>
      <c r="M573" s="2">
        <f>YEAR(ORDERS[[#This Row],[OrderDate]])</f>
        <v>2013</v>
      </c>
    </row>
    <row r="574" spans="1:13" x14ac:dyDescent="0.3">
      <c r="A574">
        <v>573</v>
      </c>
      <c r="B574">
        <v>4</v>
      </c>
      <c r="C574">
        <v>7</v>
      </c>
      <c r="D574" s="1">
        <v>41355</v>
      </c>
      <c r="E574">
        <v>136</v>
      </c>
      <c r="F574">
        <f>VLOOKUP(ORDERS[[#This Row],[ProductID]],Products[],4,FALSE)</f>
        <v>38</v>
      </c>
      <c r="G574">
        <v>0</v>
      </c>
      <c r="H574">
        <f>(ORDERS[[#This Row],[UnitsOrdered]]*ORDERS[[#This Row],[unit price]])-(ORDERS[[#This Row],[UnitsOrdered]]*ORDERS[[#This Row],[unit price]]*ORDERS[[#This Row],[Discount]])</f>
        <v>5168</v>
      </c>
      <c r="I574" t="str">
        <f>VLOOKUP(ORDERS[[#This Row],[CustomerID]],customers[],2,FALSE)</f>
        <v>Tshirt Unlimited</v>
      </c>
      <c r="J574" s="2" t="str">
        <f>VLOOKUP(ORDERS[[#This Row],[CustomerID]],customers[],4,FALSE)</f>
        <v>Phoenix</v>
      </c>
      <c r="K574" s="2" t="str">
        <f>VLOOKUP(ORDERS[[#This Row],[ProductID]],Products[],3,FALSE)</f>
        <v>Female</v>
      </c>
      <c r="L574" s="2">
        <f>DAY(ORDERS[[#This Row],[OrderDate]])</f>
        <v>22</v>
      </c>
      <c r="M574" s="2">
        <f>YEAR(ORDERS[[#This Row],[OrderDate]])</f>
        <v>2013</v>
      </c>
    </row>
    <row r="575" spans="1:13" x14ac:dyDescent="0.3">
      <c r="A575">
        <v>574</v>
      </c>
      <c r="B575">
        <v>6</v>
      </c>
      <c r="C575">
        <v>4</v>
      </c>
      <c r="D575" s="1">
        <v>41355</v>
      </c>
      <c r="E575">
        <v>145</v>
      </c>
      <c r="F575">
        <f>VLOOKUP(ORDERS[[#This Row],[ProductID]],Products[],4,FALSE)</f>
        <v>30</v>
      </c>
      <c r="G575">
        <v>0</v>
      </c>
      <c r="H575">
        <f>(ORDERS[[#This Row],[UnitsOrdered]]*ORDERS[[#This Row],[unit price]])-(ORDERS[[#This Row],[UnitsOrdered]]*ORDERS[[#This Row],[unit price]]*ORDERS[[#This Row],[Discount]])</f>
        <v>4350</v>
      </c>
      <c r="I575" t="str">
        <f>VLOOKUP(ORDERS[[#This Row],[CustomerID]],customers[],2,FALSE)</f>
        <v>Abracadaba Ink</v>
      </c>
      <c r="J575" s="2" t="str">
        <f>VLOOKUP(ORDERS[[#This Row],[CustomerID]],customers[],4,FALSE)</f>
        <v>Salt Lake City</v>
      </c>
      <c r="K575" s="2" t="str">
        <f>VLOOKUP(ORDERS[[#This Row],[ProductID]],Products[],3,FALSE)</f>
        <v>Both</v>
      </c>
      <c r="L575" s="2">
        <f>DAY(ORDERS[[#This Row],[OrderDate]])</f>
        <v>22</v>
      </c>
      <c r="M575" s="2">
        <f>YEAR(ORDERS[[#This Row],[OrderDate]])</f>
        <v>2013</v>
      </c>
    </row>
    <row r="576" spans="1:13" x14ac:dyDescent="0.3">
      <c r="A576">
        <v>575</v>
      </c>
      <c r="B576">
        <v>7</v>
      </c>
      <c r="C576">
        <v>3</v>
      </c>
      <c r="D576" s="1">
        <v>41356</v>
      </c>
      <c r="E576">
        <v>77</v>
      </c>
      <c r="F576">
        <f>VLOOKUP(ORDERS[[#This Row],[ProductID]],Products[],4,FALSE)</f>
        <v>22</v>
      </c>
      <c r="G576">
        <v>0</v>
      </c>
      <c r="H576">
        <f>(ORDERS[[#This Row],[UnitsOrdered]]*ORDERS[[#This Row],[unit price]])-(ORDERS[[#This Row],[UnitsOrdered]]*ORDERS[[#This Row],[unit price]]*ORDERS[[#This Row],[Discount]])</f>
        <v>1694</v>
      </c>
      <c r="I576" t="str">
        <f>VLOOKUP(ORDERS[[#This Row],[CustomerID]],customers[],2,FALSE)</f>
        <v>The Shirt on Your Back</v>
      </c>
      <c r="J576" s="2" t="str">
        <f>VLOOKUP(ORDERS[[#This Row],[CustomerID]],customers[],4,FALSE)</f>
        <v>Bonners Ferry</v>
      </c>
      <c r="K576" s="2" t="str">
        <f>VLOOKUP(ORDERS[[#This Row],[ProductID]],Products[],3,FALSE)</f>
        <v>Both</v>
      </c>
      <c r="L576" s="2">
        <f>DAY(ORDERS[[#This Row],[OrderDate]])</f>
        <v>23</v>
      </c>
      <c r="M576" s="2">
        <f>YEAR(ORDERS[[#This Row],[OrderDate]])</f>
        <v>2013</v>
      </c>
    </row>
    <row r="577" spans="1:13" x14ac:dyDescent="0.3">
      <c r="A577">
        <v>576</v>
      </c>
      <c r="B577">
        <v>5</v>
      </c>
      <c r="C577">
        <v>8</v>
      </c>
      <c r="D577" s="1">
        <v>41357</v>
      </c>
      <c r="E577">
        <v>41</v>
      </c>
      <c r="F577">
        <f>VLOOKUP(ORDERS[[#This Row],[ProductID]],Products[],4,FALSE)</f>
        <v>27</v>
      </c>
      <c r="G577">
        <v>0</v>
      </c>
      <c r="H577">
        <f>(ORDERS[[#This Row],[UnitsOrdered]]*ORDERS[[#This Row],[unit price]])-(ORDERS[[#This Row],[UnitsOrdered]]*ORDERS[[#This Row],[unit price]]*ORDERS[[#This Row],[Discount]])</f>
        <v>1107</v>
      </c>
      <c r="I577" t="str">
        <f>VLOOKUP(ORDERS[[#This Row],[CustomerID]],customers[],2,FALSE)</f>
        <v>Rags to Riches</v>
      </c>
      <c r="J577" s="2" t="str">
        <f>VLOOKUP(ORDERS[[#This Row],[CustomerID]],customers[],4,FALSE)</f>
        <v>Las Vegas</v>
      </c>
      <c r="K577" s="2" t="str">
        <f>VLOOKUP(ORDERS[[#This Row],[ProductID]],Products[],3,FALSE)</f>
        <v>Female</v>
      </c>
      <c r="L577" s="2">
        <f>DAY(ORDERS[[#This Row],[OrderDate]])</f>
        <v>24</v>
      </c>
      <c r="M577" s="2">
        <f>YEAR(ORDERS[[#This Row],[OrderDate]])</f>
        <v>2013</v>
      </c>
    </row>
    <row r="578" spans="1:13" x14ac:dyDescent="0.3">
      <c r="A578">
        <v>577</v>
      </c>
      <c r="B578">
        <v>2</v>
      </c>
      <c r="C578">
        <v>4</v>
      </c>
      <c r="D578" s="1">
        <v>41359</v>
      </c>
      <c r="E578">
        <v>42</v>
      </c>
      <c r="F578">
        <f>VLOOKUP(ORDERS[[#This Row],[ProductID]],Products[],4,FALSE)</f>
        <v>30</v>
      </c>
      <c r="G578">
        <v>0</v>
      </c>
      <c r="H578">
        <f>(ORDERS[[#This Row],[UnitsOrdered]]*ORDERS[[#This Row],[unit price]])-(ORDERS[[#This Row],[UnitsOrdered]]*ORDERS[[#This Row],[unit price]]*ORDERS[[#This Row],[Discount]])</f>
        <v>1260</v>
      </c>
      <c r="I578" t="str">
        <f>VLOOKUP(ORDERS[[#This Row],[CustomerID]],customers[],2,FALSE)</f>
        <v>A Shirts Life</v>
      </c>
      <c r="J578" s="2" t="str">
        <f>VLOOKUP(ORDERS[[#This Row],[CustomerID]],customers[],4,FALSE)</f>
        <v>Portland</v>
      </c>
      <c r="K578" s="2" t="str">
        <f>VLOOKUP(ORDERS[[#This Row],[ProductID]],Products[],3,FALSE)</f>
        <v>Both</v>
      </c>
      <c r="L578" s="2">
        <f>DAY(ORDERS[[#This Row],[OrderDate]])</f>
        <v>26</v>
      </c>
      <c r="M578" s="2">
        <f>YEAR(ORDERS[[#This Row],[OrderDate]])</f>
        <v>2013</v>
      </c>
    </row>
    <row r="579" spans="1:13" x14ac:dyDescent="0.3">
      <c r="A579">
        <v>578</v>
      </c>
      <c r="B579">
        <v>3</v>
      </c>
      <c r="C579">
        <v>3</v>
      </c>
      <c r="D579" s="1">
        <v>41361</v>
      </c>
      <c r="E579">
        <v>126</v>
      </c>
      <c r="F579">
        <f>VLOOKUP(ORDERS[[#This Row],[ProductID]],Products[],4,FALSE)</f>
        <v>22</v>
      </c>
      <c r="G579">
        <v>0</v>
      </c>
      <c r="H579">
        <f>(ORDERS[[#This Row],[UnitsOrdered]]*ORDERS[[#This Row],[unit price]])-(ORDERS[[#This Row],[UnitsOrdered]]*ORDERS[[#This Row],[unit price]]*ORDERS[[#This Row],[Discount]])</f>
        <v>2772</v>
      </c>
      <c r="I579" t="str">
        <f>VLOOKUP(ORDERS[[#This Row],[CustomerID]],customers[],2,FALSE)</f>
        <v>Shirts R Us</v>
      </c>
      <c r="J579" s="2" t="str">
        <f>VLOOKUP(ORDERS[[#This Row],[CustomerID]],customers[],4,FALSE)</f>
        <v>Los Angeles</v>
      </c>
      <c r="K579" s="2" t="str">
        <f>VLOOKUP(ORDERS[[#This Row],[ProductID]],Products[],3,FALSE)</f>
        <v>Both</v>
      </c>
      <c r="L579" s="2">
        <f>DAY(ORDERS[[#This Row],[OrderDate]])</f>
        <v>28</v>
      </c>
      <c r="M579" s="2">
        <f>YEAR(ORDERS[[#This Row],[OrderDate]])</f>
        <v>2013</v>
      </c>
    </row>
    <row r="580" spans="1:13" x14ac:dyDescent="0.3">
      <c r="A580">
        <v>579</v>
      </c>
      <c r="B580">
        <v>2</v>
      </c>
      <c r="C580">
        <v>7</v>
      </c>
      <c r="D580" s="1">
        <v>41362</v>
      </c>
      <c r="E580">
        <v>58</v>
      </c>
      <c r="F580">
        <f>VLOOKUP(ORDERS[[#This Row],[ProductID]],Products[],4,FALSE)</f>
        <v>38</v>
      </c>
      <c r="G580">
        <v>0</v>
      </c>
      <c r="H580">
        <f>(ORDERS[[#This Row],[UnitsOrdered]]*ORDERS[[#This Row],[unit price]])-(ORDERS[[#This Row],[UnitsOrdered]]*ORDERS[[#This Row],[unit price]]*ORDERS[[#This Row],[Discount]])</f>
        <v>2204</v>
      </c>
      <c r="I580" t="str">
        <f>VLOOKUP(ORDERS[[#This Row],[CustomerID]],customers[],2,FALSE)</f>
        <v>A Shirts Life</v>
      </c>
      <c r="J580" s="2" t="str">
        <f>VLOOKUP(ORDERS[[#This Row],[CustomerID]],customers[],4,FALSE)</f>
        <v>Portland</v>
      </c>
      <c r="K580" s="2" t="str">
        <f>VLOOKUP(ORDERS[[#This Row],[ProductID]],Products[],3,FALSE)</f>
        <v>Female</v>
      </c>
      <c r="L580" s="2">
        <f>DAY(ORDERS[[#This Row],[OrderDate]])</f>
        <v>29</v>
      </c>
      <c r="M580" s="2">
        <f>YEAR(ORDERS[[#This Row],[OrderDate]])</f>
        <v>2013</v>
      </c>
    </row>
    <row r="581" spans="1:13" x14ac:dyDescent="0.3">
      <c r="A581">
        <v>580</v>
      </c>
      <c r="B581">
        <v>2</v>
      </c>
      <c r="C581">
        <v>10</v>
      </c>
      <c r="D581" s="1">
        <v>41364</v>
      </c>
      <c r="E581">
        <v>45</v>
      </c>
      <c r="F581">
        <f>VLOOKUP(ORDERS[[#This Row],[ProductID]],Products[],4,FALSE)</f>
        <v>35</v>
      </c>
      <c r="G581">
        <v>0</v>
      </c>
      <c r="H581">
        <f>(ORDERS[[#This Row],[UnitsOrdered]]*ORDERS[[#This Row],[unit price]])-(ORDERS[[#This Row],[UnitsOrdered]]*ORDERS[[#This Row],[unit price]]*ORDERS[[#This Row],[Discount]])</f>
        <v>1575</v>
      </c>
      <c r="I581" t="str">
        <f>VLOOKUP(ORDERS[[#This Row],[CustomerID]],customers[],2,FALSE)</f>
        <v>A Shirts Life</v>
      </c>
      <c r="J581" s="2" t="str">
        <f>VLOOKUP(ORDERS[[#This Row],[CustomerID]],customers[],4,FALSE)</f>
        <v>Portland</v>
      </c>
      <c r="K581" s="2" t="str">
        <f>VLOOKUP(ORDERS[[#This Row],[ProductID]],Products[],3,FALSE)</f>
        <v>Male</v>
      </c>
      <c r="L581" s="2">
        <f>DAY(ORDERS[[#This Row],[OrderDate]])</f>
        <v>31</v>
      </c>
      <c r="M581" s="2">
        <f>YEAR(ORDERS[[#This Row],[OrderDate]])</f>
        <v>2013</v>
      </c>
    </row>
    <row r="582" spans="1:13" x14ac:dyDescent="0.3">
      <c r="A582">
        <v>581</v>
      </c>
      <c r="B582">
        <v>3</v>
      </c>
      <c r="C582">
        <v>1</v>
      </c>
      <c r="D582" s="1">
        <v>41365</v>
      </c>
      <c r="E582">
        <v>34</v>
      </c>
      <c r="F582">
        <f>VLOOKUP(ORDERS[[#This Row],[ProductID]],Products[],4,FALSE)</f>
        <v>20</v>
      </c>
      <c r="G582">
        <v>0</v>
      </c>
      <c r="H582">
        <f>(ORDERS[[#This Row],[UnitsOrdered]]*ORDERS[[#This Row],[unit price]])-(ORDERS[[#This Row],[UnitsOrdered]]*ORDERS[[#This Row],[unit price]]*ORDERS[[#This Row],[Discount]])</f>
        <v>680</v>
      </c>
      <c r="I582" t="str">
        <f>VLOOKUP(ORDERS[[#This Row],[CustomerID]],customers[],2,FALSE)</f>
        <v>Shirts R Us</v>
      </c>
      <c r="J582" s="2" t="str">
        <f>VLOOKUP(ORDERS[[#This Row],[CustomerID]],customers[],4,FALSE)</f>
        <v>Los Angeles</v>
      </c>
      <c r="K582" s="2" t="str">
        <f>VLOOKUP(ORDERS[[#This Row],[ProductID]],Products[],3,FALSE)</f>
        <v>Both</v>
      </c>
      <c r="L582" s="2">
        <f>DAY(ORDERS[[#This Row],[OrderDate]])</f>
        <v>1</v>
      </c>
      <c r="M582" s="2">
        <f>YEAR(ORDERS[[#This Row],[OrderDate]])</f>
        <v>2013</v>
      </c>
    </row>
    <row r="583" spans="1:13" x14ac:dyDescent="0.3">
      <c r="A583">
        <v>582</v>
      </c>
      <c r="B583">
        <v>3</v>
      </c>
      <c r="C583">
        <v>8</v>
      </c>
      <c r="D583" s="1">
        <v>41367</v>
      </c>
      <c r="E583">
        <v>56</v>
      </c>
      <c r="F583">
        <f>VLOOKUP(ORDERS[[#This Row],[ProductID]],Products[],4,FALSE)</f>
        <v>27</v>
      </c>
      <c r="G583">
        <v>0</v>
      </c>
      <c r="H583">
        <f>(ORDERS[[#This Row],[UnitsOrdered]]*ORDERS[[#This Row],[unit price]])-(ORDERS[[#This Row],[UnitsOrdered]]*ORDERS[[#This Row],[unit price]]*ORDERS[[#This Row],[Discount]])</f>
        <v>1512</v>
      </c>
      <c r="I583" t="str">
        <f>VLOOKUP(ORDERS[[#This Row],[CustomerID]],customers[],2,FALSE)</f>
        <v>Shirts R Us</v>
      </c>
      <c r="J583" s="2" t="str">
        <f>VLOOKUP(ORDERS[[#This Row],[CustomerID]],customers[],4,FALSE)</f>
        <v>Los Angeles</v>
      </c>
      <c r="K583" s="2" t="str">
        <f>VLOOKUP(ORDERS[[#This Row],[ProductID]],Products[],3,FALSE)</f>
        <v>Female</v>
      </c>
      <c r="L583" s="2">
        <f>DAY(ORDERS[[#This Row],[OrderDate]])</f>
        <v>3</v>
      </c>
      <c r="M583" s="2">
        <f>YEAR(ORDERS[[#This Row],[OrderDate]])</f>
        <v>2013</v>
      </c>
    </row>
    <row r="584" spans="1:13" x14ac:dyDescent="0.3">
      <c r="A584">
        <v>583</v>
      </c>
      <c r="B584">
        <v>1</v>
      </c>
      <c r="C584">
        <v>3</v>
      </c>
      <c r="D584" s="1">
        <v>41370</v>
      </c>
      <c r="E584">
        <v>119</v>
      </c>
      <c r="F584">
        <f>VLOOKUP(ORDERS[[#This Row],[ProductID]],Products[],4,FALSE)</f>
        <v>22</v>
      </c>
      <c r="G584">
        <v>0</v>
      </c>
      <c r="H584">
        <f>(ORDERS[[#This Row],[UnitsOrdered]]*ORDERS[[#This Row],[unit price]])-(ORDERS[[#This Row],[UnitsOrdered]]*ORDERS[[#This Row],[unit price]]*ORDERS[[#This Row],[Discount]])</f>
        <v>2618</v>
      </c>
      <c r="I584" t="str">
        <f>VLOOKUP(ORDERS[[#This Row],[CustomerID]],customers[],2,FALSE)</f>
        <v>Threads</v>
      </c>
      <c r="J584" s="2" t="str">
        <f>VLOOKUP(ORDERS[[#This Row],[CustomerID]],customers[],4,FALSE)</f>
        <v>Seattle</v>
      </c>
      <c r="K584" s="2" t="str">
        <f>VLOOKUP(ORDERS[[#This Row],[ProductID]],Products[],3,FALSE)</f>
        <v>Both</v>
      </c>
      <c r="L584" s="2">
        <f>DAY(ORDERS[[#This Row],[OrderDate]])</f>
        <v>6</v>
      </c>
      <c r="M584" s="2">
        <f>YEAR(ORDERS[[#This Row],[OrderDate]])</f>
        <v>2013</v>
      </c>
    </row>
    <row r="585" spans="1:13" x14ac:dyDescent="0.3">
      <c r="A585">
        <v>584</v>
      </c>
      <c r="B585">
        <v>4</v>
      </c>
      <c r="C585">
        <v>5</v>
      </c>
      <c r="D585" s="1">
        <v>41370</v>
      </c>
      <c r="E585">
        <v>75</v>
      </c>
      <c r="F585">
        <f>VLOOKUP(ORDERS[[#This Row],[ProductID]],Products[],4,FALSE)</f>
        <v>16</v>
      </c>
      <c r="G585">
        <v>0</v>
      </c>
      <c r="H585">
        <f>(ORDERS[[#This Row],[UnitsOrdered]]*ORDERS[[#This Row],[unit price]])-(ORDERS[[#This Row],[UnitsOrdered]]*ORDERS[[#This Row],[unit price]]*ORDERS[[#This Row],[Discount]])</f>
        <v>1200</v>
      </c>
      <c r="I585" t="str">
        <f>VLOOKUP(ORDERS[[#This Row],[CustomerID]],customers[],2,FALSE)</f>
        <v>Tshirt Unlimited</v>
      </c>
      <c r="J585" s="2" t="str">
        <f>VLOOKUP(ORDERS[[#This Row],[CustomerID]],customers[],4,FALSE)</f>
        <v>Phoenix</v>
      </c>
      <c r="K585" s="2" t="str">
        <f>VLOOKUP(ORDERS[[#This Row],[ProductID]],Products[],3,FALSE)</f>
        <v>Female</v>
      </c>
      <c r="L585" s="2">
        <f>DAY(ORDERS[[#This Row],[OrderDate]])</f>
        <v>6</v>
      </c>
      <c r="M585" s="2">
        <f>YEAR(ORDERS[[#This Row],[OrderDate]])</f>
        <v>2013</v>
      </c>
    </row>
    <row r="586" spans="1:13" x14ac:dyDescent="0.3">
      <c r="A586">
        <v>585</v>
      </c>
      <c r="B586">
        <v>3</v>
      </c>
      <c r="C586">
        <v>4</v>
      </c>
      <c r="D586" s="1">
        <v>41371</v>
      </c>
      <c r="E586">
        <v>25</v>
      </c>
      <c r="F586">
        <f>VLOOKUP(ORDERS[[#This Row],[ProductID]],Products[],4,FALSE)</f>
        <v>30</v>
      </c>
      <c r="G586">
        <v>0</v>
      </c>
      <c r="H586">
        <f>(ORDERS[[#This Row],[UnitsOrdered]]*ORDERS[[#This Row],[unit price]])-(ORDERS[[#This Row],[UnitsOrdered]]*ORDERS[[#This Row],[unit price]]*ORDERS[[#This Row],[Discount]])</f>
        <v>750</v>
      </c>
      <c r="I586" t="str">
        <f>VLOOKUP(ORDERS[[#This Row],[CustomerID]],customers[],2,FALSE)</f>
        <v>Shirts R Us</v>
      </c>
      <c r="J586" s="2" t="str">
        <f>VLOOKUP(ORDERS[[#This Row],[CustomerID]],customers[],4,FALSE)</f>
        <v>Los Angeles</v>
      </c>
      <c r="K586" s="2" t="str">
        <f>VLOOKUP(ORDERS[[#This Row],[ProductID]],Products[],3,FALSE)</f>
        <v>Both</v>
      </c>
      <c r="L586" s="2">
        <f>DAY(ORDERS[[#This Row],[OrderDate]])</f>
        <v>7</v>
      </c>
      <c r="M586" s="2">
        <f>YEAR(ORDERS[[#This Row],[OrderDate]])</f>
        <v>2013</v>
      </c>
    </row>
    <row r="587" spans="1:13" x14ac:dyDescent="0.3">
      <c r="A587">
        <v>586</v>
      </c>
      <c r="B587">
        <v>2</v>
      </c>
      <c r="C587">
        <v>4</v>
      </c>
      <c r="D587" s="1">
        <v>41373</v>
      </c>
      <c r="E587">
        <v>148</v>
      </c>
      <c r="F587">
        <f>VLOOKUP(ORDERS[[#This Row],[ProductID]],Products[],4,FALSE)</f>
        <v>30</v>
      </c>
      <c r="G587">
        <v>0</v>
      </c>
      <c r="H587">
        <f>(ORDERS[[#This Row],[UnitsOrdered]]*ORDERS[[#This Row],[unit price]])-(ORDERS[[#This Row],[UnitsOrdered]]*ORDERS[[#This Row],[unit price]]*ORDERS[[#This Row],[Discount]])</f>
        <v>4440</v>
      </c>
      <c r="I587" t="str">
        <f>VLOOKUP(ORDERS[[#This Row],[CustomerID]],customers[],2,FALSE)</f>
        <v>A Shirts Life</v>
      </c>
      <c r="J587" s="2" t="str">
        <f>VLOOKUP(ORDERS[[#This Row],[CustomerID]],customers[],4,FALSE)</f>
        <v>Portland</v>
      </c>
      <c r="K587" s="2" t="str">
        <f>VLOOKUP(ORDERS[[#This Row],[ProductID]],Products[],3,FALSE)</f>
        <v>Both</v>
      </c>
      <c r="L587" s="2">
        <f>DAY(ORDERS[[#This Row],[OrderDate]])</f>
        <v>9</v>
      </c>
      <c r="M587" s="2">
        <f>YEAR(ORDERS[[#This Row],[OrderDate]])</f>
        <v>2013</v>
      </c>
    </row>
    <row r="588" spans="1:13" x14ac:dyDescent="0.3">
      <c r="A588">
        <v>587</v>
      </c>
      <c r="B588">
        <v>6</v>
      </c>
      <c r="C588">
        <v>1</v>
      </c>
      <c r="D588" s="1">
        <v>41375</v>
      </c>
      <c r="E588">
        <v>125</v>
      </c>
      <c r="F588">
        <f>VLOOKUP(ORDERS[[#This Row],[ProductID]],Products[],4,FALSE)</f>
        <v>20</v>
      </c>
      <c r="G588">
        <v>0.15000000599999999</v>
      </c>
      <c r="H588">
        <f>(ORDERS[[#This Row],[UnitsOrdered]]*ORDERS[[#This Row],[unit price]])-(ORDERS[[#This Row],[UnitsOrdered]]*ORDERS[[#This Row],[unit price]]*ORDERS[[#This Row],[Discount]])</f>
        <v>2124.9999849999999</v>
      </c>
      <c r="I588" t="str">
        <f>VLOOKUP(ORDERS[[#This Row],[CustomerID]],customers[],2,FALSE)</f>
        <v>Abracadaba Ink</v>
      </c>
      <c r="J588" s="2" t="str">
        <f>VLOOKUP(ORDERS[[#This Row],[CustomerID]],customers[],4,FALSE)</f>
        <v>Salt Lake City</v>
      </c>
      <c r="K588" s="2" t="str">
        <f>VLOOKUP(ORDERS[[#This Row],[ProductID]],Products[],3,FALSE)</f>
        <v>Both</v>
      </c>
      <c r="L588" s="2">
        <f>DAY(ORDERS[[#This Row],[OrderDate]])</f>
        <v>11</v>
      </c>
      <c r="M588" s="2">
        <f>YEAR(ORDERS[[#This Row],[OrderDate]])</f>
        <v>2013</v>
      </c>
    </row>
    <row r="589" spans="1:13" x14ac:dyDescent="0.3">
      <c r="A589">
        <v>588</v>
      </c>
      <c r="B589">
        <v>6</v>
      </c>
      <c r="C589">
        <v>10</v>
      </c>
      <c r="D589" s="1">
        <v>41375</v>
      </c>
      <c r="E589">
        <v>95</v>
      </c>
      <c r="F589">
        <f>VLOOKUP(ORDERS[[#This Row],[ProductID]],Products[],4,FALSE)</f>
        <v>35</v>
      </c>
      <c r="G589">
        <v>0</v>
      </c>
      <c r="H589">
        <f>(ORDERS[[#This Row],[UnitsOrdered]]*ORDERS[[#This Row],[unit price]])-(ORDERS[[#This Row],[UnitsOrdered]]*ORDERS[[#This Row],[unit price]]*ORDERS[[#This Row],[Discount]])</f>
        <v>3325</v>
      </c>
      <c r="I589" t="str">
        <f>VLOOKUP(ORDERS[[#This Row],[CustomerID]],customers[],2,FALSE)</f>
        <v>Abracadaba Ink</v>
      </c>
      <c r="J589" s="2" t="str">
        <f>VLOOKUP(ORDERS[[#This Row],[CustomerID]],customers[],4,FALSE)</f>
        <v>Salt Lake City</v>
      </c>
      <c r="K589" s="2" t="str">
        <f>VLOOKUP(ORDERS[[#This Row],[ProductID]],Products[],3,FALSE)</f>
        <v>Male</v>
      </c>
      <c r="L589" s="2">
        <f>DAY(ORDERS[[#This Row],[OrderDate]])</f>
        <v>11</v>
      </c>
      <c r="M589" s="2">
        <f>YEAR(ORDERS[[#This Row],[OrderDate]])</f>
        <v>2013</v>
      </c>
    </row>
    <row r="590" spans="1:13" x14ac:dyDescent="0.3">
      <c r="A590">
        <v>589</v>
      </c>
      <c r="B590">
        <v>5</v>
      </c>
      <c r="C590">
        <v>1</v>
      </c>
      <c r="D590" s="1">
        <v>41376</v>
      </c>
      <c r="E590">
        <v>93</v>
      </c>
      <c r="F590">
        <f>VLOOKUP(ORDERS[[#This Row],[ProductID]],Products[],4,FALSE)</f>
        <v>20</v>
      </c>
      <c r="G590">
        <v>0</v>
      </c>
      <c r="H590">
        <f>(ORDERS[[#This Row],[UnitsOrdered]]*ORDERS[[#This Row],[unit price]])-(ORDERS[[#This Row],[UnitsOrdered]]*ORDERS[[#This Row],[unit price]]*ORDERS[[#This Row],[Discount]])</f>
        <v>1860</v>
      </c>
      <c r="I590" t="str">
        <f>VLOOKUP(ORDERS[[#This Row],[CustomerID]],customers[],2,FALSE)</f>
        <v>Rags to Riches</v>
      </c>
      <c r="J590" s="2" t="str">
        <f>VLOOKUP(ORDERS[[#This Row],[CustomerID]],customers[],4,FALSE)</f>
        <v>Las Vegas</v>
      </c>
      <c r="K590" s="2" t="str">
        <f>VLOOKUP(ORDERS[[#This Row],[ProductID]],Products[],3,FALSE)</f>
        <v>Both</v>
      </c>
      <c r="L590" s="2">
        <f>DAY(ORDERS[[#This Row],[OrderDate]])</f>
        <v>12</v>
      </c>
      <c r="M590" s="2">
        <f>YEAR(ORDERS[[#This Row],[OrderDate]])</f>
        <v>2013</v>
      </c>
    </row>
    <row r="591" spans="1:13" x14ac:dyDescent="0.3">
      <c r="A591">
        <v>590</v>
      </c>
      <c r="B591">
        <v>6</v>
      </c>
      <c r="C591">
        <v>2</v>
      </c>
      <c r="D591" s="1">
        <v>41376</v>
      </c>
      <c r="E591">
        <v>39</v>
      </c>
      <c r="F591">
        <f>VLOOKUP(ORDERS[[#This Row],[ProductID]],Products[],4,FALSE)</f>
        <v>30</v>
      </c>
      <c r="G591">
        <v>5.0000001000000002E-2</v>
      </c>
      <c r="H591">
        <f>(ORDERS[[#This Row],[UnitsOrdered]]*ORDERS[[#This Row],[unit price]])-(ORDERS[[#This Row],[UnitsOrdered]]*ORDERS[[#This Row],[unit price]]*ORDERS[[#This Row],[Discount]])</f>
        <v>1111.4999988300001</v>
      </c>
      <c r="I591" t="str">
        <f>VLOOKUP(ORDERS[[#This Row],[CustomerID]],customers[],2,FALSE)</f>
        <v>Abracadaba Ink</v>
      </c>
      <c r="J591" s="2" t="str">
        <f>VLOOKUP(ORDERS[[#This Row],[CustomerID]],customers[],4,FALSE)</f>
        <v>Salt Lake City</v>
      </c>
      <c r="K591" s="2" t="str">
        <f>VLOOKUP(ORDERS[[#This Row],[ProductID]],Products[],3,FALSE)</f>
        <v>Both</v>
      </c>
      <c r="L591" s="2">
        <f>DAY(ORDERS[[#This Row],[OrderDate]])</f>
        <v>12</v>
      </c>
      <c r="M591" s="2">
        <f>YEAR(ORDERS[[#This Row],[OrderDate]])</f>
        <v>2013</v>
      </c>
    </row>
    <row r="592" spans="1:13" x14ac:dyDescent="0.3">
      <c r="A592">
        <v>591</v>
      </c>
      <c r="B592">
        <v>6</v>
      </c>
      <c r="C592">
        <v>8</v>
      </c>
      <c r="D592" s="1">
        <v>41376</v>
      </c>
      <c r="E592">
        <v>83</v>
      </c>
      <c r="F592">
        <f>VLOOKUP(ORDERS[[#This Row],[ProductID]],Products[],4,FALSE)</f>
        <v>27</v>
      </c>
      <c r="G592">
        <v>0</v>
      </c>
      <c r="H592">
        <f>(ORDERS[[#This Row],[UnitsOrdered]]*ORDERS[[#This Row],[unit price]])-(ORDERS[[#This Row],[UnitsOrdered]]*ORDERS[[#This Row],[unit price]]*ORDERS[[#This Row],[Discount]])</f>
        <v>2241</v>
      </c>
      <c r="I592" t="str">
        <f>VLOOKUP(ORDERS[[#This Row],[CustomerID]],customers[],2,FALSE)</f>
        <v>Abracadaba Ink</v>
      </c>
      <c r="J592" s="2" t="str">
        <f>VLOOKUP(ORDERS[[#This Row],[CustomerID]],customers[],4,FALSE)</f>
        <v>Salt Lake City</v>
      </c>
      <c r="K592" s="2" t="str">
        <f>VLOOKUP(ORDERS[[#This Row],[ProductID]],Products[],3,FALSE)</f>
        <v>Female</v>
      </c>
      <c r="L592" s="2">
        <f>DAY(ORDERS[[#This Row],[OrderDate]])</f>
        <v>12</v>
      </c>
      <c r="M592" s="2">
        <f>YEAR(ORDERS[[#This Row],[OrderDate]])</f>
        <v>2013</v>
      </c>
    </row>
    <row r="593" spans="1:13" x14ac:dyDescent="0.3">
      <c r="A593">
        <v>592</v>
      </c>
      <c r="B593">
        <v>2</v>
      </c>
      <c r="C593">
        <v>5</v>
      </c>
      <c r="D593" s="1">
        <v>41377</v>
      </c>
      <c r="E593">
        <v>148</v>
      </c>
      <c r="F593">
        <f>VLOOKUP(ORDERS[[#This Row],[ProductID]],Products[],4,FALSE)</f>
        <v>16</v>
      </c>
      <c r="G593">
        <v>0</v>
      </c>
      <c r="H593">
        <f>(ORDERS[[#This Row],[UnitsOrdered]]*ORDERS[[#This Row],[unit price]])-(ORDERS[[#This Row],[UnitsOrdered]]*ORDERS[[#This Row],[unit price]]*ORDERS[[#This Row],[Discount]])</f>
        <v>2368</v>
      </c>
      <c r="I593" t="str">
        <f>VLOOKUP(ORDERS[[#This Row],[CustomerID]],customers[],2,FALSE)</f>
        <v>A Shirts Life</v>
      </c>
      <c r="J593" s="2" t="str">
        <f>VLOOKUP(ORDERS[[#This Row],[CustomerID]],customers[],4,FALSE)</f>
        <v>Portland</v>
      </c>
      <c r="K593" s="2" t="str">
        <f>VLOOKUP(ORDERS[[#This Row],[ProductID]],Products[],3,FALSE)</f>
        <v>Female</v>
      </c>
      <c r="L593" s="2">
        <f>DAY(ORDERS[[#This Row],[OrderDate]])</f>
        <v>13</v>
      </c>
      <c r="M593" s="2">
        <f>YEAR(ORDERS[[#This Row],[OrderDate]])</f>
        <v>2013</v>
      </c>
    </row>
    <row r="594" spans="1:13" x14ac:dyDescent="0.3">
      <c r="A594">
        <v>593</v>
      </c>
      <c r="B594">
        <v>7</v>
      </c>
      <c r="C594">
        <v>2</v>
      </c>
      <c r="D594" s="1">
        <v>41377</v>
      </c>
      <c r="E594">
        <v>94</v>
      </c>
      <c r="F594">
        <f>VLOOKUP(ORDERS[[#This Row],[ProductID]],Products[],4,FALSE)</f>
        <v>30</v>
      </c>
      <c r="G594">
        <v>0.10000000100000001</v>
      </c>
      <c r="H594">
        <f>(ORDERS[[#This Row],[UnitsOrdered]]*ORDERS[[#This Row],[unit price]])-(ORDERS[[#This Row],[UnitsOrdered]]*ORDERS[[#This Row],[unit price]]*ORDERS[[#This Row],[Discount]])</f>
        <v>2537.9999971799998</v>
      </c>
      <c r="I594" t="str">
        <f>VLOOKUP(ORDERS[[#This Row],[CustomerID]],customers[],2,FALSE)</f>
        <v>The Shirt on Your Back</v>
      </c>
      <c r="J594" s="2" t="str">
        <f>VLOOKUP(ORDERS[[#This Row],[CustomerID]],customers[],4,FALSE)</f>
        <v>Bonners Ferry</v>
      </c>
      <c r="K594" s="2" t="str">
        <f>VLOOKUP(ORDERS[[#This Row],[ProductID]],Products[],3,FALSE)</f>
        <v>Both</v>
      </c>
      <c r="L594" s="2">
        <f>DAY(ORDERS[[#This Row],[OrderDate]])</f>
        <v>13</v>
      </c>
      <c r="M594" s="2">
        <f>YEAR(ORDERS[[#This Row],[OrderDate]])</f>
        <v>2013</v>
      </c>
    </row>
    <row r="595" spans="1:13" x14ac:dyDescent="0.3">
      <c r="A595">
        <v>594</v>
      </c>
      <c r="B595">
        <v>1</v>
      </c>
      <c r="C595">
        <v>4</v>
      </c>
      <c r="D595" s="1">
        <v>41378</v>
      </c>
      <c r="E595">
        <v>122</v>
      </c>
      <c r="F595">
        <f>VLOOKUP(ORDERS[[#This Row],[ProductID]],Products[],4,FALSE)</f>
        <v>30</v>
      </c>
      <c r="G595">
        <v>0</v>
      </c>
      <c r="H595">
        <f>(ORDERS[[#This Row],[UnitsOrdered]]*ORDERS[[#This Row],[unit price]])-(ORDERS[[#This Row],[UnitsOrdered]]*ORDERS[[#This Row],[unit price]]*ORDERS[[#This Row],[Discount]])</f>
        <v>3660</v>
      </c>
      <c r="I595" t="str">
        <f>VLOOKUP(ORDERS[[#This Row],[CustomerID]],customers[],2,FALSE)</f>
        <v>Threads</v>
      </c>
      <c r="J595" s="2" t="str">
        <f>VLOOKUP(ORDERS[[#This Row],[CustomerID]],customers[],4,FALSE)</f>
        <v>Seattle</v>
      </c>
      <c r="K595" s="2" t="str">
        <f>VLOOKUP(ORDERS[[#This Row],[ProductID]],Products[],3,FALSE)</f>
        <v>Both</v>
      </c>
      <c r="L595" s="2">
        <f>DAY(ORDERS[[#This Row],[OrderDate]])</f>
        <v>14</v>
      </c>
      <c r="M595" s="2">
        <f>YEAR(ORDERS[[#This Row],[OrderDate]])</f>
        <v>2013</v>
      </c>
    </row>
    <row r="596" spans="1:13" x14ac:dyDescent="0.3">
      <c r="A596">
        <v>595</v>
      </c>
      <c r="B596">
        <v>7</v>
      </c>
      <c r="C596">
        <v>4</v>
      </c>
      <c r="D596" s="1">
        <v>41378</v>
      </c>
      <c r="E596">
        <v>109</v>
      </c>
      <c r="F596">
        <f>VLOOKUP(ORDERS[[#This Row],[ProductID]],Products[],4,FALSE)</f>
        <v>30</v>
      </c>
      <c r="G596">
        <v>0</v>
      </c>
      <c r="H596">
        <f>(ORDERS[[#This Row],[UnitsOrdered]]*ORDERS[[#This Row],[unit price]])-(ORDERS[[#This Row],[UnitsOrdered]]*ORDERS[[#This Row],[unit price]]*ORDERS[[#This Row],[Discount]])</f>
        <v>3270</v>
      </c>
      <c r="I596" t="str">
        <f>VLOOKUP(ORDERS[[#This Row],[CustomerID]],customers[],2,FALSE)</f>
        <v>The Shirt on Your Back</v>
      </c>
      <c r="J596" s="2" t="str">
        <f>VLOOKUP(ORDERS[[#This Row],[CustomerID]],customers[],4,FALSE)</f>
        <v>Bonners Ferry</v>
      </c>
      <c r="K596" s="2" t="str">
        <f>VLOOKUP(ORDERS[[#This Row],[ProductID]],Products[],3,FALSE)</f>
        <v>Both</v>
      </c>
      <c r="L596" s="2">
        <f>DAY(ORDERS[[#This Row],[OrderDate]])</f>
        <v>14</v>
      </c>
      <c r="M596" s="2">
        <f>YEAR(ORDERS[[#This Row],[OrderDate]])</f>
        <v>2013</v>
      </c>
    </row>
    <row r="597" spans="1:13" x14ac:dyDescent="0.3">
      <c r="A597">
        <v>596</v>
      </c>
      <c r="B597">
        <v>4</v>
      </c>
      <c r="C597">
        <v>4</v>
      </c>
      <c r="D597" s="1">
        <v>41381</v>
      </c>
      <c r="E597">
        <v>136</v>
      </c>
      <c r="F597">
        <f>VLOOKUP(ORDERS[[#This Row],[ProductID]],Products[],4,FALSE)</f>
        <v>30</v>
      </c>
      <c r="G597">
        <v>0</v>
      </c>
      <c r="H597">
        <f>(ORDERS[[#This Row],[UnitsOrdered]]*ORDERS[[#This Row],[unit price]])-(ORDERS[[#This Row],[UnitsOrdered]]*ORDERS[[#This Row],[unit price]]*ORDERS[[#This Row],[Discount]])</f>
        <v>4080</v>
      </c>
      <c r="I597" t="str">
        <f>VLOOKUP(ORDERS[[#This Row],[CustomerID]],customers[],2,FALSE)</f>
        <v>Tshirt Unlimited</v>
      </c>
      <c r="J597" s="2" t="str">
        <f>VLOOKUP(ORDERS[[#This Row],[CustomerID]],customers[],4,FALSE)</f>
        <v>Phoenix</v>
      </c>
      <c r="K597" s="2" t="str">
        <f>VLOOKUP(ORDERS[[#This Row],[ProductID]],Products[],3,FALSE)</f>
        <v>Both</v>
      </c>
      <c r="L597" s="2">
        <f>DAY(ORDERS[[#This Row],[OrderDate]])</f>
        <v>17</v>
      </c>
      <c r="M597" s="2">
        <f>YEAR(ORDERS[[#This Row],[OrderDate]])</f>
        <v>2013</v>
      </c>
    </row>
    <row r="598" spans="1:13" x14ac:dyDescent="0.3">
      <c r="A598">
        <v>597</v>
      </c>
      <c r="B598">
        <v>7</v>
      </c>
      <c r="C598">
        <v>3</v>
      </c>
      <c r="D598" s="1">
        <v>41381</v>
      </c>
      <c r="E598">
        <v>62</v>
      </c>
      <c r="F598">
        <f>VLOOKUP(ORDERS[[#This Row],[ProductID]],Products[],4,FALSE)</f>
        <v>22</v>
      </c>
      <c r="G598">
        <v>0</v>
      </c>
      <c r="H598">
        <f>(ORDERS[[#This Row],[UnitsOrdered]]*ORDERS[[#This Row],[unit price]])-(ORDERS[[#This Row],[UnitsOrdered]]*ORDERS[[#This Row],[unit price]]*ORDERS[[#This Row],[Discount]])</f>
        <v>1364</v>
      </c>
      <c r="I598" t="str">
        <f>VLOOKUP(ORDERS[[#This Row],[CustomerID]],customers[],2,FALSE)</f>
        <v>The Shirt on Your Back</v>
      </c>
      <c r="J598" s="2" t="str">
        <f>VLOOKUP(ORDERS[[#This Row],[CustomerID]],customers[],4,FALSE)</f>
        <v>Bonners Ferry</v>
      </c>
      <c r="K598" s="2" t="str">
        <f>VLOOKUP(ORDERS[[#This Row],[ProductID]],Products[],3,FALSE)</f>
        <v>Both</v>
      </c>
      <c r="L598" s="2">
        <f>DAY(ORDERS[[#This Row],[OrderDate]])</f>
        <v>17</v>
      </c>
      <c r="M598" s="2">
        <f>YEAR(ORDERS[[#This Row],[OrderDate]])</f>
        <v>2013</v>
      </c>
    </row>
    <row r="599" spans="1:13" x14ac:dyDescent="0.3">
      <c r="A599">
        <v>598</v>
      </c>
      <c r="B599">
        <v>7</v>
      </c>
      <c r="C599">
        <v>7</v>
      </c>
      <c r="D599" s="1">
        <v>41383</v>
      </c>
      <c r="E599">
        <v>110</v>
      </c>
      <c r="F599">
        <f>VLOOKUP(ORDERS[[#This Row],[ProductID]],Products[],4,FALSE)</f>
        <v>38</v>
      </c>
      <c r="G599">
        <v>0</v>
      </c>
      <c r="H599">
        <f>(ORDERS[[#This Row],[UnitsOrdered]]*ORDERS[[#This Row],[unit price]])-(ORDERS[[#This Row],[UnitsOrdered]]*ORDERS[[#This Row],[unit price]]*ORDERS[[#This Row],[Discount]])</f>
        <v>4180</v>
      </c>
      <c r="I599" t="str">
        <f>VLOOKUP(ORDERS[[#This Row],[CustomerID]],customers[],2,FALSE)</f>
        <v>The Shirt on Your Back</v>
      </c>
      <c r="J599" s="2" t="str">
        <f>VLOOKUP(ORDERS[[#This Row],[CustomerID]],customers[],4,FALSE)</f>
        <v>Bonners Ferry</v>
      </c>
      <c r="K599" s="2" t="str">
        <f>VLOOKUP(ORDERS[[#This Row],[ProductID]],Products[],3,FALSE)</f>
        <v>Female</v>
      </c>
      <c r="L599" s="2">
        <f>DAY(ORDERS[[#This Row],[OrderDate]])</f>
        <v>19</v>
      </c>
      <c r="M599" s="2">
        <f>YEAR(ORDERS[[#This Row],[OrderDate]])</f>
        <v>2013</v>
      </c>
    </row>
    <row r="600" spans="1:13" x14ac:dyDescent="0.3">
      <c r="A600">
        <v>599</v>
      </c>
      <c r="B600">
        <v>3</v>
      </c>
      <c r="C600">
        <v>9</v>
      </c>
      <c r="D600" s="1">
        <v>41384</v>
      </c>
      <c r="E600">
        <v>95</v>
      </c>
      <c r="F600">
        <f>VLOOKUP(ORDERS[[#This Row],[ProductID]],Products[],4,FALSE)</f>
        <v>25</v>
      </c>
      <c r="G600">
        <v>0</v>
      </c>
      <c r="H600">
        <f>(ORDERS[[#This Row],[UnitsOrdered]]*ORDERS[[#This Row],[unit price]])-(ORDERS[[#This Row],[UnitsOrdered]]*ORDERS[[#This Row],[unit price]]*ORDERS[[#This Row],[Discount]])</f>
        <v>2375</v>
      </c>
      <c r="I600" t="str">
        <f>VLOOKUP(ORDERS[[#This Row],[CustomerID]],customers[],2,FALSE)</f>
        <v>Shirts R Us</v>
      </c>
      <c r="J600" s="2" t="str">
        <f>VLOOKUP(ORDERS[[#This Row],[CustomerID]],customers[],4,FALSE)</f>
        <v>Los Angeles</v>
      </c>
      <c r="K600" s="2" t="str">
        <f>VLOOKUP(ORDERS[[#This Row],[ProductID]],Products[],3,FALSE)</f>
        <v>Male</v>
      </c>
      <c r="L600" s="2">
        <f>DAY(ORDERS[[#This Row],[OrderDate]])</f>
        <v>20</v>
      </c>
      <c r="M600" s="2">
        <f>YEAR(ORDERS[[#This Row],[OrderDate]])</f>
        <v>2013</v>
      </c>
    </row>
    <row r="601" spans="1:13" x14ac:dyDescent="0.3">
      <c r="A601">
        <v>600</v>
      </c>
      <c r="B601">
        <v>3</v>
      </c>
      <c r="C601">
        <v>10</v>
      </c>
      <c r="D601" s="1">
        <v>41385</v>
      </c>
      <c r="E601">
        <v>77</v>
      </c>
      <c r="F601">
        <f>VLOOKUP(ORDERS[[#This Row],[ProductID]],Products[],4,FALSE)</f>
        <v>35</v>
      </c>
      <c r="G601">
        <v>5.0000001000000002E-2</v>
      </c>
      <c r="H601">
        <f>(ORDERS[[#This Row],[UnitsOrdered]]*ORDERS[[#This Row],[unit price]])-(ORDERS[[#This Row],[UnitsOrdered]]*ORDERS[[#This Row],[unit price]]*ORDERS[[#This Row],[Discount]])</f>
        <v>2560.2499973049999</v>
      </c>
      <c r="I601" t="str">
        <f>VLOOKUP(ORDERS[[#This Row],[CustomerID]],customers[],2,FALSE)</f>
        <v>Shirts R Us</v>
      </c>
      <c r="J601" s="2" t="str">
        <f>VLOOKUP(ORDERS[[#This Row],[CustomerID]],customers[],4,FALSE)</f>
        <v>Los Angeles</v>
      </c>
      <c r="K601" s="2" t="str">
        <f>VLOOKUP(ORDERS[[#This Row],[ProductID]],Products[],3,FALSE)</f>
        <v>Male</v>
      </c>
      <c r="L601" s="2">
        <f>DAY(ORDERS[[#This Row],[OrderDate]])</f>
        <v>21</v>
      </c>
      <c r="M601" s="2">
        <f>YEAR(ORDERS[[#This Row],[OrderDate]])</f>
        <v>2013</v>
      </c>
    </row>
    <row r="602" spans="1:13" x14ac:dyDescent="0.3">
      <c r="A602">
        <v>601</v>
      </c>
      <c r="B602">
        <v>7</v>
      </c>
      <c r="C602">
        <v>6</v>
      </c>
      <c r="D602" s="1">
        <v>41386</v>
      </c>
      <c r="E602">
        <v>26</v>
      </c>
      <c r="F602">
        <f>VLOOKUP(ORDERS[[#This Row],[ProductID]],Products[],4,FALSE)</f>
        <v>28</v>
      </c>
      <c r="G602">
        <v>0</v>
      </c>
      <c r="H602">
        <f>(ORDERS[[#This Row],[UnitsOrdered]]*ORDERS[[#This Row],[unit price]])-(ORDERS[[#This Row],[UnitsOrdered]]*ORDERS[[#This Row],[unit price]]*ORDERS[[#This Row],[Discount]])</f>
        <v>728</v>
      </c>
      <c r="I602" t="str">
        <f>VLOOKUP(ORDERS[[#This Row],[CustomerID]],customers[],2,FALSE)</f>
        <v>The Shirt on Your Back</v>
      </c>
      <c r="J602" s="2" t="str">
        <f>VLOOKUP(ORDERS[[#This Row],[CustomerID]],customers[],4,FALSE)</f>
        <v>Bonners Ferry</v>
      </c>
      <c r="K602" s="2" t="str">
        <f>VLOOKUP(ORDERS[[#This Row],[ProductID]],Products[],3,FALSE)</f>
        <v>Female</v>
      </c>
      <c r="L602" s="2">
        <f>DAY(ORDERS[[#This Row],[OrderDate]])</f>
        <v>22</v>
      </c>
      <c r="M602" s="2">
        <f>YEAR(ORDERS[[#This Row],[OrderDate]])</f>
        <v>2013</v>
      </c>
    </row>
    <row r="603" spans="1:13" x14ac:dyDescent="0.3">
      <c r="A603">
        <v>602</v>
      </c>
      <c r="B603">
        <v>6</v>
      </c>
      <c r="C603">
        <v>2</v>
      </c>
      <c r="D603" s="1">
        <v>41388</v>
      </c>
      <c r="E603">
        <v>99</v>
      </c>
      <c r="F603">
        <f>VLOOKUP(ORDERS[[#This Row],[ProductID]],Products[],4,FALSE)</f>
        <v>30</v>
      </c>
      <c r="G603">
        <v>0</v>
      </c>
      <c r="H603">
        <f>(ORDERS[[#This Row],[UnitsOrdered]]*ORDERS[[#This Row],[unit price]])-(ORDERS[[#This Row],[UnitsOrdered]]*ORDERS[[#This Row],[unit price]]*ORDERS[[#This Row],[Discount]])</f>
        <v>2970</v>
      </c>
      <c r="I603" t="str">
        <f>VLOOKUP(ORDERS[[#This Row],[CustomerID]],customers[],2,FALSE)</f>
        <v>Abracadaba Ink</v>
      </c>
      <c r="J603" s="2" t="str">
        <f>VLOOKUP(ORDERS[[#This Row],[CustomerID]],customers[],4,FALSE)</f>
        <v>Salt Lake City</v>
      </c>
      <c r="K603" s="2" t="str">
        <f>VLOOKUP(ORDERS[[#This Row],[ProductID]],Products[],3,FALSE)</f>
        <v>Both</v>
      </c>
      <c r="L603" s="2">
        <f>DAY(ORDERS[[#This Row],[OrderDate]])</f>
        <v>24</v>
      </c>
      <c r="M603" s="2">
        <f>YEAR(ORDERS[[#This Row],[OrderDate]])</f>
        <v>2013</v>
      </c>
    </row>
    <row r="604" spans="1:13" x14ac:dyDescent="0.3">
      <c r="A604">
        <v>603</v>
      </c>
      <c r="B604">
        <v>1</v>
      </c>
      <c r="C604">
        <v>9</v>
      </c>
      <c r="D604" s="1">
        <v>41391</v>
      </c>
      <c r="E604">
        <v>29</v>
      </c>
      <c r="F604">
        <f>VLOOKUP(ORDERS[[#This Row],[ProductID]],Products[],4,FALSE)</f>
        <v>25</v>
      </c>
      <c r="G604">
        <v>0.10000000100000001</v>
      </c>
      <c r="H604">
        <f>(ORDERS[[#This Row],[UnitsOrdered]]*ORDERS[[#This Row],[unit price]])-(ORDERS[[#This Row],[UnitsOrdered]]*ORDERS[[#This Row],[unit price]]*ORDERS[[#This Row],[Discount]])</f>
        <v>652.49999927499994</v>
      </c>
      <c r="I604" t="str">
        <f>VLOOKUP(ORDERS[[#This Row],[CustomerID]],customers[],2,FALSE)</f>
        <v>Threads</v>
      </c>
      <c r="J604" s="2" t="str">
        <f>VLOOKUP(ORDERS[[#This Row],[CustomerID]],customers[],4,FALSE)</f>
        <v>Seattle</v>
      </c>
      <c r="K604" s="2" t="str">
        <f>VLOOKUP(ORDERS[[#This Row],[ProductID]],Products[],3,FALSE)</f>
        <v>Male</v>
      </c>
      <c r="L604" s="2">
        <f>DAY(ORDERS[[#This Row],[OrderDate]])</f>
        <v>27</v>
      </c>
      <c r="M604" s="2">
        <f>YEAR(ORDERS[[#This Row],[OrderDate]])</f>
        <v>2013</v>
      </c>
    </row>
    <row r="605" spans="1:13" x14ac:dyDescent="0.3">
      <c r="A605">
        <v>604</v>
      </c>
      <c r="B605">
        <v>5</v>
      </c>
      <c r="C605">
        <v>5</v>
      </c>
      <c r="D605" s="1">
        <v>41391</v>
      </c>
      <c r="E605">
        <v>54</v>
      </c>
      <c r="F605">
        <f>VLOOKUP(ORDERS[[#This Row],[ProductID]],Products[],4,FALSE)</f>
        <v>16</v>
      </c>
      <c r="G605">
        <v>5.0000001000000002E-2</v>
      </c>
      <c r="H605">
        <f>(ORDERS[[#This Row],[UnitsOrdered]]*ORDERS[[#This Row],[unit price]])-(ORDERS[[#This Row],[UnitsOrdered]]*ORDERS[[#This Row],[unit price]]*ORDERS[[#This Row],[Discount]])</f>
        <v>820.799999136</v>
      </c>
      <c r="I605" t="str">
        <f>VLOOKUP(ORDERS[[#This Row],[CustomerID]],customers[],2,FALSE)</f>
        <v>Rags to Riches</v>
      </c>
      <c r="J605" s="2" t="str">
        <f>VLOOKUP(ORDERS[[#This Row],[CustomerID]],customers[],4,FALSE)</f>
        <v>Las Vegas</v>
      </c>
      <c r="K605" s="2" t="str">
        <f>VLOOKUP(ORDERS[[#This Row],[ProductID]],Products[],3,FALSE)</f>
        <v>Female</v>
      </c>
      <c r="L605" s="2">
        <f>DAY(ORDERS[[#This Row],[OrderDate]])</f>
        <v>27</v>
      </c>
      <c r="M605" s="2">
        <f>YEAR(ORDERS[[#This Row],[OrderDate]])</f>
        <v>2013</v>
      </c>
    </row>
    <row r="606" spans="1:13" x14ac:dyDescent="0.3">
      <c r="A606">
        <v>605</v>
      </c>
      <c r="B606">
        <v>3</v>
      </c>
      <c r="C606">
        <v>10</v>
      </c>
      <c r="D606" s="1">
        <v>41392</v>
      </c>
      <c r="E606">
        <v>106</v>
      </c>
      <c r="F606">
        <f>VLOOKUP(ORDERS[[#This Row],[ProductID]],Products[],4,FALSE)</f>
        <v>35</v>
      </c>
      <c r="G606">
        <v>0</v>
      </c>
      <c r="H606">
        <f>(ORDERS[[#This Row],[UnitsOrdered]]*ORDERS[[#This Row],[unit price]])-(ORDERS[[#This Row],[UnitsOrdered]]*ORDERS[[#This Row],[unit price]]*ORDERS[[#This Row],[Discount]])</f>
        <v>3710</v>
      </c>
      <c r="I606" t="str">
        <f>VLOOKUP(ORDERS[[#This Row],[CustomerID]],customers[],2,FALSE)</f>
        <v>Shirts R Us</v>
      </c>
      <c r="J606" s="2" t="str">
        <f>VLOOKUP(ORDERS[[#This Row],[CustomerID]],customers[],4,FALSE)</f>
        <v>Los Angeles</v>
      </c>
      <c r="K606" s="2" t="str">
        <f>VLOOKUP(ORDERS[[#This Row],[ProductID]],Products[],3,FALSE)</f>
        <v>Male</v>
      </c>
      <c r="L606" s="2">
        <f>DAY(ORDERS[[#This Row],[OrderDate]])</f>
        <v>28</v>
      </c>
      <c r="M606" s="2">
        <f>YEAR(ORDERS[[#This Row],[OrderDate]])</f>
        <v>2013</v>
      </c>
    </row>
    <row r="607" spans="1:13" x14ac:dyDescent="0.3">
      <c r="A607">
        <v>606</v>
      </c>
      <c r="B607">
        <v>6</v>
      </c>
      <c r="C607">
        <v>9</v>
      </c>
      <c r="D607" s="1">
        <v>41392</v>
      </c>
      <c r="E607">
        <v>141</v>
      </c>
      <c r="F607">
        <f>VLOOKUP(ORDERS[[#This Row],[ProductID]],Products[],4,FALSE)</f>
        <v>25</v>
      </c>
      <c r="G607">
        <v>0</v>
      </c>
      <c r="H607">
        <f>(ORDERS[[#This Row],[UnitsOrdered]]*ORDERS[[#This Row],[unit price]])-(ORDERS[[#This Row],[UnitsOrdered]]*ORDERS[[#This Row],[unit price]]*ORDERS[[#This Row],[Discount]])</f>
        <v>3525</v>
      </c>
      <c r="I607" t="str">
        <f>VLOOKUP(ORDERS[[#This Row],[CustomerID]],customers[],2,FALSE)</f>
        <v>Abracadaba Ink</v>
      </c>
      <c r="J607" s="2" t="str">
        <f>VLOOKUP(ORDERS[[#This Row],[CustomerID]],customers[],4,FALSE)</f>
        <v>Salt Lake City</v>
      </c>
      <c r="K607" s="2" t="str">
        <f>VLOOKUP(ORDERS[[#This Row],[ProductID]],Products[],3,FALSE)</f>
        <v>Male</v>
      </c>
      <c r="L607" s="2">
        <f>DAY(ORDERS[[#This Row],[OrderDate]])</f>
        <v>28</v>
      </c>
      <c r="M607" s="2">
        <f>YEAR(ORDERS[[#This Row],[OrderDate]])</f>
        <v>2013</v>
      </c>
    </row>
    <row r="608" spans="1:13" x14ac:dyDescent="0.3">
      <c r="A608">
        <v>607</v>
      </c>
      <c r="B608">
        <v>7</v>
      </c>
      <c r="C608">
        <v>1</v>
      </c>
      <c r="D608" s="1">
        <v>41392</v>
      </c>
      <c r="E608">
        <v>53</v>
      </c>
      <c r="F608">
        <f>VLOOKUP(ORDERS[[#This Row],[ProductID]],Products[],4,FALSE)</f>
        <v>20</v>
      </c>
      <c r="G608">
        <v>0</v>
      </c>
      <c r="H608">
        <f>(ORDERS[[#This Row],[UnitsOrdered]]*ORDERS[[#This Row],[unit price]])-(ORDERS[[#This Row],[UnitsOrdered]]*ORDERS[[#This Row],[unit price]]*ORDERS[[#This Row],[Discount]])</f>
        <v>1060</v>
      </c>
      <c r="I608" t="str">
        <f>VLOOKUP(ORDERS[[#This Row],[CustomerID]],customers[],2,FALSE)</f>
        <v>The Shirt on Your Back</v>
      </c>
      <c r="J608" s="2" t="str">
        <f>VLOOKUP(ORDERS[[#This Row],[CustomerID]],customers[],4,FALSE)</f>
        <v>Bonners Ferry</v>
      </c>
      <c r="K608" s="2" t="str">
        <f>VLOOKUP(ORDERS[[#This Row],[ProductID]],Products[],3,FALSE)</f>
        <v>Both</v>
      </c>
      <c r="L608" s="2">
        <f>DAY(ORDERS[[#This Row],[OrderDate]])</f>
        <v>28</v>
      </c>
      <c r="M608" s="2">
        <f>YEAR(ORDERS[[#This Row],[OrderDate]])</f>
        <v>2013</v>
      </c>
    </row>
    <row r="609" spans="1:13" x14ac:dyDescent="0.3">
      <c r="A609">
        <v>608</v>
      </c>
      <c r="B609">
        <v>6</v>
      </c>
      <c r="C609">
        <v>7</v>
      </c>
      <c r="D609" s="1">
        <v>41393</v>
      </c>
      <c r="E609">
        <v>113</v>
      </c>
      <c r="F609">
        <f>VLOOKUP(ORDERS[[#This Row],[ProductID]],Products[],4,FALSE)</f>
        <v>38</v>
      </c>
      <c r="G609">
        <v>5.0000001000000002E-2</v>
      </c>
      <c r="H609">
        <f>(ORDERS[[#This Row],[UnitsOrdered]]*ORDERS[[#This Row],[unit price]])-(ORDERS[[#This Row],[UnitsOrdered]]*ORDERS[[#This Row],[unit price]]*ORDERS[[#This Row],[Discount]])</f>
        <v>4079.2999957060001</v>
      </c>
      <c r="I609" t="str">
        <f>VLOOKUP(ORDERS[[#This Row],[CustomerID]],customers[],2,FALSE)</f>
        <v>Abracadaba Ink</v>
      </c>
      <c r="J609" s="2" t="str">
        <f>VLOOKUP(ORDERS[[#This Row],[CustomerID]],customers[],4,FALSE)</f>
        <v>Salt Lake City</v>
      </c>
      <c r="K609" s="2" t="str">
        <f>VLOOKUP(ORDERS[[#This Row],[ProductID]],Products[],3,FALSE)</f>
        <v>Female</v>
      </c>
      <c r="L609" s="2">
        <f>DAY(ORDERS[[#This Row],[OrderDate]])</f>
        <v>29</v>
      </c>
      <c r="M609" s="2">
        <f>YEAR(ORDERS[[#This Row],[OrderDate]])</f>
        <v>2013</v>
      </c>
    </row>
    <row r="610" spans="1:13" x14ac:dyDescent="0.3">
      <c r="A610">
        <v>609</v>
      </c>
      <c r="B610">
        <v>4</v>
      </c>
      <c r="C610">
        <v>3</v>
      </c>
      <c r="D610" s="1">
        <v>41394</v>
      </c>
      <c r="E610">
        <v>29</v>
      </c>
      <c r="F610">
        <f>VLOOKUP(ORDERS[[#This Row],[ProductID]],Products[],4,FALSE)</f>
        <v>22</v>
      </c>
      <c r="G610">
        <v>0</v>
      </c>
      <c r="H610">
        <f>(ORDERS[[#This Row],[UnitsOrdered]]*ORDERS[[#This Row],[unit price]])-(ORDERS[[#This Row],[UnitsOrdered]]*ORDERS[[#This Row],[unit price]]*ORDERS[[#This Row],[Discount]])</f>
        <v>638</v>
      </c>
      <c r="I610" t="str">
        <f>VLOOKUP(ORDERS[[#This Row],[CustomerID]],customers[],2,FALSE)</f>
        <v>Tshirt Unlimited</v>
      </c>
      <c r="J610" s="2" t="str">
        <f>VLOOKUP(ORDERS[[#This Row],[CustomerID]],customers[],4,FALSE)</f>
        <v>Phoenix</v>
      </c>
      <c r="K610" s="2" t="str">
        <f>VLOOKUP(ORDERS[[#This Row],[ProductID]],Products[],3,FALSE)</f>
        <v>Both</v>
      </c>
      <c r="L610" s="2">
        <f>DAY(ORDERS[[#This Row],[OrderDate]])</f>
        <v>30</v>
      </c>
      <c r="M610" s="2">
        <f>YEAR(ORDERS[[#This Row],[OrderDate]])</f>
        <v>2013</v>
      </c>
    </row>
    <row r="611" spans="1:13" x14ac:dyDescent="0.3">
      <c r="A611">
        <v>610</v>
      </c>
      <c r="B611">
        <v>7</v>
      </c>
      <c r="C611">
        <v>7</v>
      </c>
      <c r="D611" s="1">
        <v>41394</v>
      </c>
      <c r="E611">
        <v>103</v>
      </c>
      <c r="F611">
        <f>VLOOKUP(ORDERS[[#This Row],[ProductID]],Products[],4,FALSE)</f>
        <v>38</v>
      </c>
      <c r="G611">
        <v>5.0000001000000002E-2</v>
      </c>
      <c r="H611">
        <f>(ORDERS[[#This Row],[UnitsOrdered]]*ORDERS[[#This Row],[unit price]])-(ORDERS[[#This Row],[UnitsOrdered]]*ORDERS[[#This Row],[unit price]]*ORDERS[[#This Row],[Discount]])</f>
        <v>3718.2999960860002</v>
      </c>
      <c r="I611" t="str">
        <f>VLOOKUP(ORDERS[[#This Row],[CustomerID]],customers[],2,FALSE)</f>
        <v>The Shirt on Your Back</v>
      </c>
      <c r="J611" s="2" t="str">
        <f>VLOOKUP(ORDERS[[#This Row],[CustomerID]],customers[],4,FALSE)</f>
        <v>Bonners Ferry</v>
      </c>
      <c r="K611" s="2" t="str">
        <f>VLOOKUP(ORDERS[[#This Row],[ProductID]],Products[],3,FALSE)</f>
        <v>Female</v>
      </c>
      <c r="L611" s="2">
        <f>DAY(ORDERS[[#This Row],[OrderDate]])</f>
        <v>30</v>
      </c>
      <c r="M611" s="2">
        <f>YEAR(ORDERS[[#This Row],[OrderDate]])</f>
        <v>2013</v>
      </c>
    </row>
    <row r="612" spans="1:13" x14ac:dyDescent="0.3">
      <c r="A612">
        <v>611</v>
      </c>
      <c r="B612">
        <v>1</v>
      </c>
      <c r="C612">
        <v>10</v>
      </c>
      <c r="D612" s="1">
        <v>41395</v>
      </c>
      <c r="E612">
        <v>55</v>
      </c>
      <c r="F612">
        <f>VLOOKUP(ORDERS[[#This Row],[ProductID]],Products[],4,FALSE)</f>
        <v>35</v>
      </c>
      <c r="G612">
        <v>0</v>
      </c>
      <c r="H612">
        <f>(ORDERS[[#This Row],[UnitsOrdered]]*ORDERS[[#This Row],[unit price]])-(ORDERS[[#This Row],[UnitsOrdered]]*ORDERS[[#This Row],[unit price]]*ORDERS[[#This Row],[Discount]])</f>
        <v>1925</v>
      </c>
      <c r="I612" t="str">
        <f>VLOOKUP(ORDERS[[#This Row],[CustomerID]],customers[],2,FALSE)</f>
        <v>Threads</v>
      </c>
      <c r="J612" s="2" t="str">
        <f>VLOOKUP(ORDERS[[#This Row],[CustomerID]],customers[],4,FALSE)</f>
        <v>Seattle</v>
      </c>
      <c r="K612" s="2" t="str">
        <f>VLOOKUP(ORDERS[[#This Row],[ProductID]],Products[],3,FALSE)</f>
        <v>Male</v>
      </c>
      <c r="L612" s="2">
        <f>DAY(ORDERS[[#This Row],[OrderDate]])</f>
        <v>1</v>
      </c>
      <c r="M612" s="2">
        <f>YEAR(ORDERS[[#This Row],[OrderDate]])</f>
        <v>2013</v>
      </c>
    </row>
    <row r="613" spans="1:13" x14ac:dyDescent="0.3">
      <c r="A613">
        <v>612</v>
      </c>
      <c r="B613">
        <v>5</v>
      </c>
      <c r="C613">
        <v>9</v>
      </c>
      <c r="D613" s="1">
        <v>41395</v>
      </c>
      <c r="E613">
        <v>143</v>
      </c>
      <c r="F613">
        <f>VLOOKUP(ORDERS[[#This Row],[ProductID]],Products[],4,FALSE)</f>
        <v>25</v>
      </c>
      <c r="G613">
        <v>0</v>
      </c>
      <c r="H613">
        <f>(ORDERS[[#This Row],[UnitsOrdered]]*ORDERS[[#This Row],[unit price]])-(ORDERS[[#This Row],[UnitsOrdered]]*ORDERS[[#This Row],[unit price]]*ORDERS[[#This Row],[Discount]])</f>
        <v>3575</v>
      </c>
      <c r="I613" t="str">
        <f>VLOOKUP(ORDERS[[#This Row],[CustomerID]],customers[],2,FALSE)</f>
        <v>Rags to Riches</v>
      </c>
      <c r="J613" s="2" t="str">
        <f>VLOOKUP(ORDERS[[#This Row],[CustomerID]],customers[],4,FALSE)</f>
        <v>Las Vegas</v>
      </c>
      <c r="K613" s="2" t="str">
        <f>VLOOKUP(ORDERS[[#This Row],[ProductID]],Products[],3,FALSE)</f>
        <v>Male</v>
      </c>
      <c r="L613" s="2">
        <f>DAY(ORDERS[[#This Row],[OrderDate]])</f>
        <v>1</v>
      </c>
      <c r="M613" s="2">
        <f>YEAR(ORDERS[[#This Row],[OrderDate]])</f>
        <v>2013</v>
      </c>
    </row>
    <row r="614" spans="1:13" x14ac:dyDescent="0.3">
      <c r="A614">
        <v>613</v>
      </c>
      <c r="B614">
        <v>3</v>
      </c>
      <c r="C614">
        <v>8</v>
      </c>
      <c r="D614" s="1">
        <v>41396</v>
      </c>
      <c r="E614">
        <v>140</v>
      </c>
      <c r="F614">
        <f>VLOOKUP(ORDERS[[#This Row],[ProductID]],Products[],4,FALSE)</f>
        <v>27</v>
      </c>
      <c r="G614">
        <v>0</v>
      </c>
      <c r="H614">
        <f>(ORDERS[[#This Row],[UnitsOrdered]]*ORDERS[[#This Row],[unit price]])-(ORDERS[[#This Row],[UnitsOrdered]]*ORDERS[[#This Row],[unit price]]*ORDERS[[#This Row],[Discount]])</f>
        <v>3780</v>
      </c>
      <c r="I614" t="str">
        <f>VLOOKUP(ORDERS[[#This Row],[CustomerID]],customers[],2,FALSE)</f>
        <v>Shirts R Us</v>
      </c>
      <c r="J614" s="2" t="str">
        <f>VLOOKUP(ORDERS[[#This Row],[CustomerID]],customers[],4,FALSE)</f>
        <v>Los Angeles</v>
      </c>
      <c r="K614" s="2" t="str">
        <f>VLOOKUP(ORDERS[[#This Row],[ProductID]],Products[],3,FALSE)</f>
        <v>Female</v>
      </c>
      <c r="L614" s="2">
        <f>DAY(ORDERS[[#This Row],[OrderDate]])</f>
        <v>2</v>
      </c>
      <c r="M614" s="2">
        <f>YEAR(ORDERS[[#This Row],[OrderDate]])</f>
        <v>2013</v>
      </c>
    </row>
    <row r="615" spans="1:13" x14ac:dyDescent="0.3">
      <c r="A615">
        <v>614</v>
      </c>
      <c r="B615">
        <v>5</v>
      </c>
      <c r="C615">
        <v>7</v>
      </c>
      <c r="D615" s="1">
        <v>41396</v>
      </c>
      <c r="E615">
        <v>135</v>
      </c>
      <c r="F615">
        <f>VLOOKUP(ORDERS[[#This Row],[ProductID]],Products[],4,FALSE)</f>
        <v>38</v>
      </c>
      <c r="G615">
        <v>0</v>
      </c>
      <c r="H615">
        <f>(ORDERS[[#This Row],[UnitsOrdered]]*ORDERS[[#This Row],[unit price]])-(ORDERS[[#This Row],[UnitsOrdered]]*ORDERS[[#This Row],[unit price]]*ORDERS[[#This Row],[Discount]])</f>
        <v>5130</v>
      </c>
      <c r="I615" t="str">
        <f>VLOOKUP(ORDERS[[#This Row],[CustomerID]],customers[],2,FALSE)</f>
        <v>Rags to Riches</v>
      </c>
      <c r="J615" s="2" t="str">
        <f>VLOOKUP(ORDERS[[#This Row],[CustomerID]],customers[],4,FALSE)</f>
        <v>Las Vegas</v>
      </c>
      <c r="K615" s="2" t="str">
        <f>VLOOKUP(ORDERS[[#This Row],[ProductID]],Products[],3,FALSE)</f>
        <v>Female</v>
      </c>
      <c r="L615" s="2">
        <f>DAY(ORDERS[[#This Row],[OrderDate]])</f>
        <v>2</v>
      </c>
      <c r="M615" s="2">
        <f>YEAR(ORDERS[[#This Row],[OrderDate]])</f>
        <v>2013</v>
      </c>
    </row>
    <row r="616" spans="1:13" x14ac:dyDescent="0.3">
      <c r="A616">
        <v>615</v>
      </c>
      <c r="B616">
        <v>4</v>
      </c>
      <c r="C616">
        <v>7</v>
      </c>
      <c r="D616" s="1">
        <v>41397</v>
      </c>
      <c r="E616">
        <v>84</v>
      </c>
      <c r="F616">
        <f>VLOOKUP(ORDERS[[#This Row],[ProductID]],Products[],4,FALSE)</f>
        <v>38</v>
      </c>
      <c r="G616">
        <v>0</v>
      </c>
      <c r="H616">
        <f>(ORDERS[[#This Row],[UnitsOrdered]]*ORDERS[[#This Row],[unit price]])-(ORDERS[[#This Row],[UnitsOrdered]]*ORDERS[[#This Row],[unit price]]*ORDERS[[#This Row],[Discount]])</f>
        <v>3192</v>
      </c>
      <c r="I616" t="str">
        <f>VLOOKUP(ORDERS[[#This Row],[CustomerID]],customers[],2,FALSE)</f>
        <v>Tshirt Unlimited</v>
      </c>
      <c r="J616" s="2" t="str">
        <f>VLOOKUP(ORDERS[[#This Row],[CustomerID]],customers[],4,FALSE)</f>
        <v>Phoenix</v>
      </c>
      <c r="K616" s="2" t="str">
        <f>VLOOKUP(ORDERS[[#This Row],[ProductID]],Products[],3,FALSE)</f>
        <v>Female</v>
      </c>
      <c r="L616" s="2">
        <f>DAY(ORDERS[[#This Row],[OrderDate]])</f>
        <v>3</v>
      </c>
      <c r="M616" s="2">
        <f>YEAR(ORDERS[[#This Row],[OrderDate]])</f>
        <v>2013</v>
      </c>
    </row>
    <row r="617" spans="1:13" x14ac:dyDescent="0.3">
      <c r="A617">
        <v>616</v>
      </c>
      <c r="B617">
        <v>2</v>
      </c>
      <c r="C617">
        <v>2</v>
      </c>
      <c r="D617" s="1">
        <v>41398</v>
      </c>
      <c r="E617">
        <v>149</v>
      </c>
      <c r="F617">
        <f>VLOOKUP(ORDERS[[#This Row],[ProductID]],Products[],4,FALSE)</f>
        <v>30</v>
      </c>
      <c r="G617">
        <v>0</v>
      </c>
      <c r="H617">
        <f>(ORDERS[[#This Row],[UnitsOrdered]]*ORDERS[[#This Row],[unit price]])-(ORDERS[[#This Row],[UnitsOrdered]]*ORDERS[[#This Row],[unit price]]*ORDERS[[#This Row],[Discount]])</f>
        <v>4470</v>
      </c>
      <c r="I617" t="str">
        <f>VLOOKUP(ORDERS[[#This Row],[CustomerID]],customers[],2,FALSE)</f>
        <v>A Shirts Life</v>
      </c>
      <c r="J617" s="2" t="str">
        <f>VLOOKUP(ORDERS[[#This Row],[CustomerID]],customers[],4,FALSE)</f>
        <v>Portland</v>
      </c>
      <c r="K617" s="2" t="str">
        <f>VLOOKUP(ORDERS[[#This Row],[ProductID]],Products[],3,FALSE)</f>
        <v>Both</v>
      </c>
      <c r="L617" s="2">
        <f>DAY(ORDERS[[#This Row],[OrderDate]])</f>
        <v>4</v>
      </c>
      <c r="M617" s="2">
        <f>YEAR(ORDERS[[#This Row],[OrderDate]])</f>
        <v>2013</v>
      </c>
    </row>
    <row r="618" spans="1:13" x14ac:dyDescent="0.3">
      <c r="A618">
        <v>617</v>
      </c>
      <c r="B618">
        <v>2</v>
      </c>
      <c r="C618">
        <v>3</v>
      </c>
      <c r="D618" s="1">
        <v>41400</v>
      </c>
      <c r="E618">
        <v>75</v>
      </c>
      <c r="F618">
        <f>VLOOKUP(ORDERS[[#This Row],[ProductID]],Products[],4,FALSE)</f>
        <v>22</v>
      </c>
      <c r="G618">
        <v>0</v>
      </c>
      <c r="H618">
        <f>(ORDERS[[#This Row],[UnitsOrdered]]*ORDERS[[#This Row],[unit price]])-(ORDERS[[#This Row],[UnitsOrdered]]*ORDERS[[#This Row],[unit price]]*ORDERS[[#This Row],[Discount]])</f>
        <v>1650</v>
      </c>
      <c r="I618" t="str">
        <f>VLOOKUP(ORDERS[[#This Row],[CustomerID]],customers[],2,FALSE)</f>
        <v>A Shirts Life</v>
      </c>
      <c r="J618" s="2" t="str">
        <f>VLOOKUP(ORDERS[[#This Row],[CustomerID]],customers[],4,FALSE)</f>
        <v>Portland</v>
      </c>
      <c r="K618" s="2" t="str">
        <f>VLOOKUP(ORDERS[[#This Row],[ProductID]],Products[],3,FALSE)</f>
        <v>Both</v>
      </c>
      <c r="L618" s="2">
        <f>DAY(ORDERS[[#This Row],[OrderDate]])</f>
        <v>6</v>
      </c>
      <c r="M618" s="2">
        <f>YEAR(ORDERS[[#This Row],[OrderDate]])</f>
        <v>2013</v>
      </c>
    </row>
    <row r="619" spans="1:13" x14ac:dyDescent="0.3">
      <c r="A619">
        <v>618</v>
      </c>
      <c r="B619">
        <v>2</v>
      </c>
      <c r="C619">
        <v>4</v>
      </c>
      <c r="D619" s="1">
        <v>41400</v>
      </c>
      <c r="E619">
        <v>148</v>
      </c>
      <c r="F619">
        <f>VLOOKUP(ORDERS[[#This Row],[ProductID]],Products[],4,FALSE)</f>
        <v>30</v>
      </c>
      <c r="G619">
        <v>0</v>
      </c>
      <c r="H619">
        <f>(ORDERS[[#This Row],[UnitsOrdered]]*ORDERS[[#This Row],[unit price]])-(ORDERS[[#This Row],[UnitsOrdered]]*ORDERS[[#This Row],[unit price]]*ORDERS[[#This Row],[Discount]])</f>
        <v>4440</v>
      </c>
      <c r="I619" t="str">
        <f>VLOOKUP(ORDERS[[#This Row],[CustomerID]],customers[],2,FALSE)</f>
        <v>A Shirts Life</v>
      </c>
      <c r="J619" s="2" t="str">
        <f>VLOOKUP(ORDERS[[#This Row],[CustomerID]],customers[],4,FALSE)</f>
        <v>Portland</v>
      </c>
      <c r="K619" s="2" t="str">
        <f>VLOOKUP(ORDERS[[#This Row],[ProductID]],Products[],3,FALSE)</f>
        <v>Both</v>
      </c>
      <c r="L619" s="2">
        <f>DAY(ORDERS[[#This Row],[OrderDate]])</f>
        <v>6</v>
      </c>
      <c r="M619" s="2">
        <f>YEAR(ORDERS[[#This Row],[OrderDate]])</f>
        <v>2013</v>
      </c>
    </row>
    <row r="620" spans="1:13" x14ac:dyDescent="0.3">
      <c r="A620">
        <v>619</v>
      </c>
      <c r="B620">
        <v>4</v>
      </c>
      <c r="C620">
        <v>10</v>
      </c>
      <c r="D620" s="1">
        <v>41400</v>
      </c>
      <c r="E620">
        <v>64</v>
      </c>
      <c r="F620">
        <f>VLOOKUP(ORDERS[[#This Row],[ProductID]],Products[],4,FALSE)</f>
        <v>35</v>
      </c>
      <c r="G620">
        <v>0.10000000100000001</v>
      </c>
      <c r="H620">
        <f>(ORDERS[[#This Row],[UnitsOrdered]]*ORDERS[[#This Row],[unit price]])-(ORDERS[[#This Row],[UnitsOrdered]]*ORDERS[[#This Row],[unit price]]*ORDERS[[#This Row],[Discount]])</f>
        <v>2015.99999776</v>
      </c>
      <c r="I620" t="str">
        <f>VLOOKUP(ORDERS[[#This Row],[CustomerID]],customers[],2,FALSE)</f>
        <v>Tshirt Unlimited</v>
      </c>
      <c r="J620" s="2" t="str">
        <f>VLOOKUP(ORDERS[[#This Row],[CustomerID]],customers[],4,FALSE)</f>
        <v>Phoenix</v>
      </c>
      <c r="K620" s="2" t="str">
        <f>VLOOKUP(ORDERS[[#This Row],[ProductID]],Products[],3,FALSE)</f>
        <v>Male</v>
      </c>
      <c r="L620" s="2">
        <f>DAY(ORDERS[[#This Row],[OrderDate]])</f>
        <v>6</v>
      </c>
      <c r="M620" s="2">
        <f>YEAR(ORDERS[[#This Row],[OrderDate]])</f>
        <v>2013</v>
      </c>
    </row>
    <row r="621" spans="1:13" x14ac:dyDescent="0.3">
      <c r="A621">
        <v>620</v>
      </c>
      <c r="B621">
        <v>6</v>
      </c>
      <c r="C621">
        <v>8</v>
      </c>
      <c r="D621" s="1">
        <v>41400</v>
      </c>
      <c r="E621">
        <v>100</v>
      </c>
      <c r="F621">
        <f>VLOOKUP(ORDERS[[#This Row],[ProductID]],Products[],4,FALSE)</f>
        <v>27</v>
      </c>
      <c r="G621">
        <v>0</v>
      </c>
      <c r="H621">
        <f>(ORDERS[[#This Row],[UnitsOrdered]]*ORDERS[[#This Row],[unit price]])-(ORDERS[[#This Row],[UnitsOrdered]]*ORDERS[[#This Row],[unit price]]*ORDERS[[#This Row],[Discount]])</f>
        <v>2700</v>
      </c>
      <c r="I621" t="str">
        <f>VLOOKUP(ORDERS[[#This Row],[CustomerID]],customers[],2,FALSE)</f>
        <v>Abracadaba Ink</v>
      </c>
      <c r="J621" s="2" t="str">
        <f>VLOOKUP(ORDERS[[#This Row],[CustomerID]],customers[],4,FALSE)</f>
        <v>Salt Lake City</v>
      </c>
      <c r="K621" s="2" t="str">
        <f>VLOOKUP(ORDERS[[#This Row],[ProductID]],Products[],3,FALSE)</f>
        <v>Female</v>
      </c>
      <c r="L621" s="2">
        <f>DAY(ORDERS[[#This Row],[OrderDate]])</f>
        <v>6</v>
      </c>
      <c r="M621" s="2">
        <f>YEAR(ORDERS[[#This Row],[OrderDate]])</f>
        <v>2013</v>
      </c>
    </row>
    <row r="622" spans="1:13" x14ac:dyDescent="0.3">
      <c r="A622">
        <v>621</v>
      </c>
      <c r="B622">
        <v>1</v>
      </c>
      <c r="C622">
        <v>2</v>
      </c>
      <c r="D622" s="1">
        <v>41401</v>
      </c>
      <c r="E622">
        <v>63</v>
      </c>
      <c r="F622">
        <f>VLOOKUP(ORDERS[[#This Row],[ProductID]],Products[],4,FALSE)</f>
        <v>30</v>
      </c>
      <c r="G622">
        <v>5.0000001000000002E-2</v>
      </c>
      <c r="H622">
        <f>(ORDERS[[#This Row],[UnitsOrdered]]*ORDERS[[#This Row],[unit price]])-(ORDERS[[#This Row],[UnitsOrdered]]*ORDERS[[#This Row],[unit price]]*ORDERS[[#This Row],[Discount]])</f>
        <v>1795.49999811</v>
      </c>
      <c r="I622" t="str">
        <f>VLOOKUP(ORDERS[[#This Row],[CustomerID]],customers[],2,FALSE)</f>
        <v>Threads</v>
      </c>
      <c r="J622" s="2" t="str">
        <f>VLOOKUP(ORDERS[[#This Row],[CustomerID]],customers[],4,FALSE)</f>
        <v>Seattle</v>
      </c>
      <c r="K622" s="2" t="str">
        <f>VLOOKUP(ORDERS[[#This Row],[ProductID]],Products[],3,FALSE)</f>
        <v>Both</v>
      </c>
      <c r="L622" s="2">
        <f>DAY(ORDERS[[#This Row],[OrderDate]])</f>
        <v>7</v>
      </c>
      <c r="M622" s="2">
        <f>YEAR(ORDERS[[#This Row],[OrderDate]])</f>
        <v>2013</v>
      </c>
    </row>
    <row r="623" spans="1:13" x14ac:dyDescent="0.3">
      <c r="A623">
        <v>622</v>
      </c>
      <c r="B623">
        <v>4</v>
      </c>
      <c r="C623">
        <v>2</v>
      </c>
      <c r="D623" s="1">
        <v>41402</v>
      </c>
      <c r="E623">
        <v>89</v>
      </c>
      <c r="F623">
        <f>VLOOKUP(ORDERS[[#This Row],[ProductID]],Products[],4,FALSE)</f>
        <v>30</v>
      </c>
      <c r="G623">
        <v>5.0000001000000002E-2</v>
      </c>
      <c r="H623">
        <f>(ORDERS[[#This Row],[UnitsOrdered]]*ORDERS[[#This Row],[unit price]])-(ORDERS[[#This Row],[UnitsOrdered]]*ORDERS[[#This Row],[unit price]]*ORDERS[[#This Row],[Discount]])</f>
        <v>2536.49999733</v>
      </c>
      <c r="I623" t="str">
        <f>VLOOKUP(ORDERS[[#This Row],[CustomerID]],customers[],2,FALSE)</f>
        <v>Tshirt Unlimited</v>
      </c>
      <c r="J623" s="2" t="str">
        <f>VLOOKUP(ORDERS[[#This Row],[CustomerID]],customers[],4,FALSE)</f>
        <v>Phoenix</v>
      </c>
      <c r="K623" s="2" t="str">
        <f>VLOOKUP(ORDERS[[#This Row],[ProductID]],Products[],3,FALSE)</f>
        <v>Both</v>
      </c>
      <c r="L623" s="2">
        <f>DAY(ORDERS[[#This Row],[OrderDate]])</f>
        <v>8</v>
      </c>
      <c r="M623" s="2">
        <f>YEAR(ORDERS[[#This Row],[OrderDate]])</f>
        <v>2013</v>
      </c>
    </row>
    <row r="624" spans="1:13" x14ac:dyDescent="0.3">
      <c r="A624">
        <v>623</v>
      </c>
      <c r="B624">
        <v>7</v>
      </c>
      <c r="C624">
        <v>4</v>
      </c>
      <c r="D624" s="1">
        <v>41402</v>
      </c>
      <c r="E624">
        <v>45</v>
      </c>
      <c r="F624">
        <f>VLOOKUP(ORDERS[[#This Row],[ProductID]],Products[],4,FALSE)</f>
        <v>30</v>
      </c>
      <c r="G624">
        <v>5.0000001000000002E-2</v>
      </c>
      <c r="H624">
        <f>(ORDERS[[#This Row],[UnitsOrdered]]*ORDERS[[#This Row],[unit price]])-(ORDERS[[#This Row],[UnitsOrdered]]*ORDERS[[#This Row],[unit price]]*ORDERS[[#This Row],[Discount]])</f>
        <v>1282.49999865</v>
      </c>
      <c r="I624" t="str">
        <f>VLOOKUP(ORDERS[[#This Row],[CustomerID]],customers[],2,FALSE)</f>
        <v>The Shirt on Your Back</v>
      </c>
      <c r="J624" s="2" t="str">
        <f>VLOOKUP(ORDERS[[#This Row],[CustomerID]],customers[],4,FALSE)</f>
        <v>Bonners Ferry</v>
      </c>
      <c r="K624" s="2" t="str">
        <f>VLOOKUP(ORDERS[[#This Row],[ProductID]],Products[],3,FALSE)</f>
        <v>Both</v>
      </c>
      <c r="L624" s="2">
        <f>DAY(ORDERS[[#This Row],[OrderDate]])</f>
        <v>8</v>
      </c>
      <c r="M624" s="2">
        <f>YEAR(ORDERS[[#This Row],[OrderDate]])</f>
        <v>2013</v>
      </c>
    </row>
    <row r="625" spans="1:13" x14ac:dyDescent="0.3">
      <c r="A625">
        <v>624</v>
      </c>
      <c r="B625">
        <v>7</v>
      </c>
      <c r="C625">
        <v>9</v>
      </c>
      <c r="D625" s="1">
        <v>41402</v>
      </c>
      <c r="E625">
        <v>33</v>
      </c>
      <c r="F625">
        <f>VLOOKUP(ORDERS[[#This Row],[ProductID]],Products[],4,FALSE)</f>
        <v>25</v>
      </c>
      <c r="G625">
        <v>0.10000000100000001</v>
      </c>
      <c r="H625">
        <f>(ORDERS[[#This Row],[UnitsOrdered]]*ORDERS[[#This Row],[unit price]])-(ORDERS[[#This Row],[UnitsOrdered]]*ORDERS[[#This Row],[unit price]]*ORDERS[[#This Row],[Discount]])</f>
        <v>742.49999917499997</v>
      </c>
      <c r="I625" t="str">
        <f>VLOOKUP(ORDERS[[#This Row],[CustomerID]],customers[],2,FALSE)</f>
        <v>The Shirt on Your Back</v>
      </c>
      <c r="J625" s="2" t="str">
        <f>VLOOKUP(ORDERS[[#This Row],[CustomerID]],customers[],4,FALSE)</f>
        <v>Bonners Ferry</v>
      </c>
      <c r="K625" s="2" t="str">
        <f>VLOOKUP(ORDERS[[#This Row],[ProductID]],Products[],3,FALSE)</f>
        <v>Male</v>
      </c>
      <c r="L625" s="2">
        <f>DAY(ORDERS[[#This Row],[OrderDate]])</f>
        <v>8</v>
      </c>
      <c r="M625" s="2">
        <f>YEAR(ORDERS[[#This Row],[OrderDate]])</f>
        <v>2013</v>
      </c>
    </row>
    <row r="626" spans="1:13" x14ac:dyDescent="0.3">
      <c r="A626">
        <v>625</v>
      </c>
      <c r="B626">
        <v>4</v>
      </c>
      <c r="C626">
        <v>9</v>
      </c>
      <c r="D626" s="1">
        <v>41404</v>
      </c>
      <c r="E626">
        <v>51</v>
      </c>
      <c r="F626">
        <f>VLOOKUP(ORDERS[[#This Row],[ProductID]],Products[],4,FALSE)</f>
        <v>25</v>
      </c>
      <c r="G626">
        <v>0</v>
      </c>
      <c r="H626">
        <f>(ORDERS[[#This Row],[UnitsOrdered]]*ORDERS[[#This Row],[unit price]])-(ORDERS[[#This Row],[UnitsOrdered]]*ORDERS[[#This Row],[unit price]]*ORDERS[[#This Row],[Discount]])</f>
        <v>1275</v>
      </c>
      <c r="I626" t="str">
        <f>VLOOKUP(ORDERS[[#This Row],[CustomerID]],customers[],2,FALSE)</f>
        <v>Tshirt Unlimited</v>
      </c>
      <c r="J626" s="2" t="str">
        <f>VLOOKUP(ORDERS[[#This Row],[CustomerID]],customers[],4,FALSE)</f>
        <v>Phoenix</v>
      </c>
      <c r="K626" s="2" t="str">
        <f>VLOOKUP(ORDERS[[#This Row],[ProductID]],Products[],3,FALSE)</f>
        <v>Male</v>
      </c>
      <c r="L626" s="2">
        <f>DAY(ORDERS[[#This Row],[OrderDate]])</f>
        <v>10</v>
      </c>
      <c r="M626" s="2">
        <f>YEAR(ORDERS[[#This Row],[OrderDate]])</f>
        <v>2013</v>
      </c>
    </row>
    <row r="627" spans="1:13" x14ac:dyDescent="0.3">
      <c r="A627">
        <v>626</v>
      </c>
      <c r="B627">
        <v>2</v>
      </c>
      <c r="C627">
        <v>8</v>
      </c>
      <c r="D627" s="1">
        <v>41405</v>
      </c>
      <c r="E627">
        <v>140</v>
      </c>
      <c r="F627">
        <f>VLOOKUP(ORDERS[[#This Row],[ProductID]],Products[],4,FALSE)</f>
        <v>27</v>
      </c>
      <c r="G627">
        <v>0</v>
      </c>
      <c r="H627">
        <f>(ORDERS[[#This Row],[UnitsOrdered]]*ORDERS[[#This Row],[unit price]])-(ORDERS[[#This Row],[UnitsOrdered]]*ORDERS[[#This Row],[unit price]]*ORDERS[[#This Row],[Discount]])</f>
        <v>3780</v>
      </c>
      <c r="I627" t="str">
        <f>VLOOKUP(ORDERS[[#This Row],[CustomerID]],customers[],2,FALSE)</f>
        <v>A Shirts Life</v>
      </c>
      <c r="J627" s="2" t="str">
        <f>VLOOKUP(ORDERS[[#This Row],[CustomerID]],customers[],4,FALSE)</f>
        <v>Portland</v>
      </c>
      <c r="K627" s="2" t="str">
        <f>VLOOKUP(ORDERS[[#This Row],[ProductID]],Products[],3,FALSE)</f>
        <v>Female</v>
      </c>
      <c r="L627" s="2">
        <f>DAY(ORDERS[[#This Row],[OrderDate]])</f>
        <v>11</v>
      </c>
      <c r="M627" s="2">
        <f>YEAR(ORDERS[[#This Row],[OrderDate]])</f>
        <v>2013</v>
      </c>
    </row>
    <row r="628" spans="1:13" x14ac:dyDescent="0.3">
      <c r="A628">
        <v>627</v>
      </c>
      <c r="B628">
        <v>7</v>
      </c>
      <c r="C628">
        <v>1</v>
      </c>
      <c r="D628" s="1">
        <v>41405</v>
      </c>
      <c r="E628">
        <v>29</v>
      </c>
      <c r="F628">
        <f>VLOOKUP(ORDERS[[#This Row],[ProductID]],Products[],4,FALSE)</f>
        <v>20</v>
      </c>
      <c r="G628">
        <v>0</v>
      </c>
      <c r="H628">
        <f>(ORDERS[[#This Row],[UnitsOrdered]]*ORDERS[[#This Row],[unit price]])-(ORDERS[[#This Row],[UnitsOrdered]]*ORDERS[[#This Row],[unit price]]*ORDERS[[#This Row],[Discount]])</f>
        <v>580</v>
      </c>
      <c r="I628" t="str">
        <f>VLOOKUP(ORDERS[[#This Row],[CustomerID]],customers[],2,FALSE)</f>
        <v>The Shirt on Your Back</v>
      </c>
      <c r="J628" s="2" t="str">
        <f>VLOOKUP(ORDERS[[#This Row],[CustomerID]],customers[],4,FALSE)</f>
        <v>Bonners Ferry</v>
      </c>
      <c r="K628" s="2" t="str">
        <f>VLOOKUP(ORDERS[[#This Row],[ProductID]],Products[],3,FALSE)</f>
        <v>Both</v>
      </c>
      <c r="L628" s="2">
        <f>DAY(ORDERS[[#This Row],[OrderDate]])</f>
        <v>11</v>
      </c>
      <c r="M628" s="2">
        <f>YEAR(ORDERS[[#This Row],[OrderDate]])</f>
        <v>2013</v>
      </c>
    </row>
    <row r="629" spans="1:13" x14ac:dyDescent="0.3">
      <c r="A629">
        <v>628</v>
      </c>
      <c r="B629">
        <v>4</v>
      </c>
      <c r="C629">
        <v>1</v>
      </c>
      <c r="D629" s="1">
        <v>41406</v>
      </c>
      <c r="E629">
        <v>114</v>
      </c>
      <c r="F629">
        <f>VLOOKUP(ORDERS[[#This Row],[ProductID]],Products[],4,FALSE)</f>
        <v>20</v>
      </c>
      <c r="G629">
        <v>0</v>
      </c>
      <c r="H629">
        <f>(ORDERS[[#This Row],[UnitsOrdered]]*ORDERS[[#This Row],[unit price]])-(ORDERS[[#This Row],[UnitsOrdered]]*ORDERS[[#This Row],[unit price]]*ORDERS[[#This Row],[Discount]])</f>
        <v>2280</v>
      </c>
      <c r="I629" t="str">
        <f>VLOOKUP(ORDERS[[#This Row],[CustomerID]],customers[],2,FALSE)</f>
        <v>Tshirt Unlimited</v>
      </c>
      <c r="J629" s="2" t="str">
        <f>VLOOKUP(ORDERS[[#This Row],[CustomerID]],customers[],4,FALSE)</f>
        <v>Phoenix</v>
      </c>
      <c r="K629" s="2" t="str">
        <f>VLOOKUP(ORDERS[[#This Row],[ProductID]],Products[],3,FALSE)</f>
        <v>Both</v>
      </c>
      <c r="L629" s="2">
        <f>DAY(ORDERS[[#This Row],[OrderDate]])</f>
        <v>12</v>
      </c>
      <c r="M629" s="2">
        <f>YEAR(ORDERS[[#This Row],[OrderDate]])</f>
        <v>2013</v>
      </c>
    </row>
    <row r="630" spans="1:13" x14ac:dyDescent="0.3">
      <c r="A630">
        <v>629</v>
      </c>
      <c r="B630">
        <v>2</v>
      </c>
      <c r="C630">
        <v>4</v>
      </c>
      <c r="D630" s="1">
        <v>41407</v>
      </c>
      <c r="E630">
        <v>100</v>
      </c>
      <c r="F630">
        <f>VLOOKUP(ORDERS[[#This Row],[ProductID]],Products[],4,FALSE)</f>
        <v>30</v>
      </c>
      <c r="G630">
        <v>0</v>
      </c>
      <c r="H630">
        <f>(ORDERS[[#This Row],[UnitsOrdered]]*ORDERS[[#This Row],[unit price]])-(ORDERS[[#This Row],[UnitsOrdered]]*ORDERS[[#This Row],[unit price]]*ORDERS[[#This Row],[Discount]])</f>
        <v>3000</v>
      </c>
      <c r="I630" t="str">
        <f>VLOOKUP(ORDERS[[#This Row],[CustomerID]],customers[],2,FALSE)</f>
        <v>A Shirts Life</v>
      </c>
      <c r="J630" s="2" t="str">
        <f>VLOOKUP(ORDERS[[#This Row],[CustomerID]],customers[],4,FALSE)</f>
        <v>Portland</v>
      </c>
      <c r="K630" s="2" t="str">
        <f>VLOOKUP(ORDERS[[#This Row],[ProductID]],Products[],3,FALSE)</f>
        <v>Both</v>
      </c>
      <c r="L630" s="2">
        <f>DAY(ORDERS[[#This Row],[OrderDate]])</f>
        <v>13</v>
      </c>
      <c r="M630" s="2">
        <f>YEAR(ORDERS[[#This Row],[OrderDate]])</f>
        <v>2013</v>
      </c>
    </row>
    <row r="631" spans="1:13" x14ac:dyDescent="0.3">
      <c r="A631">
        <v>630</v>
      </c>
      <c r="B631">
        <v>6</v>
      </c>
      <c r="C631">
        <v>1</v>
      </c>
      <c r="D631" s="1">
        <v>41407</v>
      </c>
      <c r="E631">
        <v>33</v>
      </c>
      <c r="F631">
        <f>VLOOKUP(ORDERS[[#This Row],[ProductID]],Products[],4,FALSE)</f>
        <v>20</v>
      </c>
      <c r="G631">
        <v>0</v>
      </c>
      <c r="H631">
        <f>(ORDERS[[#This Row],[UnitsOrdered]]*ORDERS[[#This Row],[unit price]])-(ORDERS[[#This Row],[UnitsOrdered]]*ORDERS[[#This Row],[unit price]]*ORDERS[[#This Row],[Discount]])</f>
        <v>660</v>
      </c>
      <c r="I631" t="str">
        <f>VLOOKUP(ORDERS[[#This Row],[CustomerID]],customers[],2,FALSE)</f>
        <v>Abracadaba Ink</v>
      </c>
      <c r="J631" s="2" t="str">
        <f>VLOOKUP(ORDERS[[#This Row],[CustomerID]],customers[],4,FALSE)</f>
        <v>Salt Lake City</v>
      </c>
      <c r="K631" s="2" t="str">
        <f>VLOOKUP(ORDERS[[#This Row],[ProductID]],Products[],3,FALSE)</f>
        <v>Both</v>
      </c>
      <c r="L631" s="2">
        <f>DAY(ORDERS[[#This Row],[OrderDate]])</f>
        <v>13</v>
      </c>
      <c r="M631" s="2">
        <f>YEAR(ORDERS[[#This Row],[OrderDate]])</f>
        <v>2013</v>
      </c>
    </row>
    <row r="632" spans="1:13" x14ac:dyDescent="0.3">
      <c r="A632">
        <v>631</v>
      </c>
      <c r="B632">
        <v>5</v>
      </c>
      <c r="C632">
        <v>7</v>
      </c>
      <c r="D632" s="1">
        <v>41408</v>
      </c>
      <c r="E632">
        <v>70</v>
      </c>
      <c r="F632">
        <f>VLOOKUP(ORDERS[[#This Row],[ProductID]],Products[],4,FALSE)</f>
        <v>38</v>
      </c>
      <c r="G632">
        <v>0</v>
      </c>
      <c r="H632">
        <f>(ORDERS[[#This Row],[UnitsOrdered]]*ORDERS[[#This Row],[unit price]])-(ORDERS[[#This Row],[UnitsOrdered]]*ORDERS[[#This Row],[unit price]]*ORDERS[[#This Row],[Discount]])</f>
        <v>2660</v>
      </c>
      <c r="I632" t="str">
        <f>VLOOKUP(ORDERS[[#This Row],[CustomerID]],customers[],2,FALSE)</f>
        <v>Rags to Riches</v>
      </c>
      <c r="J632" s="2" t="str">
        <f>VLOOKUP(ORDERS[[#This Row],[CustomerID]],customers[],4,FALSE)</f>
        <v>Las Vegas</v>
      </c>
      <c r="K632" s="2" t="str">
        <f>VLOOKUP(ORDERS[[#This Row],[ProductID]],Products[],3,FALSE)</f>
        <v>Female</v>
      </c>
      <c r="L632" s="2">
        <f>DAY(ORDERS[[#This Row],[OrderDate]])</f>
        <v>14</v>
      </c>
      <c r="M632" s="2">
        <f>YEAR(ORDERS[[#This Row],[OrderDate]])</f>
        <v>2013</v>
      </c>
    </row>
    <row r="633" spans="1:13" x14ac:dyDescent="0.3">
      <c r="A633">
        <v>632</v>
      </c>
      <c r="B633">
        <v>3</v>
      </c>
      <c r="C633">
        <v>2</v>
      </c>
      <c r="D633" s="1">
        <v>41409</v>
      </c>
      <c r="E633">
        <v>43</v>
      </c>
      <c r="F633">
        <f>VLOOKUP(ORDERS[[#This Row],[ProductID]],Products[],4,FALSE)</f>
        <v>30</v>
      </c>
      <c r="G633">
        <v>5.0000001000000002E-2</v>
      </c>
      <c r="H633">
        <f>(ORDERS[[#This Row],[UnitsOrdered]]*ORDERS[[#This Row],[unit price]])-(ORDERS[[#This Row],[UnitsOrdered]]*ORDERS[[#This Row],[unit price]]*ORDERS[[#This Row],[Discount]])</f>
        <v>1225.49999871</v>
      </c>
      <c r="I633" t="str">
        <f>VLOOKUP(ORDERS[[#This Row],[CustomerID]],customers[],2,FALSE)</f>
        <v>Shirts R Us</v>
      </c>
      <c r="J633" s="2" t="str">
        <f>VLOOKUP(ORDERS[[#This Row],[CustomerID]],customers[],4,FALSE)</f>
        <v>Los Angeles</v>
      </c>
      <c r="K633" s="2" t="str">
        <f>VLOOKUP(ORDERS[[#This Row],[ProductID]],Products[],3,FALSE)</f>
        <v>Both</v>
      </c>
      <c r="L633" s="2">
        <f>DAY(ORDERS[[#This Row],[OrderDate]])</f>
        <v>15</v>
      </c>
      <c r="M633" s="2">
        <f>YEAR(ORDERS[[#This Row],[OrderDate]])</f>
        <v>2013</v>
      </c>
    </row>
    <row r="634" spans="1:13" x14ac:dyDescent="0.3">
      <c r="A634">
        <v>633</v>
      </c>
      <c r="B634">
        <v>2</v>
      </c>
      <c r="C634">
        <v>4</v>
      </c>
      <c r="D634" s="1">
        <v>41410</v>
      </c>
      <c r="E634">
        <v>83</v>
      </c>
      <c r="F634">
        <f>VLOOKUP(ORDERS[[#This Row],[ProductID]],Products[],4,FALSE)</f>
        <v>30</v>
      </c>
      <c r="G634">
        <v>5.0000001000000002E-2</v>
      </c>
      <c r="H634">
        <f>(ORDERS[[#This Row],[UnitsOrdered]]*ORDERS[[#This Row],[unit price]])-(ORDERS[[#This Row],[UnitsOrdered]]*ORDERS[[#This Row],[unit price]]*ORDERS[[#This Row],[Discount]])</f>
        <v>2365.49999751</v>
      </c>
      <c r="I634" t="str">
        <f>VLOOKUP(ORDERS[[#This Row],[CustomerID]],customers[],2,FALSE)</f>
        <v>A Shirts Life</v>
      </c>
      <c r="J634" s="2" t="str">
        <f>VLOOKUP(ORDERS[[#This Row],[CustomerID]],customers[],4,FALSE)</f>
        <v>Portland</v>
      </c>
      <c r="K634" s="2" t="str">
        <f>VLOOKUP(ORDERS[[#This Row],[ProductID]],Products[],3,FALSE)</f>
        <v>Both</v>
      </c>
      <c r="L634" s="2">
        <f>DAY(ORDERS[[#This Row],[OrderDate]])</f>
        <v>16</v>
      </c>
      <c r="M634" s="2">
        <f>YEAR(ORDERS[[#This Row],[OrderDate]])</f>
        <v>2013</v>
      </c>
    </row>
    <row r="635" spans="1:13" x14ac:dyDescent="0.3">
      <c r="A635">
        <v>634</v>
      </c>
      <c r="B635">
        <v>5</v>
      </c>
      <c r="C635">
        <v>7</v>
      </c>
      <c r="D635" s="1">
        <v>41410</v>
      </c>
      <c r="E635">
        <v>130</v>
      </c>
      <c r="F635">
        <f>VLOOKUP(ORDERS[[#This Row],[ProductID]],Products[],4,FALSE)</f>
        <v>38</v>
      </c>
      <c r="G635">
        <v>0</v>
      </c>
      <c r="H635">
        <f>(ORDERS[[#This Row],[UnitsOrdered]]*ORDERS[[#This Row],[unit price]])-(ORDERS[[#This Row],[UnitsOrdered]]*ORDERS[[#This Row],[unit price]]*ORDERS[[#This Row],[Discount]])</f>
        <v>4940</v>
      </c>
      <c r="I635" t="str">
        <f>VLOOKUP(ORDERS[[#This Row],[CustomerID]],customers[],2,FALSE)</f>
        <v>Rags to Riches</v>
      </c>
      <c r="J635" s="2" t="str">
        <f>VLOOKUP(ORDERS[[#This Row],[CustomerID]],customers[],4,FALSE)</f>
        <v>Las Vegas</v>
      </c>
      <c r="K635" s="2" t="str">
        <f>VLOOKUP(ORDERS[[#This Row],[ProductID]],Products[],3,FALSE)</f>
        <v>Female</v>
      </c>
      <c r="L635" s="2">
        <f>DAY(ORDERS[[#This Row],[OrderDate]])</f>
        <v>16</v>
      </c>
      <c r="M635" s="2">
        <f>YEAR(ORDERS[[#This Row],[OrderDate]])</f>
        <v>2013</v>
      </c>
    </row>
    <row r="636" spans="1:13" x14ac:dyDescent="0.3">
      <c r="A636">
        <v>635</v>
      </c>
      <c r="B636">
        <v>3</v>
      </c>
      <c r="C636">
        <v>7</v>
      </c>
      <c r="D636" s="1">
        <v>41411</v>
      </c>
      <c r="E636">
        <v>85</v>
      </c>
      <c r="F636">
        <f>VLOOKUP(ORDERS[[#This Row],[ProductID]],Products[],4,FALSE)</f>
        <v>38</v>
      </c>
      <c r="G636">
        <v>0</v>
      </c>
      <c r="H636">
        <f>(ORDERS[[#This Row],[UnitsOrdered]]*ORDERS[[#This Row],[unit price]])-(ORDERS[[#This Row],[UnitsOrdered]]*ORDERS[[#This Row],[unit price]]*ORDERS[[#This Row],[Discount]])</f>
        <v>3230</v>
      </c>
      <c r="I636" t="str">
        <f>VLOOKUP(ORDERS[[#This Row],[CustomerID]],customers[],2,FALSE)</f>
        <v>Shirts R Us</v>
      </c>
      <c r="J636" s="2" t="str">
        <f>VLOOKUP(ORDERS[[#This Row],[CustomerID]],customers[],4,FALSE)</f>
        <v>Los Angeles</v>
      </c>
      <c r="K636" s="2" t="str">
        <f>VLOOKUP(ORDERS[[#This Row],[ProductID]],Products[],3,FALSE)</f>
        <v>Female</v>
      </c>
      <c r="L636" s="2">
        <f>DAY(ORDERS[[#This Row],[OrderDate]])</f>
        <v>17</v>
      </c>
      <c r="M636" s="2">
        <f>YEAR(ORDERS[[#This Row],[OrderDate]])</f>
        <v>2013</v>
      </c>
    </row>
    <row r="637" spans="1:13" x14ac:dyDescent="0.3">
      <c r="A637">
        <v>636</v>
      </c>
      <c r="B637">
        <v>2</v>
      </c>
      <c r="C637">
        <v>10</v>
      </c>
      <c r="D637" s="1">
        <v>41412</v>
      </c>
      <c r="E637">
        <v>149</v>
      </c>
      <c r="F637">
        <f>VLOOKUP(ORDERS[[#This Row],[ProductID]],Products[],4,FALSE)</f>
        <v>35</v>
      </c>
      <c r="G637">
        <v>0</v>
      </c>
      <c r="H637">
        <f>(ORDERS[[#This Row],[UnitsOrdered]]*ORDERS[[#This Row],[unit price]])-(ORDERS[[#This Row],[UnitsOrdered]]*ORDERS[[#This Row],[unit price]]*ORDERS[[#This Row],[Discount]])</f>
        <v>5215</v>
      </c>
      <c r="I637" t="str">
        <f>VLOOKUP(ORDERS[[#This Row],[CustomerID]],customers[],2,FALSE)</f>
        <v>A Shirts Life</v>
      </c>
      <c r="J637" s="2" t="str">
        <f>VLOOKUP(ORDERS[[#This Row],[CustomerID]],customers[],4,FALSE)</f>
        <v>Portland</v>
      </c>
      <c r="K637" s="2" t="str">
        <f>VLOOKUP(ORDERS[[#This Row],[ProductID]],Products[],3,FALSE)</f>
        <v>Male</v>
      </c>
      <c r="L637" s="2">
        <f>DAY(ORDERS[[#This Row],[OrderDate]])</f>
        <v>18</v>
      </c>
      <c r="M637" s="2">
        <f>YEAR(ORDERS[[#This Row],[OrderDate]])</f>
        <v>2013</v>
      </c>
    </row>
    <row r="638" spans="1:13" x14ac:dyDescent="0.3">
      <c r="A638">
        <v>637</v>
      </c>
      <c r="B638">
        <v>5</v>
      </c>
      <c r="C638">
        <v>8</v>
      </c>
      <c r="D638" s="1">
        <v>41413</v>
      </c>
      <c r="E638">
        <v>122</v>
      </c>
      <c r="F638">
        <f>VLOOKUP(ORDERS[[#This Row],[ProductID]],Products[],4,FALSE)</f>
        <v>27</v>
      </c>
      <c r="G638">
        <v>0</v>
      </c>
      <c r="H638">
        <f>(ORDERS[[#This Row],[UnitsOrdered]]*ORDERS[[#This Row],[unit price]])-(ORDERS[[#This Row],[UnitsOrdered]]*ORDERS[[#This Row],[unit price]]*ORDERS[[#This Row],[Discount]])</f>
        <v>3294</v>
      </c>
      <c r="I638" t="str">
        <f>VLOOKUP(ORDERS[[#This Row],[CustomerID]],customers[],2,FALSE)</f>
        <v>Rags to Riches</v>
      </c>
      <c r="J638" s="2" t="str">
        <f>VLOOKUP(ORDERS[[#This Row],[CustomerID]],customers[],4,FALSE)</f>
        <v>Las Vegas</v>
      </c>
      <c r="K638" s="2" t="str">
        <f>VLOOKUP(ORDERS[[#This Row],[ProductID]],Products[],3,FALSE)</f>
        <v>Female</v>
      </c>
      <c r="L638" s="2">
        <f>DAY(ORDERS[[#This Row],[OrderDate]])</f>
        <v>19</v>
      </c>
      <c r="M638" s="2">
        <f>YEAR(ORDERS[[#This Row],[OrderDate]])</f>
        <v>2013</v>
      </c>
    </row>
    <row r="639" spans="1:13" x14ac:dyDescent="0.3">
      <c r="A639">
        <v>638</v>
      </c>
      <c r="B639">
        <v>7</v>
      </c>
      <c r="C639">
        <v>5</v>
      </c>
      <c r="D639" s="1">
        <v>41413</v>
      </c>
      <c r="E639">
        <v>125</v>
      </c>
      <c r="F639">
        <f>VLOOKUP(ORDERS[[#This Row],[ProductID]],Products[],4,FALSE)</f>
        <v>16</v>
      </c>
      <c r="G639">
        <v>0</v>
      </c>
      <c r="H639">
        <f>(ORDERS[[#This Row],[UnitsOrdered]]*ORDERS[[#This Row],[unit price]])-(ORDERS[[#This Row],[UnitsOrdered]]*ORDERS[[#This Row],[unit price]]*ORDERS[[#This Row],[Discount]])</f>
        <v>2000</v>
      </c>
      <c r="I639" t="str">
        <f>VLOOKUP(ORDERS[[#This Row],[CustomerID]],customers[],2,FALSE)</f>
        <v>The Shirt on Your Back</v>
      </c>
      <c r="J639" s="2" t="str">
        <f>VLOOKUP(ORDERS[[#This Row],[CustomerID]],customers[],4,FALSE)</f>
        <v>Bonners Ferry</v>
      </c>
      <c r="K639" s="2" t="str">
        <f>VLOOKUP(ORDERS[[#This Row],[ProductID]],Products[],3,FALSE)</f>
        <v>Female</v>
      </c>
      <c r="L639" s="2">
        <f>DAY(ORDERS[[#This Row],[OrderDate]])</f>
        <v>19</v>
      </c>
      <c r="M639" s="2">
        <f>YEAR(ORDERS[[#This Row],[OrderDate]])</f>
        <v>2013</v>
      </c>
    </row>
    <row r="640" spans="1:13" x14ac:dyDescent="0.3">
      <c r="A640">
        <v>639</v>
      </c>
      <c r="B640">
        <v>1</v>
      </c>
      <c r="C640">
        <v>7</v>
      </c>
      <c r="D640" s="1">
        <v>41414</v>
      </c>
      <c r="E640">
        <v>115</v>
      </c>
      <c r="F640">
        <f>VLOOKUP(ORDERS[[#This Row],[ProductID]],Products[],4,FALSE)</f>
        <v>38</v>
      </c>
      <c r="G640">
        <v>0.10000000100000001</v>
      </c>
      <c r="H640">
        <f>(ORDERS[[#This Row],[UnitsOrdered]]*ORDERS[[#This Row],[unit price]])-(ORDERS[[#This Row],[UnitsOrdered]]*ORDERS[[#This Row],[unit price]]*ORDERS[[#This Row],[Discount]])</f>
        <v>3932.9999956299998</v>
      </c>
      <c r="I640" t="str">
        <f>VLOOKUP(ORDERS[[#This Row],[CustomerID]],customers[],2,FALSE)</f>
        <v>Threads</v>
      </c>
      <c r="J640" s="2" t="str">
        <f>VLOOKUP(ORDERS[[#This Row],[CustomerID]],customers[],4,FALSE)</f>
        <v>Seattle</v>
      </c>
      <c r="K640" s="2" t="str">
        <f>VLOOKUP(ORDERS[[#This Row],[ProductID]],Products[],3,FALSE)</f>
        <v>Female</v>
      </c>
      <c r="L640" s="2">
        <f>DAY(ORDERS[[#This Row],[OrderDate]])</f>
        <v>20</v>
      </c>
      <c r="M640" s="2">
        <f>YEAR(ORDERS[[#This Row],[OrderDate]])</f>
        <v>2013</v>
      </c>
    </row>
    <row r="641" spans="1:13" x14ac:dyDescent="0.3">
      <c r="A641">
        <v>640</v>
      </c>
      <c r="B641">
        <v>6</v>
      </c>
      <c r="C641">
        <v>9</v>
      </c>
      <c r="D641" s="1">
        <v>41414</v>
      </c>
      <c r="E641">
        <v>86</v>
      </c>
      <c r="F641">
        <f>VLOOKUP(ORDERS[[#This Row],[ProductID]],Products[],4,FALSE)</f>
        <v>25</v>
      </c>
      <c r="G641">
        <v>0</v>
      </c>
      <c r="H641">
        <f>(ORDERS[[#This Row],[UnitsOrdered]]*ORDERS[[#This Row],[unit price]])-(ORDERS[[#This Row],[UnitsOrdered]]*ORDERS[[#This Row],[unit price]]*ORDERS[[#This Row],[Discount]])</f>
        <v>2150</v>
      </c>
      <c r="I641" t="str">
        <f>VLOOKUP(ORDERS[[#This Row],[CustomerID]],customers[],2,FALSE)</f>
        <v>Abracadaba Ink</v>
      </c>
      <c r="J641" s="2" t="str">
        <f>VLOOKUP(ORDERS[[#This Row],[CustomerID]],customers[],4,FALSE)</f>
        <v>Salt Lake City</v>
      </c>
      <c r="K641" s="2" t="str">
        <f>VLOOKUP(ORDERS[[#This Row],[ProductID]],Products[],3,FALSE)</f>
        <v>Male</v>
      </c>
      <c r="L641" s="2">
        <f>DAY(ORDERS[[#This Row],[OrderDate]])</f>
        <v>20</v>
      </c>
      <c r="M641" s="2">
        <f>YEAR(ORDERS[[#This Row],[OrderDate]])</f>
        <v>2013</v>
      </c>
    </row>
    <row r="642" spans="1:13" x14ac:dyDescent="0.3">
      <c r="A642">
        <v>641</v>
      </c>
      <c r="B642">
        <v>2</v>
      </c>
      <c r="C642">
        <v>5</v>
      </c>
      <c r="D642" s="1">
        <v>41416</v>
      </c>
      <c r="E642">
        <v>98</v>
      </c>
      <c r="F642">
        <f>VLOOKUP(ORDERS[[#This Row],[ProductID]],Products[],4,FALSE)</f>
        <v>16</v>
      </c>
      <c r="G642">
        <v>0</v>
      </c>
      <c r="H642">
        <f>(ORDERS[[#This Row],[UnitsOrdered]]*ORDERS[[#This Row],[unit price]])-(ORDERS[[#This Row],[UnitsOrdered]]*ORDERS[[#This Row],[unit price]]*ORDERS[[#This Row],[Discount]])</f>
        <v>1568</v>
      </c>
      <c r="I642" t="str">
        <f>VLOOKUP(ORDERS[[#This Row],[CustomerID]],customers[],2,FALSE)</f>
        <v>A Shirts Life</v>
      </c>
      <c r="J642" s="2" t="str">
        <f>VLOOKUP(ORDERS[[#This Row],[CustomerID]],customers[],4,FALSE)</f>
        <v>Portland</v>
      </c>
      <c r="K642" s="2" t="str">
        <f>VLOOKUP(ORDERS[[#This Row],[ProductID]],Products[],3,FALSE)</f>
        <v>Female</v>
      </c>
      <c r="L642" s="2">
        <f>DAY(ORDERS[[#This Row],[OrderDate]])</f>
        <v>22</v>
      </c>
      <c r="M642" s="2">
        <f>YEAR(ORDERS[[#This Row],[OrderDate]])</f>
        <v>2013</v>
      </c>
    </row>
    <row r="643" spans="1:13" x14ac:dyDescent="0.3">
      <c r="A643">
        <v>642</v>
      </c>
      <c r="B643">
        <v>4</v>
      </c>
      <c r="C643">
        <v>7</v>
      </c>
      <c r="D643" s="1">
        <v>41416</v>
      </c>
      <c r="E643">
        <v>95</v>
      </c>
      <c r="F643">
        <f>VLOOKUP(ORDERS[[#This Row],[ProductID]],Products[],4,FALSE)</f>
        <v>38</v>
      </c>
      <c r="G643">
        <v>0.10000000100000001</v>
      </c>
      <c r="H643">
        <f>(ORDERS[[#This Row],[UnitsOrdered]]*ORDERS[[#This Row],[unit price]])-(ORDERS[[#This Row],[UnitsOrdered]]*ORDERS[[#This Row],[unit price]]*ORDERS[[#This Row],[Discount]])</f>
        <v>3248.99999639</v>
      </c>
      <c r="I643" t="str">
        <f>VLOOKUP(ORDERS[[#This Row],[CustomerID]],customers[],2,FALSE)</f>
        <v>Tshirt Unlimited</v>
      </c>
      <c r="J643" s="2" t="str">
        <f>VLOOKUP(ORDERS[[#This Row],[CustomerID]],customers[],4,FALSE)</f>
        <v>Phoenix</v>
      </c>
      <c r="K643" s="2" t="str">
        <f>VLOOKUP(ORDERS[[#This Row],[ProductID]],Products[],3,FALSE)</f>
        <v>Female</v>
      </c>
      <c r="L643" s="2">
        <f>DAY(ORDERS[[#This Row],[OrderDate]])</f>
        <v>22</v>
      </c>
      <c r="M643" s="2">
        <f>YEAR(ORDERS[[#This Row],[OrderDate]])</f>
        <v>2013</v>
      </c>
    </row>
    <row r="644" spans="1:13" x14ac:dyDescent="0.3">
      <c r="A644">
        <v>643</v>
      </c>
      <c r="B644">
        <v>3</v>
      </c>
      <c r="C644">
        <v>8</v>
      </c>
      <c r="D644" s="1">
        <v>41417</v>
      </c>
      <c r="E644">
        <v>54</v>
      </c>
      <c r="F644">
        <f>VLOOKUP(ORDERS[[#This Row],[ProductID]],Products[],4,FALSE)</f>
        <v>27</v>
      </c>
      <c r="G644">
        <v>0</v>
      </c>
      <c r="H644">
        <f>(ORDERS[[#This Row],[UnitsOrdered]]*ORDERS[[#This Row],[unit price]])-(ORDERS[[#This Row],[UnitsOrdered]]*ORDERS[[#This Row],[unit price]]*ORDERS[[#This Row],[Discount]])</f>
        <v>1458</v>
      </c>
      <c r="I644" t="str">
        <f>VLOOKUP(ORDERS[[#This Row],[CustomerID]],customers[],2,FALSE)</f>
        <v>Shirts R Us</v>
      </c>
      <c r="J644" s="2" t="str">
        <f>VLOOKUP(ORDERS[[#This Row],[CustomerID]],customers[],4,FALSE)</f>
        <v>Los Angeles</v>
      </c>
      <c r="K644" s="2" t="str">
        <f>VLOOKUP(ORDERS[[#This Row],[ProductID]],Products[],3,FALSE)</f>
        <v>Female</v>
      </c>
      <c r="L644" s="2">
        <f>DAY(ORDERS[[#This Row],[OrderDate]])</f>
        <v>23</v>
      </c>
      <c r="M644" s="2">
        <f>YEAR(ORDERS[[#This Row],[OrderDate]])</f>
        <v>2013</v>
      </c>
    </row>
    <row r="645" spans="1:13" x14ac:dyDescent="0.3">
      <c r="A645">
        <v>644</v>
      </c>
      <c r="B645">
        <v>1</v>
      </c>
      <c r="C645">
        <v>5</v>
      </c>
      <c r="D645" s="1">
        <v>41418</v>
      </c>
      <c r="E645">
        <v>109</v>
      </c>
      <c r="F645">
        <f>VLOOKUP(ORDERS[[#This Row],[ProductID]],Products[],4,FALSE)</f>
        <v>16</v>
      </c>
      <c r="G645">
        <v>0</v>
      </c>
      <c r="H645">
        <f>(ORDERS[[#This Row],[UnitsOrdered]]*ORDERS[[#This Row],[unit price]])-(ORDERS[[#This Row],[UnitsOrdered]]*ORDERS[[#This Row],[unit price]]*ORDERS[[#This Row],[Discount]])</f>
        <v>1744</v>
      </c>
      <c r="I645" t="str">
        <f>VLOOKUP(ORDERS[[#This Row],[CustomerID]],customers[],2,FALSE)</f>
        <v>Threads</v>
      </c>
      <c r="J645" s="2" t="str">
        <f>VLOOKUP(ORDERS[[#This Row],[CustomerID]],customers[],4,FALSE)</f>
        <v>Seattle</v>
      </c>
      <c r="K645" s="2" t="str">
        <f>VLOOKUP(ORDERS[[#This Row],[ProductID]],Products[],3,FALSE)</f>
        <v>Female</v>
      </c>
      <c r="L645" s="2">
        <f>DAY(ORDERS[[#This Row],[OrderDate]])</f>
        <v>24</v>
      </c>
      <c r="M645" s="2">
        <f>YEAR(ORDERS[[#This Row],[OrderDate]])</f>
        <v>2013</v>
      </c>
    </row>
    <row r="646" spans="1:13" x14ac:dyDescent="0.3">
      <c r="A646">
        <v>645</v>
      </c>
      <c r="B646">
        <v>3</v>
      </c>
      <c r="C646">
        <v>1</v>
      </c>
      <c r="D646" s="1">
        <v>41418</v>
      </c>
      <c r="E646">
        <v>57</v>
      </c>
      <c r="F646">
        <f>VLOOKUP(ORDERS[[#This Row],[ProductID]],Products[],4,FALSE)</f>
        <v>20</v>
      </c>
      <c r="G646">
        <v>0</v>
      </c>
      <c r="H646">
        <f>(ORDERS[[#This Row],[UnitsOrdered]]*ORDERS[[#This Row],[unit price]])-(ORDERS[[#This Row],[UnitsOrdered]]*ORDERS[[#This Row],[unit price]]*ORDERS[[#This Row],[Discount]])</f>
        <v>1140</v>
      </c>
      <c r="I646" t="str">
        <f>VLOOKUP(ORDERS[[#This Row],[CustomerID]],customers[],2,FALSE)</f>
        <v>Shirts R Us</v>
      </c>
      <c r="J646" s="2" t="str">
        <f>VLOOKUP(ORDERS[[#This Row],[CustomerID]],customers[],4,FALSE)</f>
        <v>Los Angeles</v>
      </c>
      <c r="K646" s="2" t="str">
        <f>VLOOKUP(ORDERS[[#This Row],[ProductID]],Products[],3,FALSE)</f>
        <v>Both</v>
      </c>
      <c r="L646" s="2">
        <f>DAY(ORDERS[[#This Row],[OrderDate]])</f>
        <v>24</v>
      </c>
      <c r="M646" s="2">
        <f>YEAR(ORDERS[[#This Row],[OrderDate]])</f>
        <v>2013</v>
      </c>
    </row>
    <row r="647" spans="1:13" x14ac:dyDescent="0.3">
      <c r="A647">
        <v>646</v>
      </c>
      <c r="B647">
        <v>1</v>
      </c>
      <c r="C647">
        <v>10</v>
      </c>
      <c r="D647" s="1">
        <v>41421</v>
      </c>
      <c r="E647">
        <v>111</v>
      </c>
      <c r="F647">
        <f>VLOOKUP(ORDERS[[#This Row],[ProductID]],Products[],4,FALSE)</f>
        <v>35</v>
      </c>
      <c r="G647">
        <v>0.10000000100000001</v>
      </c>
      <c r="H647">
        <f>(ORDERS[[#This Row],[UnitsOrdered]]*ORDERS[[#This Row],[unit price]])-(ORDERS[[#This Row],[UnitsOrdered]]*ORDERS[[#This Row],[unit price]]*ORDERS[[#This Row],[Discount]])</f>
        <v>3496.4999961150002</v>
      </c>
      <c r="I647" t="str">
        <f>VLOOKUP(ORDERS[[#This Row],[CustomerID]],customers[],2,FALSE)</f>
        <v>Threads</v>
      </c>
      <c r="J647" s="2" t="str">
        <f>VLOOKUP(ORDERS[[#This Row],[CustomerID]],customers[],4,FALSE)</f>
        <v>Seattle</v>
      </c>
      <c r="K647" s="2" t="str">
        <f>VLOOKUP(ORDERS[[#This Row],[ProductID]],Products[],3,FALSE)</f>
        <v>Male</v>
      </c>
      <c r="L647" s="2">
        <f>DAY(ORDERS[[#This Row],[OrderDate]])</f>
        <v>27</v>
      </c>
      <c r="M647" s="2">
        <f>YEAR(ORDERS[[#This Row],[OrderDate]])</f>
        <v>2013</v>
      </c>
    </row>
    <row r="648" spans="1:13" x14ac:dyDescent="0.3">
      <c r="A648">
        <v>647</v>
      </c>
      <c r="B648">
        <v>6</v>
      </c>
      <c r="C648">
        <v>5</v>
      </c>
      <c r="D648" s="1">
        <v>41421</v>
      </c>
      <c r="E648">
        <v>32</v>
      </c>
      <c r="F648">
        <f>VLOOKUP(ORDERS[[#This Row],[ProductID]],Products[],4,FALSE)</f>
        <v>16</v>
      </c>
      <c r="G648">
        <v>0.10000000100000001</v>
      </c>
      <c r="H648">
        <f>(ORDERS[[#This Row],[UnitsOrdered]]*ORDERS[[#This Row],[unit price]])-(ORDERS[[#This Row],[UnitsOrdered]]*ORDERS[[#This Row],[unit price]]*ORDERS[[#This Row],[Discount]])</f>
        <v>460.79999948800003</v>
      </c>
      <c r="I648" t="str">
        <f>VLOOKUP(ORDERS[[#This Row],[CustomerID]],customers[],2,FALSE)</f>
        <v>Abracadaba Ink</v>
      </c>
      <c r="J648" s="2" t="str">
        <f>VLOOKUP(ORDERS[[#This Row],[CustomerID]],customers[],4,FALSE)</f>
        <v>Salt Lake City</v>
      </c>
      <c r="K648" s="2" t="str">
        <f>VLOOKUP(ORDERS[[#This Row],[ProductID]],Products[],3,FALSE)</f>
        <v>Female</v>
      </c>
      <c r="L648" s="2">
        <f>DAY(ORDERS[[#This Row],[OrderDate]])</f>
        <v>27</v>
      </c>
      <c r="M648" s="2">
        <f>YEAR(ORDERS[[#This Row],[OrderDate]])</f>
        <v>2013</v>
      </c>
    </row>
    <row r="649" spans="1:13" x14ac:dyDescent="0.3">
      <c r="A649">
        <v>648</v>
      </c>
      <c r="B649">
        <v>1</v>
      </c>
      <c r="C649">
        <v>6</v>
      </c>
      <c r="D649" s="1">
        <v>41423</v>
      </c>
      <c r="E649">
        <v>140</v>
      </c>
      <c r="F649">
        <f>VLOOKUP(ORDERS[[#This Row],[ProductID]],Products[],4,FALSE)</f>
        <v>28</v>
      </c>
      <c r="G649">
        <v>0</v>
      </c>
      <c r="H649">
        <f>(ORDERS[[#This Row],[UnitsOrdered]]*ORDERS[[#This Row],[unit price]])-(ORDERS[[#This Row],[UnitsOrdered]]*ORDERS[[#This Row],[unit price]]*ORDERS[[#This Row],[Discount]])</f>
        <v>3920</v>
      </c>
      <c r="I649" t="str">
        <f>VLOOKUP(ORDERS[[#This Row],[CustomerID]],customers[],2,FALSE)</f>
        <v>Threads</v>
      </c>
      <c r="J649" s="2" t="str">
        <f>VLOOKUP(ORDERS[[#This Row],[CustomerID]],customers[],4,FALSE)</f>
        <v>Seattle</v>
      </c>
      <c r="K649" s="2" t="str">
        <f>VLOOKUP(ORDERS[[#This Row],[ProductID]],Products[],3,FALSE)</f>
        <v>Female</v>
      </c>
      <c r="L649" s="2">
        <f>DAY(ORDERS[[#This Row],[OrderDate]])</f>
        <v>29</v>
      </c>
      <c r="M649" s="2">
        <f>YEAR(ORDERS[[#This Row],[OrderDate]])</f>
        <v>2013</v>
      </c>
    </row>
    <row r="650" spans="1:13" x14ac:dyDescent="0.3">
      <c r="A650">
        <v>649</v>
      </c>
      <c r="B650">
        <v>2</v>
      </c>
      <c r="C650">
        <v>6</v>
      </c>
      <c r="D650" s="1">
        <v>41423</v>
      </c>
      <c r="E650">
        <v>117</v>
      </c>
      <c r="F650">
        <f>VLOOKUP(ORDERS[[#This Row],[ProductID]],Products[],4,FALSE)</f>
        <v>28</v>
      </c>
      <c r="G650">
        <v>0</v>
      </c>
      <c r="H650">
        <f>(ORDERS[[#This Row],[UnitsOrdered]]*ORDERS[[#This Row],[unit price]])-(ORDERS[[#This Row],[UnitsOrdered]]*ORDERS[[#This Row],[unit price]]*ORDERS[[#This Row],[Discount]])</f>
        <v>3276</v>
      </c>
      <c r="I650" t="str">
        <f>VLOOKUP(ORDERS[[#This Row],[CustomerID]],customers[],2,FALSE)</f>
        <v>A Shirts Life</v>
      </c>
      <c r="J650" s="2" t="str">
        <f>VLOOKUP(ORDERS[[#This Row],[CustomerID]],customers[],4,FALSE)</f>
        <v>Portland</v>
      </c>
      <c r="K650" s="2" t="str">
        <f>VLOOKUP(ORDERS[[#This Row],[ProductID]],Products[],3,FALSE)</f>
        <v>Female</v>
      </c>
      <c r="L650" s="2">
        <f>DAY(ORDERS[[#This Row],[OrderDate]])</f>
        <v>29</v>
      </c>
      <c r="M650" s="2">
        <f>YEAR(ORDERS[[#This Row],[OrderDate]])</f>
        <v>2013</v>
      </c>
    </row>
    <row r="651" spans="1:13" x14ac:dyDescent="0.3">
      <c r="A651">
        <v>650</v>
      </c>
      <c r="B651">
        <v>2</v>
      </c>
      <c r="C651">
        <v>5</v>
      </c>
      <c r="D651" s="1">
        <v>41429</v>
      </c>
      <c r="E651">
        <v>128</v>
      </c>
      <c r="F651">
        <f>VLOOKUP(ORDERS[[#This Row],[ProductID]],Products[],4,FALSE)</f>
        <v>16</v>
      </c>
      <c r="G651">
        <v>0.10000000100000001</v>
      </c>
      <c r="H651">
        <f>(ORDERS[[#This Row],[UnitsOrdered]]*ORDERS[[#This Row],[unit price]])-(ORDERS[[#This Row],[UnitsOrdered]]*ORDERS[[#This Row],[unit price]]*ORDERS[[#This Row],[Discount]])</f>
        <v>1843.1999979520001</v>
      </c>
      <c r="I651" t="str">
        <f>VLOOKUP(ORDERS[[#This Row],[CustomerID]],customers[],2,FALSE)</f>
        <v>A Shirts Life</v>
      </c>
      <c r="J651" s="2" t="str">
        <f>VLOOKUP(ORDERS[[#This Row],[CustomerID]],customers[],4,FALSE)</f>
        <v>Portland</v>
      </c>
      <c r="K651" s="2" t="str">
        <f>VLOOKUP(ORDERS[[#This Row],[ProductID]],Products[],3,FALSE)</f>
        <v>Female</v>
      </c>
      <c r="L651" s="2">
        <f>DAY(ORDERS[[#This Row],[OrderDate]])</f>
        <v>4</v>
      </c>
      <c r="M651" s="2">
        <f>YEAR(ORDERS[[#This Row],[OrderDate]])</f>
        <v>2013</v>
      </c>
    </row>
    <row r="652" spans="1:13" x14ac:dyDescent="0.3">
      <c r="A652">
        <v>651</v>
      </c>
      <c r="B652">
        <v>4</v>
      </c>
      <c r="C652">
        <v>2</v>
      </c>
      <c r="D652" s="1">
        <v>41430</v>
      </c>
      <c r="E652">
        <v>104</v>
      </c>
      <c r="F652">
        <f>VLOOKUP(ORDERS[[#This Row],[ProductID]],Products[],4,FALSE)</f>
        <v>30</v>
      </c>
      <c r="G652">
        <v>0</v>
      </c>
      <c r="H652">
        <f>(ORDERS[[#This Row],[UnitsOrdered]]*ORDERS[[#This Row],[unit price]])-(ORDERS[[#This Row],[UnitsOrdered]]*ORDERS[[#This Row],[unit price]]*ORDERS[[#This Row],[Discount]])</f>
        <v>3120</v>
      </c>
      <c r="I652" t="str">
        <f>VLOOKUP(ORDERS[[#This Row],[CustomerID]],customers[],2,FALSE)</f>
        <v>Tshirt Unlimited</v>
      </c>
      <c r="J652" s="2" t="str">
        <f>VLOOKUP(ORDERS[[#This Row],[CustomerID]],customers[],4,FALSE)</f>
        <v>Phoenix</v>
      </c>
      <c r="K652" s="2" t="str">
        <f>VLOOKUP(ORDERS[[#This Row],[ProductID]],Products[],3,FALSE)</f>
        <v>Both</v>
      </c>
      <c r="L652" s="2">
        <f>DAY(ORDERS[[#This Row],[OrderDate]])</f>
        <v>5</v>
      </c>
      <c r="M652" s="2">
        <f>YEAR(ORDERS[[#This Row],[OrderDate]])</f>
        <v>2013</v>
      </c>
    </row>
    <row r="653" spans="1:13" x14ac:dyDescent="0.3">
      <c r="A653">
        <v>652</v>
      </c>
      <c r="B653">
        <v>3</v>
      </c>
      <c r="C653">
        <v>5</v>
      </c>
      <c r="D653" s="1">
        <v>41433</v>
      </c>
      <c r="E653">
        <v>90</v>
      </c>
      <c r="F653">
        <f>VLOOKUP(ORDERS[[#This Row],[ProductID]],Products[],4,FALSE)</f>
        <v>16</v>
      </c>
      <c r="G653">
        <v>0</v>
      </c>
      <c r="H653">
        <f>(ORDERS[[#This Row],[UnitsOrdered]]*ORDERS[[#This Row],[unit price]])-(ORDERS[[#This Row],[UnitsOrdered]]*ORDERS[[#This Row],[unit price]]*ORDERS[[#This Row],[Discount]])</f>
        <v>1440</v>
      </c>
      <c r="I653" t="str">
        <f>VLOOKUP(ORDERS[[#This Row],[CustomerID]],customers[],2,FALSE)</f>
        <v>Shirts R Us</v>
      </c>
      <c r="J653" s="2" t="str">
        <f>VLOOKUP(ORDERS[[#This Row],[CustomerID]],customers[],4,FALSE)</f>
        <v>Los Angeles</v>
      </c>
      <c r="K653" s="2" t="str">
        <f>VLOOKUP(ORDERS[[#This Row],[ProductID]],Products[],3,FALSE)</f>
        <v>Female</v>
      </c>
      <c r="L653" s="2">
        <f>DAY(ORDERS[[#This Row],[OrderDate]])</f>
        <v>8</v>
      </c>
      <c r="M653" s="2">
        <f>YEAR(ORDERS[[#This Row],[OrderDate]])</f>
        <v>2013</v>
      </c>
    </row>
    <row r="654" spans="1:13" x14ac:dyDescent="0.3">
      <c r="A654">
        <v>653</v>
      </c>
      <c r="B654">
        <v>3</v>
      </c>
      <c r="C654">
        <v>10</v>
      </c>
      <c r="D654" s="1">
        <v>41433</v>
      </c>
      <c r="E654">
        <v>133</v>
      </c>
      <c r="F654">
        <f>VLOOKUP(ORDERS[[#This Row],[ProductID]],Products[],4,FALSE)</f>
        <v>35</v>
      </c>
      <c r="G654">
        <v>0.10000000100000001</v>
      </c>
      <c r="H654">
        <f>(ORDERS[[#This Row],[UnitsOrdered]]*ORDERS[[#This Row],[unit price]])-(ORDERS[[#This Row],[UnitsOrdered]]*ORDERS[[#This Row],[unit price]]*ORDERS[[#This Row],[Discount]])</f>
        <v>4189.4999953449997</v>
      </c>
      <c r="I654" t="str">
        <f>VLOOKUP(ORDERS[[#This Row],[CustomerID]],customers[],2,FALSE)</f>
        <v>Shirts R Us</v>
      </c>
      <c r="J654" s="2" t="str">
        <f>VLOOKUP(ORDERS[[#This Row],[CustomerID]],customers[],4,FALSE)</f>
        <v>Los Angeles</v>
      </c>
      <c r="K654" s="2" t="str">
        <f>VLOOKUP(ORDERS[[#This Row],[ProductID]],Products[],3,FALSE)</f>
        <v>Male</v>
      </c>
      <c r="L654" s="2">
        <f>DAY(ORDERS[[#This Row],[OrderDate]])</f>
        <v>8</v>
      </c>
      <c r="M654" s="2">
        <f>YEAR(ORDERS[[#This Row],[OrderDate]])</f>
        <v>2013</v>
      </c>
    </row>
    <row r="655" spans="1:13" x14ac:dyDescent="0.3">
      <c r="A655">
        <v>654</v>
      </c>
      <c r="B655">
        <v>3</v>
      </c>
      <c r="C655">
        <v>4</v>
      </c>
      <c r="D655" s="1">
        <v>41434</v>
      </c>
      <c r="E655">
        <v>126</v>
      </c>
      <c r="F655">
        <f>VLOOKUP(ORDERS[[#This Row],[ProductID]],Products[],4,FALSE)</f>
        <v>30</v>
      </c>
      <c r="G655">
        <v>0</v>
      </c>
      <c r="H655">
        <f>(ORDERS[[#This Row],[UnitsOrdered]]*ORDERS[[#This Row],[unit price]])-(ORDERS[[#This Row],[UnitsOrdered]]*ORDERS[[#This Row],[unit price]]*ORDERS[[#This Row],[Discount]])</f>
        <v>3780</v>
      </c>
      <c r="I655" t="str">
        <f>VLOOKUP(ORDERS[[#This Row],[CustomerID]],customers[],2,FALSE)</f>
        <v>Shirts R Us</v>
      </c>
      <c r="J655" s="2" t="str">
        <f>VLOOKUP(ORDERS[[#This Row],[CustomerID]],customers[],4,FALSE)</f>
        <v>Los Angeles</v>
      </c>
      <c r="K655" s="2" t="str">
        <f>VLOOKUP(ORDERS[[#This Row],[ProductID]],Products[],3,FALSE)</f>
        <v>Both</v>
      </c>
      <c r="L655" s="2">
        <f>DAY(ORDERS[[#This Row],[OrderDate]])</f>
        <v>9</v>
      </c>
      <c r="M655" s="2">
        <f>YEAR(ORDERS[[#This Row],[OrderDate]])</f>
        <v>2013</v>
      </c>
    </row>
    <row r="656" spans="1:13" x14ac:dyDescent="0.3">
      <c r="A656">
        <v>655</v>
      </c>
      <c r="B656">
        <v>2</v>
      </c>
      <c r="C656">
        <v>3</v>
      </c>
      <c r="D656" s="1">
        <v>41435</v>
      </c>
      <c r="E656">
        <v>113</v>
      </c>
      <c r="F656">
        <f>VLOOKUP(ORDERS[[#This Row],[ProductID]],Products[],4,FALSE)</f>
        <v>22</v>
      </c>
      <c r="G656">
        <v>0.10000000100000001</v>
      </c>
      <c r="H656">
        <f>(ORDERS[[#This Row],[UnitsOrdered]]*ORDERS[[#This Row],[unit price]])-(ORDERS[[#This Row],[UnitsOrdered]]*ORDERS[[#This Row],[unit price]]*ORDERS[[#This Row],[Discount]])</f>
        <v>2237.399997514</v>
      </c>
      <c r="I656" t="str">
        <f>VLOOKUP(ORDERS[[#This Row],[CustomerID]],customers[],2,FALSE)</f>
        <v>A Shirts Life</v>
      </c>
      <c r="J656" s="2" t="str">
        <f>VLOOKUP(ORDERS[[#This Row],[CustomerID]],customers[],4,FALSE)</f>
        <v>Portland</v>
      </c>
      <c r="K656" s="2" t="str">
        <f>VLOOKUP(ORDERS[[#This Row],[ProductID]],Products[],3,FALSE)</f>
        <v>Both</v>
      </c>
      <c r="L656" s="2">
        <f>DAY(ORDERS[[#This Row],[OrderDate]])</f>
        <v>10</v>
      </c>
      <c r="M656" s="2">
        <f>YEAR(ORDERS[[#This Row],[OrderDate]])</f>
        <v>2013</v>
      </c>
    </row>
    <row r="657" spans="1:13" x14ac:dyDescent="0.3">
      <c r="A657">
        <v>656</v>
      </c>
      <c r="B657">
        <v>5</v>
      </c>
      <c r="C657">
        <v>4</v>
      </c>
      <c r="D657" s="1">
        <v>41436</v>
      </c>
      <c r="E657">
        <v>103</v>
      </c>
      <c r="F657">
        <f>VLOOKUP(ORDERS[[#This Row],[ProductID]],Products[],4,FALSE)</f>
        <v>30</v>
      </c>
      <c r="G657">
        <v>0</v>
      </c>
      <c r="H657">
        <f>(ORDERS[[#This Row],[UnitsOrdered]]*ORDERS[[#This Row],[unit price]])-(ORDERS[[#This Row],[UnitsOrdered]]*ORDERS[[#This Row],[unit price]]*ORDERS[[#This Row],[Discount]])</f>
        <v>3090</v>
      </c>
      <c r="I657" t="str">
        <f>VLOOKUP(ORDERS[[#This Row],[CustomerID]],customers[],2,FALSE)</f>
        <v>Rags to Riches</v>
      </c>
      <c r="J657" s="2" t="str">
        <f>VLOOKUP(ORDERS[[#This Row],[CustomerID]],customers[],4,FALSE)</f>
        <v>Las Vegas</v>
      </c>
      <c r="K657" s="2" t="str">
        <f>VLOOKUP(ORDERS[[#This Row],[ProductID]],Products[],3,FALSE)</f>
        <v>Both</v>
      </c>
      <c r="L657" s="2">
        <f>DAY(ORDERS[[#This Row],[OrderDate]])</f>
        <v>11</v>
      </c>
      <c r="M657" s="2">
        <f>YEAR(ORDERS[[#This Row],[OrderDate]])</f>
        <v>2013</v>
      </c>
    </row>
    <row r="658" spans="1:13" x14ac:dyDescent="0.3">
      <c r="A658">
        <v>657</v>
      </c>
      <c r="B658">
        <v>6</v>
      </c>
      <c r="C658">
        <v>7</v>
      </c>
      <c r="D658" s="1">
        <v>41437</v>
      </c>
      <c r="E658">
        <v>34</v>
      </c>
      <c r="F658">
        <f>VLOOKUP(ORDERS[[#This Row],[ProductID]],Products[],4,FALSE)</f>
        <v>38</v>
      </c>
      <c r="G658">
        <v>0</v>
      </c>
      <c r="H658">
        <f>(ORDERS[[#This Row],[UnitsOrdered]]*ORDERS[[#This Row],[unit price]])-(ORDERS[[#This Row],[UnitsOrdered]]*ORDERS[[#This Row],[unit price]]*ORDERS[[#This Row],[Discount]])</f>
        <v>1292</v>
      </c>
      <c r="I658" t="str">
        <f>VLOOKUP(ORDERS[[#This Row],[CustomerID]],customers[],2,FALSE)</f>
        <v>Abracadaba Ink</v>
      </c>
      <c r="J658" s="2" t="str">
        <f>VLOOKUP(ORDERS[[#This Row],[CustomerID]],customers[],4,FALSE)</f>
        <v>Salt Lake City</v>
      </c>
      <c r="K658" s="2" t="str">
        <f>VLOOKUP(ORDERS[[#This Row],[ProductID]],Products[],3,FALSE)</f>
        <v>Female</v>
      </c>
      <c r="L658" s="2">
        <f>DAY(ORDERS[[#This Row],[OrderDate]])</f>
        <v>12</v>
      </c>
      <c r="M658" s="2">
        <f>YEAR(ORDERS[[#This Row],[OrderDate]])</f>
        <v>2013</v>
      </c>
    </row>
    <row r="659" spans="1:13" x14ac:dyDescent="0.3">
      <c r="A659">
        <v>658</v>
      </c>
      <c r="B659">
        <v>4</v>
      </c>
      <c r="C659">
        <v>6</v>
      </c>
      <c r="D659" s="1">
        <v>41439</v>
      </c>
      <c r="E659">
        <v>128</v>
      </c>
      <c r="F659">
        <f>VLOOKUP(ORDERS[[#This Row],[ProductID]],Products[],4,FALSE)</f>
        <v>28</v>
      </c>
      <c r="G659">
        <v>0.15000000599999999</v>
      </c>
      <c r="H659">
        <f>(ORDERS[[#This Row],[UnitsOrdered]]*ORDERS[[#This Row],[unit price]])-(ORDERS[[#This Row],[UnitsOrdered]]*ORDERS[[#This Row],[unit price]]*ORDERS[[#This Row],[Discount]])</f>
        <v>3046.3999784960001</v>
      </c>
      <c r="I659" t="str">
        <f>VLOOKUP(ORDERS[[#This Row],[CustomerID]],customers[],2,FALSE)</f>
        <v>Tshirt Unlimited</v>
      </c>
      <c r="J659" s="2" t="str">
        <f>VLOOKUP(ORDERS[[#This Row],[CustomerID]],customers[],4,FALSE)</f>
        <v>Phoenix</v>
      </c>
      <c r="K659" s="2" t="str">
        <f>VLOOKUP(ORDERS[[#This Row],[ProductID]],Products[],3,FALSE)</f>
        <v>Female</v>
      </c>
      <c r="L659" s="2">
        <f>DAY(ORDERS[[#This Row],[OrderDate]])</f>
        <v>14</v>
      </c>
      <c r="M659" s="2">
        <f>YEAR(ORDERS[[#This Row],[OrderDate]])</f>
        <v>2013</v>
      </c>
    </row>
    <row r="660" spans="1:13" x14ac:dyDescent="0.3">
      <c r="A660">
        <v>659</v>
      </c>
      <c r="B660">
        <v>7</v>
      </c>
      <c r="C660">
        <v>6</v>
      </c>
      <c r="D660" s="1">
        <v>41439</v>
      </c>
      <c r="E660">
        <v>130</v>
      </c>
      <c r="F660">
        <f>VLOOKUP(ORDERS[[#This Row],[ProductID]],Products[],4,FALSE)</f>
        <v>28</v>
      </c>
      <c r="G660">
        <v>0</v>
      </c>
      <c r="H660">
        <f>(ORDERS[[#This Row],[UnitsOrdered]]*ORDERS[[#This Row],[unit price]])-(ORDERS[[#This Row],[UnitsOrdered]]*ORDERS[[#This Row],[unit price]]*ORDERS[[#This Row],[Discount]])</f>
        <v>3640</v>
      </c>
      <c r="I660" t="str">
        <f>VLOOKUP(ORDERS[[#This Row],[CustomerID]],customers[],2,FALSE)</f>
        <v>The Shirt on Your Back</v>
      </c>
      <c r="J660" s="2" t="str">
        <f>VLOOKUP(ORDERS[[#This Row],[CustomerID]],customers[],4,FALSE)</f>
        <v>Bonners Ferry</v>
      </c>
      <c r="K660" s="2" t="str">
        <f>VLOOKUP(ORDERS[[#This Row],[ProductID]],Products[],3,FALSE)</f>
        <v>Female</v>
      </c>
      <c r="L660" s="2">
        <f>DAY(ORDERS[[#This Row],[OrderDate]])</f>
        <v>14</v>
      </c>
      <c r="M660" s="2">
        <f>YEAR(ORDERS[[#This Row],[OrderDate]])</f>
        <v>2013</v>
      </c>
    </row>
    <row r="661" spans="1:13" x14ac:dyDescent="0.3">
      <c r="A661">
        <v>660</v>
      </c>
      <c r="B661">
        <v>2</v>
      </c>
      <c r="C661">
        <v>6</v>
      </c>
      <c r="D661" s="1">
        <v>41442</v>
      </c>
      <c r="E661">
        <v>93</v>
      </c>
      <c r="F661">
        <f>VLOOKUP(ORDERS[[#This Row],[ProductID]],Products[],4,FALSE)</f>
        <v>28</v>
      </c>
      <c r="G661">
        <v>0.10000000100000001</v>
      </c>
      <c r="H661">
        <f>(ORDERS[[#This Row],[UnitsOrdered]]*ORDERS[[#This Row],[unit price]])-(ORDERS[[#This Row],[UnitsOrdered]]*ORDERS[[#This Row],[unit price]]*ORDERS[[#This Row],[Discount]])</f>
        <v>2343.5999973960002</v>
      </c>
      <c r="I661" t="str">
        <f>VLOOKUP(ORDERS[[#This Row],[CustomerID]],customers[],2,FALSE)</f>
        <v>A Shirts Life</v>
      </c>
      <c r="J661" s="2" t="str">
        <f>VLOOKUP(ORDERS[[#This Row],[CustomerID]],customers[],4,FALSE)</f>
        <v>Portland</v>
      </c>
      <c r="K661" s="2" t="str">
        <f>VLOOKUP(ORDERS[[#This Row],[ProductID]],Products[],3,FALSE)</f>
        <v>Female</v>
      </c>
      <c r="L661" s="2">
        <f>DAY(ORDERS[[#This Row],[OrderDate]])</f>
        <v>17</v>
      </c>
      <c r="M661" s="2">
        <f>YEAR(ORDERS[[#This Row],[OrderDate]])</f>
        <v>2013</v>
      </c>
    </row>
    <row r="662" spans="1:13" x14ac:dyDescent="0.3">
      <c r="A662">
        <v>661</v>
      </c>
      <c r="B662">
        <v>6</v>
      </c>
      <c r="C662">
        <v>7</v>
      </c>
      <c r="D662" s="1">
        <v>41442</v>
      </c>
      <c r="E662">
        <v>138</v>
      </c>
      <c r="F662">
        <f>VLOOKUP(ORDERS[[#This Row],[ProductID]],Products[],4,FALSE)</f>
        <v>38</v>
      </c>
      <c r="G662">
        <v>5.0000001000000002E-2</v>
      </c>
      <c r="H662">
        <f>(ORDERS[[#This Row],[UnitsOrdered]]*ORDERS[[#This Row],[unit price]])-(ORDERS[[#This Row],[UnitsOrdered]]*ORDERS[[#This Row],[unit price]]*ORDERS[[#This Row],[Discount]])</f>
        <v>4981.7999947560002</v>
      </c>
      <c r="I662" t="str">
        <f>VLOOKUP(ORDERS[[#This Row],[CustomerID]],customers[],2,FALSE)</f>
        <v>Abracadaba Ink</v>
      </c>
      <c r="J662" s="2" t="str">
        <f>VLOOKUP(ORDERS[[#This Row],[CustomerID]],customers[],4,FALSE)</f>
        <v>Salt Lake City</v>
      </c>
      <c r="K662" s="2" t="str">
        <f>VLOOKUP(ORDERS[[#This Row],[ProductID]],Products[],3,FALSE)</f>
        <v>Female</v>
      </c>
      <c r="L662" s="2">
        <f>DAY(ORDERS[[#This Row],[OrderDate]])</f>
        <v>17</v>
      </c>
      <c r="M662" s="2">
        <f>YEAR(ORDERS[[#This Row],[OrderDate]])</f>
        <v>2013</v>
      </c>
    </row>
    <row r="663" spans="1:13" x14ac:dyDescent="0.3">
      <c r="A663">
        <v>662</v>
      </c>
      <c r="B663">
        <v>1</v>
      </c>
      <c r="C663">
        <v>1</v>
      </c>
      <c r="D663" s="1">
        <v>41443</v>
      </c>
      <c r="E663">
        <v>145</v>
      </c>
      <c r="F663">
        <f>VLOOKUP(ORDERS[[#This Row],[ProductID]],Products[],4,FALSE)</f>
        <v>20</v>
      </c>
      <c r="G663">
        <v>0</v>
      </c>
      <c r="H663">
        <f>(ORDERS[[#This Row],[UnitsOrdered]]*ORDERS[[#This Row],[unit price]])-(ORDERS[[#This Row],[UnitsOrdered]]*ORDERS[[#This Row],[unit price]]*ORDERS[[#This Row],[Discount]])</f>
        <v>2900</v>
      </c>
      <c r="I663" t="str">
        <f>VLOOKUP(ORDERS[[#This Row],[CustomerID]],customers[],2,FALSE)</f>
        <v>Threads</v>
      </c>
      <c r="J663" s="2" t="str">
        <f>VLOOKUP(ORDERS[[#This Row],[CustomerID]],customers[],4,FALSE)</f>
        <v>Seattle</v>
      </c>
      <c r="K663" s="2" t="str">
        <f>VLOOKUP(ORDERS[[#This Row],[ProductID]],Products[],3,FALSE)</f>
        <v>Both</v>
      </c>
      <c r="L663" s="2">
        <f>DAY(ORDERS[[#This Row],[OrderDate]])</f>
        <v>18</v>
      </c>
      <c r="M663" s="2">
        <f>YEAR(ORDERS[[#This Row],[OrderDate]])</f>
        <v>2013</v>
      </c>
    </row>
    <row r="664" spans="1:13" x14ac:dyDescent="0.3">
      <c r="A664">
        <v>663</v>
      </c>
      <c r="B664">
        <v>4</v>
      </c>
      <c r="C664">
        <v>1</v>
      </c>
      <c r="D664" s="1">
        <v>41443</v>
      </c>
      <c r="E664">
        <v>127</v>
      </c>
      <c r="F664">
        <f>VLOOKUP(ORDERS[[#This Row],[ProductID]],Products[],4,FALSE)</f>
        <v>20</v>
      </c>
      <c r="G664">
        <v>0</v>
      </c>
      <c r="H664">
        <f>(ORDERS[[#This Row],[UnitsOrdered]]*ORDERS[[#This Row],[unit price]])-(ORDERS[[#This Row],[UnitsOrdered]]*ORDERS[[#This Row],[unit price]]*ORDERS[[#This Row],[Discount]])</f>
        <v>2540</v>
      </c>
      <c r="I664" t="str">
        <f>VLOOKUP(ORDERS[[#This Row],[CustomerID]],customers[],2,FALSE)</f>
        <v>Tshirt Unlimited</v>
      </c>
      <c r="J664" s="2" t="str">
        <f>VLOOKUP(ORDERS[[#This Row],[CustomerID]],customers[],4,FALSE)</f>
        <v>Phoenix</v>
      </c>
      <c r="K664" s="2" t="str">
        <f>VLOOKUP(ORDERS[[#This Row],[ProductID]],Products[],3,FALSE)</f>
        <v>Both</v>
      </c>
      <c r="L664" s="2">
        <f>DAY(ORDERS[[#This Row],[OrderDate]])</f>
        <v>18</v>
      </c>
      <c r="M664" s="2">
        <f>YEAR(ORDERS[[#This Row],[OrderDate]])</f>
        <v>2013</v>
      </c>
    </row>
    <row r="665" spans="1:13" x14ac:dyDescent="0.3">
      <c r="A665">
        <v>664</v>
      </c>
      <c r="B665">
        <v>7</v>
      </c>
      <c r="C665">
        <v>3</v>
      </c>
      <c r="D665" s="1">
        <v>41443</v>
      </c>
      <c r="E665">
        <v>110</v>
      </c>
      <c r="F665">
        <f>VLOOKUP(ORDERS[[#This Row],[ProductID]],Products[],4,FALSE)</f>
        <v>22</v>
      </c>
      <c r="G665">
        <v>0</v>
      </c>
      <c r="H665">
        <f>(ORDERS[[#This Row],[UnitsOrdered]]*ORDERS[[#This Row],[unit price]])-(ORDERS[[#This Row],[UnitsOrdered]]*ORDERS[[#This Row],[unit price]]*ORDERS[[#This Row],[Discount]])</f>
        <v>2420</v>
      </c>
      <c r="I665" t="str">
        <f>VLOOKUP(ORDERS[[#This Row],[CustomerID]],customers[],2,FALSE)</f>
        <v>The Shirt on Your Back</v>
      </c>
      <c r="J665" s="2" t="str">
        <f>VLOOKUP(ORDERS[[#This Row],[CustomerID]],customers[],4,FALSE)</f>
        <v>Bonners Ferry</v>
      </c>
      <c r="K665" s="2" t="str">
        <f>VLOOKUP(ORDERS[[#This Row],[ProductID]],Products[],3,FALSE)</f>
        <v>Both</v>
      </c>
      <c r="L665" s="2">
        <f>DAY(ORDERS[[#This Row],[OrderDate]])</f>
        <v>18</v>
      </c>
      <c r="M665" s="2">
        <f>YEAR(ORDERS[[#This Row],[OrderDate]])</f>
        <v>2013</v>
      </c>
    </row>
    <row r="666" spans="1:13" x14ac:dyDescent="0.3">
      <c r="A666">
        <v>665</v>
      </c>
      <c r="B666">
        <v>6</v>
      </c>
      <c r="C666">
        <v>8</v>
      </c>
      <c r="D666" s="1">
        <v>41444</v>
      </c>
      <c r="E666">
        <v>67</v>
      </c>
      <c r="F666">
        <f>VLOOKUP(ORDERS[[#This Row],[ProductID]],Products[],4,FALSE)</f>
        <v>27</v>
      </c>
      <c r="G666">
        <v>0.10000000100000001</v>
      </c>
      <c r="H666">
        <f>(ORDERS[[#This Row],[UnitsOrdered]]*ORDERS[[#This Row],[unit price]])-(ORDERS[[#This Row],[UnitsOrdered]]*ORDERS[[#This Row],[unit price]]*ORDERS[[#This Row],[Discount]])</f>
        <v>1628.0999981909999</v>
      </c>
      <c r="I666" t="str">
        <f>VLOOKUP(ORDERS[[#This Row],[CustomerID]],customers[],2,FALSE)</f>
        <v>Abracadaba Ink</v>
      </c>
      <c r="J666" s="2" t="str">
        <f>VLOOKUP(ORDERS[[#This Row],[CustomerID]],customers[],4,FALSE)</f>
        <v>Salt Lake City</v>
      </c>
      <c r="K666" s="2" t="str">
        <f>VLOOKUP(ORDERS[[#This Row],[ProductID]],Products[],3,FALSE)</f>
        <v>Female</v>
      </c>
      <c r="L666" s="2">
        <f>DAY(ORDERS[[#This Row],[OrderDate]])</f>
        <v>19</v>
      </c>
      <c r="M666" s="2">
        <f>YEAR(ORDERS[[#This Row],[OrderDate]])</f>
        <v>2013</v>
      </c>
    </row>
    <row r="667" spans="1:13" x14ac:dyDescent="0.3">
      <c r="A667">
        <v>666</v>
      </c>
      <c r="B667">
        <v>2</v>
      </c>
      <c r="C667">
        <v>7</v>
      </c>
      <c r="D667" s="1">
        <v>41445</v>
      </c>
      <c r="E667">
        <v>58</v>
      </c>
      <c r="F667">
        <f>VLOOKUP(ORDERS[[#This Row],[ProductID]],Products[],4,FALSE)</f>
        <v>38</v>
      </c>
      <c r="G667">
        <v>0</v>
      </c>
      <c r="H667">
        <f>(ORDERS[[#This Row],[UnitsOrdered]]*ORDERS[[#This Row],[unit price]])-(ORDERS[[#This Row],[UnitsOrdered]]*ORDERS[[#This Row],[unit price]]*ORDERS[[#This Row],[Discount]])</f>
        <v>2204</v>
      </c>
      <c r="I667" t="str">
        <f>VLOOKUP(ORDERS[[#This Row],[CustomerID]],customers[],2,FALSE)</f>
        <v>A Shirts Life</v>
      </c>
      <c r="J667" s="2" t="str">
        <f>VLOOKUP(ORDERS[[#This Row],[CustomerID]],customers[],4,FALSE)</f>
        <v>Portland</v>
      </c>
      <c r="K667" s="2" t="str">
        <f>VLOOKUP(ORDERS[[#This Row],[ProductID]],Products[],3,FALSE)</f>
        <v>Female</v>
      </c>
      <c r="L667" s="2">
        <f>DAY(ORDERS[[#This Row],[OrderDate]])</f>
        <v>20</v>
      </c>
      <c r="M667" s="2">
        <f>YEAR(ORDERS[[#This Row],[OrderDate]])</f>
        <v>2013</v>
      </c>
    </row>
    <row r="668" spans="1:13" x14ac:dyDescent="0.3">
      <c r="A668">
        <v>667</v>
      </c>
      <c r="B668">
        <v>5</v>
      </c>
      <c r="C668">
        <v>6</v>
      </c>
      <c r="D668" s="1">
        <v>41445</v>
      </c>
      <c r="E668">
        <v>132</v>
      </c>
      <c r="F668">
        <f>VLOOKUP(ORDERS[[#This Row],[ProductID]],Products[],4,FALSE)</f>
        <v>28</v>
      </c>
      <c r="G668">
        <v>0</v>
      </c>
      <c r="H668">
        <f>(ORDERS[[#This Row],[UnitsOrdered]]*ORDERS[[#This Row],[unit price]])-(ORDERS[[#This Row],[UnitsOrdered]]*ORDERS[[#This Row],[unit price]]*ORDERS[[#This Row],[Discount]])</f>
        <v>3696</v>
      </c>
      <c r="I668" t="str">
        <f>VLOOKUP(ORDERS[[#This Row],[CustomerID]],customers[],2,FALSE)</f>
        <v>Rags to Riches</v>
      </c>
      <c r="J668" s="2" t="str">
        <f>VLOOKUP(ORDERS[[#This Row],[CustomerID]],customers[],4,FALSE)</f>
        <v>Las Vegas</v>
      </c>
      <c r="K668" s="2" t="str">
        <f>VLOOKUP(ORDERS[[#This Row],[ProductID]],Products[],3,FALSE)</f>
        <v>Female</v>
      </c>
      <c r="L668" s="2">
        <f>DAY(ORDERS[[#This Row],[OrderDate]])</f>
        <v>20</v>
      </c>
      <c r="M668" s="2">
        <f>YEAR(ORDERS[[#This Row],[OrderDate]])</f>
        <v>2013</v>
      </c>
    </row>
    <row r="669" spans="1:13" x14ac:dyDescent="0.3">
      <c r="A669">
        <v>668</v>
      </c>
      <c r="B669">
        <v>5</v>
      </c>
      <c r="C669">
        <v>10</v>
      </c>
      <c r="D669" s="1">
        <v>41445</v>
      </c>
      <c r="E669">
        <v>51</v>
      </c>
      <c r="F669">
        <f>VLOOKUP(ORDERS[[#This Row],[ProductID]],Products[],4,FALSE)</f>
        <v>35</v>
      </c>
      <c r="G669">
        <v>0</v>
      </c>
      <c r="H669">
        <f>(ORDERS[[#This Row],[UnitsOrdered]]*ORDERS[[#This Row],[unit price]])-(ORDERS[[#This Row],[UnitsOrdered]]*ORDERS[[#This Row],[unit price]]*ORDERS[[#This Row],[Discount]])</f>
        <v>1785</v>
      </c>
      <c r="I669" t="str">
        <f>VLOOKUP(ORDERS[[#This Row],[CustomerID]],customers[],2,FALSE)</f>
        <v>Rags to Riches</v>
      </c>
      <c r="J669" s="2" t="str">
        <f>VLOOKUP(ORDERS[[#This Row],[CustomerID]],customers[],4,FALSE)</f>
        <v>Las Vegas</v>
      </c>
      <c r="K669" s="2" t="str">
        <f>VLOOKUP(ORDERS[[#This Row],[ProductID]],Products[],3,FALSE)</f>
        <v>Male</v>
      </c>
      <c r="L669" s="2">
        <f>DAY(ORDERS[[#This Row],[OrderDate]])</f>
        <v>20</v>
      </c>
      <c r="M669" s="2">
        <f>YEAR(ORDERS[[#This Row],[OrderDate]])</f>
        <v>2013</v>
      </c>
    </row>
    <row r="670" spans="1:13" x14ac:dyDescent="0.3">
      <c r="A670">
        <v>669</v>
      </c>
      <c r="B670">
        <v>7</v>
      </c>
      <c r="C670">
        <v>2</v>
      </c>
      <c r="D670" s="1">
        <v>41446</v>
      </c>
      <c r="E670">
        <v>81</v>
      </c>
      <c r="F670">
        <f>VLOOKUP(ORDERS[[#This Row],[ProductID]],Products[],4,FALSE)</f>
        <v>30</v>
      </c>
      <c r="G670">
        <v>0</v>
      </c>
      <c r="H670">
        <f>(ORDERS[[#This Row],[UnitsOrdered]]*ORDERS[[#This Row],[unit price]])-(ORDERS[[#This Row],[UnitsOrdered]]*ORDERS[[#This Row],[unit price]]*ORDERS[[#This Row],[Discount]])</f>
        <v>2430</v>
      </c>
      <c r="I670" t="str">
        <f>VLOOKUP(ORDERS[[#This Row],[CustomerID]],customers[],2,FALSE)</f>
        <v>The Shirt on Your Back</v>
      </c>
      <c r="J670" s="2" t="str">
        <f>VLOOKUP(ORDERS[[#This Row],[CustomerID]],customers[],4,FALSE)</f>
        <v>Bonners Ferry</v>
      </c>
      <c r="K670" s="2" t="str">
        <f>VLOOKUP(ORDERS[[#This Row],[ProductID]],Products[],3,FALSE)</f>
        <v>Both</v>
      </c>
      <c r="L670" s="2">
        <f>DAY(ORDERS[[#This Row],[OrderDate]])</f>
        <v>21</v>
      </c>
      <c r="M670" s="2">
        <f>YEAR(ORDERS[[#This Row],[OrderDate]])</f>
        <v>2013</v>
      </c>
    </row>
    <row r="671" spans="1:13" x14ac:dyDescent="0.3">
      <c r="A671">
        <v>670</v>
      </c>
      <c r="B671">
        <v>5</v>
      </c>
      <c r="C671">
        <v>1</v>
      </c>
      <c r="D671" s="1">
        <v>41447</v>
      </c>
      <c r="E671">
        <v>132</v>
      </c>
      <c r="F671">
        <f>VLOOKUP(ORDERS[[#This Row],[ProductID]],Products[],4,FALSE)</f>
        <v>20</v>
      </c>
      <c r="G671">
        <v>0</v>
      </c>
      <c r="H671">
        <f>(ORDERS[[#This Row],[UnitsOrdered]]*ORDERS[[#This Row],[unit price]])-(ORDERS[[#This Row],[UnitsOrdered]]*ORDERS[[#This Row],[unit price]]*ORDERS[[#This Row],[Discount]])</f>
        <v>2640</v>
      </c>
      <c r="I671" t="str">
        <f>VLOOKUP(ORDERS[[#This Row],[CustomerID]],customers[],2,FALSE)</f>
        <v>Rags to Riches</v>
      </c>
      <c r="J671" s="2" t="str">
        <f>VLOOKUP(ORDERS[[#This Row],[CustomerID]],customers[],4,FALSE)</f>
        <v>Las Vegas</v>
      </c>
      <c r="K671" s="2" t="str">
        <f>VLOOKUP(ORDERS[[#This Row],[ProductID]],Products[],3,FALSE)</f>
        <v>Both</v>
      </c>
      <c r="L671" s="2">
        <f>DAY(ORDERS[[#This Row],[OrderDate]])</f>
        <v>22</v>
      </c>
      <c r="M671" s="2">
        <f>YEAR(ORDERS[[#This Row],[OrderDate]])</f>
        <v>2013</v>
      </c>
    </row>
    <row r="672" spans="1:13" x14ac:dyDescent="0.3">
      <c r="A672">
        <v>671</v>
      </c>
      <c r="B672">
        <v>6</v>
      </c>
      <c r="C672">
        <v>6</v>
      </c>
      <c r="D672" s="1">
        <v>41447</v>
      </c>
      <c r="E672">
        <v>76</v>
      </c>
      <c r="F672">
        <f>VLOOKUP(ORDERS[[#This Row],[ProductID]],Products[],4,FALSE)</f>
        <v>28</v>
      </c>
      <c r="G672">
        <v>0</v>
      </c>
      <c r="H672">
        <f>(ORDERS[[#This Row],[UnitsOrdered]]*ORDERS[[#This Row],[unit price]])-(ORDERS[[#This Row],[UnitsOrdered]]*ORDERS[[#This Row],[unit price]]*ORDERS[[#This Row],[Discount]])</f>
        <v>2128</v>
      </c>
      <c r="I672" t="str">
        <f>VLOOKUP(ORDERS[[#This Row],[CustomerID]],customers[],2,FALSE)</f>
        <v>Abracadaba Ink</v>
      </c>
      <c r="J672" s="2" t="str">
        <f>VLOOKUP(ORDERS[[#This Row],[CustomerID]],customers[],4,FALSE)</f>
        <v>Salt Lake City</v>
      </c>
      <c r="K672" s="2" t="str">
        <f>VLOOKUP(ORDERS[[#This Row],[ProductID]],Products[],3,FALSE)</f>
        <v>Female</v>
      </c>
      <c r="L672" s="2">
        <f>DAY(ORDERS[[#This Row],[OrderDate]])</f>
        <v>22</v>
      </c>
      <c r="M672" s="2">
        <f>YEAR(ORDERS[[#This Row],[OrderDate]])</f>
        <v>2013</v>
      </c>
    </row>
    <row r="673" spans="1:13" x14ac:dyDescent="0.3">
      <c r="A673">
        <v>672</v>
      </c>
      <c r="B673">
        <v>7</v>
      </c>
      <c r="C673">
        <v>5</v>
      </c>
      <c r="D673" s="1">
        <v>41447</v>
      </c>
      <c r="E673">
        <v>130</v>
      </c>
      <c r="F673">
        <f>VLOOKUP(ORDERS[[#This Row],[ProductID]],Products[],4,FALSE)</f>
        <v>16</v>
      </c>
      <c r="G673">
        <v>0</v>
      </c>
      <c r="H673">
        <f>(ORDERS[[#This Row],[UnitsOrdered]]*ORDERS[[#This Row],[unit price]])-(ORDERS[[#This Row],[UnitsOrdered]]*ORDERS[[#This Row],[unit price]]*ORDERS[[#This Row],[Discount]])</f>
        <v>2080</v>
      </c>
      <c r="I673" t="str">
        <f>VLOOKUP(ORDERS[[#This Row],[CustomerID]],customers[],2,FALSE)</f>
        <v>The Shirt on Your Back</v>
      </c>
      <c r="J673" s="2" t="str">
        <f>VLOOKUP(ORDERS[[#This Row],[CustomerID]],customers[],4,FALSE)</f>
        <v>Bonners Ferry</v>
      </c>
      <c r="K673" s="2" t="str">
        <f>VLOOKUP(ORDERS[[#This Row],[ProductID]],Products[],3,FALSE)</f>
        <v>Female</v>
      </c>
      <c r="L673" s="2">
        <f>DAY(ORDERS[[#This Row],[OrderDate]])</f>
        <v>22</v>
      </c>
      <c r="M673" s="2">
        <f>YEAR(ORDERS[[#This Row],[OrderDate]])</f>
        <v>2013</v>
      </c>
    </row>
    <row r="674" spans="1:13" x14ac:dyDescent="0.3">
      <c r="A674">
        <v>673</v>
      </c>
      <c r="B674">
        <v>2</v>
      </c>
      <c r="C674">
        <v>2</v>
      </c>
      <c r="D674" s="1">
        <v>41448</v>
      </c>
      <c r="E674">
        <v>96</v>
      </c>
      <c r="F674">
        <f>VLOOKUP(ORDERS[[#This Row],[ProductID]],Products[],4,FALSE)</f>
        <v>30</v>
      </c>
      <c r="G674">
        <v>0</v>
      </c>
      <c r="H674">
        <f>(ORDERS[[#This Row],[UnitsOrdered]]*ORDERS[[#This Row],[unit price]])-(ORDERS[[#This Row],[UnitsOrdered]]*ORDERS[[#This Row],[unit price]]*ORDERS[[#This Row],[Discount]])</f>
        <v>2880</v>
      </c>
      <c r="I674" t="str">
        <f>VLOOKUP(ORDERS[[#This Row],[CustomerID]],customers[],2,FALSE)</f>
        <v>A Shirts Life</v>
      </c>
      <c r="J674" s="2" t="str">
        <f>VLOOKUP(ORDERS[[#This Row],[CustomerID]],customers[],4,FALSE)</f>
        <v>Portland</v>
      </c>
      <c r="K674" s="2" t="str">
        <f>VLOOKUP(ORDERS[[#This Row],[ProductID]],Products[],3,FALSE)</f>
        <v>Both</v>
      </c>
      <c r="L674" s="2">
        <f>DAY(ORDERS[[#This Row],[OrderDate]])</f>
        <v>23</v>
      </c>
      <c r="M674" s="2">
        <f>YEAR(ORDERS[[#This Row],[OrderDate]])</f>
        <v>2013</v>
      </c>
    </row>
    <row r="675" spans="1:13" x14ac:dyDescent="0.3">
      <c r="A675">
        <v>674</v>
      </c>
      <c r="B675">
        <v>5</v>
      </c>
      <c r="C675">
        <v>6</v>
      </c>
      <c r="D675" s="1">
        <v>41448</v>
      </c>
      <c r="E675">
        <v>69</v>
      </c>
      <c r="F675">
        <f>VLOOKUP(ORDERS[[#This Row],[ProductID]],Products[],4,FALSE)</f>
        <v>28</v>
      </c>
      <c r="G675">
        <v>0</v>
      </c>
      <c r="H675">
        <f>(ORDERS[[#This Row],[UnitsOrdered]]*ORDERS[[#This Row],[unit price]])-(ORDERS[[#This Row],[UnitsOrdered]]*ORDERS[[#This Row],[unit price]]*ORDERS[[#This Row],[Discount]])</f>
        <v>1932</v>
      </c>
      <c r="I675" t="str">
        <f>VLOOKUP(ORDERS[[#This Row],[CustomerID]],customers[],2,FALSE)</f>
        <v>Rags to Riches</v>
      </c>
      <c r="J675" s="2" t="str">
        <f>VLOOKUP(ORDERS[[#This Row],[CustomerID]],customers[],4,FALSE)</f>
        <v>Las Vegas</v>
      </c>
      <c r="K675" s="2" t="str">
        <f>VLOOKUP(ORDERS[[#This Row],[ProductID]],Products[],3,FALSE)</f>
        <v>Female</v>
      </c>
      <c r="L675" s="2">
        <f>DAY(ORDERS[[#This Row],[OrderDate]])</f>
        <v>23</v>
      </c>
      <c r="M675" s="2">
        <f>YEAR(ORDERS[[#This Row],[OrderDate]])</f>
        <v>2013</v>
      </c>
    </row>
    <row r="676" spans="1:13" x14ac:dyDescent="0.3">
      <c r="A676">
        <v>675</v>
      </c>
      <c r="B676">
        <v>6</v>
      </c>
      <c r="C676">
        <v>1</v>
      </c>
      <c r="D676" s="1">
        <v>41449</v>
      </c>
      <c r="E676">
        <v>108</v>
      </c>
      <c r="F676">
        <f>VLOOKUP(ORDERS[[#This Row],[ProductID]],Products[],4,FALSE)</f>
        <v>20</v>
      </c>
      <c r="G676">
        <v>5.0000001000000002E-2</v>
      </c>
      <c r="H676">
        <f>(ORDERS[[#This Row],[UnitsOrdered]]*ORDERS[[#This Row],[unit price]])-(ORDERS[[#This Row],[UnitsOrdered]]*ORDERS[[#This Row],[unit price]]*ORDERS[[#This Row],[Discount]])</f>
        <v>2051.9999978400001</v>
      </c>
      <c r="I676" t="str">
        <f>VLOOKUP(ORDERS[[#This Row],[CustomerID]],customers[],2,FALSE)</f>
        <v>Abracadaba Ink</v>
      </c>
      <c r="J676" s="2" t="str">
        <f>VLOOKUP(ORDERS[[#This Row],[CustomerID]],customers[],4,FALSE)</f>
        <v>Salt Lake City</v>
      </c>
      <c r="K676" s="2" t="str">
        <f>VLOOKUP(ORDERS[[#This Row],[ProductID]],Products[],3,FALSE)</f>
        <v>Both</v>
      </c>
      <c r="L676" s="2">
        <f>DAY(ORDERS[[#This Row],[OrderDate]])</f>
        <v>24</v>
      </c>
      <c r="M676" s="2">
        <f>YEAR(ORDERS[[#This Row],[OrderDate]])</f>
        <v>2013</v>
      </c>
    </row>
    <row r="677" spans="1:13" x14ac:dyDescent="0.3">
      <c r="A677">
        <v>676</v>
      </c>
      <c r="B677">
        <v>4</v>
      </c>
      <c r="C677">
        <v>7</v>
      </c>
      <c r="D677" s="1">
        <v>41451</v>
      </c>
      <c r="E677">
        <v>71</v>
      </c>
      <c r="F677">
        <f>VLOOKUP(ORDERS[[#This Row],[ProductID]],Products[],4,FALSE)</f>
        <v>38</v>
      </c>
      <c r="G677">
        <v>0</v>
      </c>
      <c r="H677">
        <f>(ORDERS[[#This Row],[UnitsOrdered]]*ORDERS[[#This Row],[unit price]])-(ORDERS[[#This Row],[UnitsOrdered]]*ORDERS[[#This Row],[unit price]]*ORDERS[[#This Row],[Discount]])</f>
        <v>2698</v>
      </c>
      <c r="I677" t="str">
        <f>VLOOKUP(ORDERS[[#This Row],[CustomerID]],customers[],2,FALSE)</f>
        <v>Tshirt Unlimited</v>
      </c>
      <c r="J677" s="2" t="str">
        <f>VLOOKUP(ORDERS[[#This Row],[CustomerID]],customers[],4,FALSE)</f>
        <v>Phoenix</v>
      </c>
      <c r="K677" s="2" t="str">
        <f>VLOOKUP(ORDERS[[#This Row],[ProductID]],Products[],3,FALSE)</f>
        <v>Female</v>
      </c>
      <c r="L677" s="2">
        <f>DAY(ORDERS[[#This Row],[OrderDate]])</f>
        <v>26</v>
      </c>
      <c r="M677" s="2">
        <f>YEAR(ORDERS[[#This Row],[OrderDate]])</f>
        <v>2013</v>
      </c>
    </row>
    <row r="678" spans="1:13" x14ac:dyDescent="0.3">
      <c r="A678">
        <v>677</v>
      </c>
      <c r="B678">
        <v>6</v>
      </c>
      <c r="C678">
        <v>6</v>
      </c>
      <c r="D678" s="1">
        <v>41451</v>
      </c>
      <c r="E678">
        <v>75</v>
      </c>
      <c r="F678">
        <f>VLOOKUP(ORDERS[[#This Row],[ProductID]],Products[],4,FALSE)</f>
        <v>28</v>
      </c>
      <c r="G678">
        <v>0</v>
      </c>
      <c r="H678">
        <f>(ORDERS[[#This Row],[UnitsOrdered]]*ORDERS[[#This Row],[unit price]])-(ORDERS[[#This Row],[UnitsOrdered]]*ORDERS[[#This Row],[unit price]]*ORDERS[[#This Row],[Discount]])</f>
        <v>2100</v>
      </c>
      <c r="I678" t="str">
        <f>VLOOKUP(ORDERS[[#This Row],[CustomerID]],customers[],2,FALSE)</f>
        <v>Abracadaba Ink</v>
      </c>
      <c r="J678" s="2" t="str">
        <f>VLOOKUP(ORDERS[[#This Row],[CustomerID]],customers[],4,FALSE)</f>
        <v>Salt Lake City</v>
      </c>
      <c r="K678" s="2" t="str">
        <f>VLOOKUP(ORDERS[[#This Row],[ProductID]],Products[],3,FALSE)</f>
        <v>Female</v>
      </c>
      <c r="L678" s="2">
        <f>DAY(ORDERS[[#This Row],[OrderDate]])</f>
        <v>26</v>
      </c>
      <c r="M678" s="2">
        <f>YEAR(ORDERS[[#This Row],[OrderDate]])</f>
        <v>2013</v>
      </c>
    </row>
    <row r="679" spans="1:13" x14ac:dyDescent="0.3">
      <c r="A679">
        <v>678</v>
      </c>
      <c r="B679">
        <v>6</v>
      </c>
      <c r="C679">
        <v>8</v>
      </c>
      <c r="D679" s="1">
        <v>41451</v>
      </c>
      <c r="E679">
        <v>27</v>
      </c>
      <c r="F679">
        <f>VLOOKUP(ORDERS[[#This Row],[ProductID]],Products[],4,FALSE)</f>
        <v>27</v>
      </c>
      <c r="G679">
        <v>0</v>
      </c>
      <c r="H679">
        <f>(ORDERS[[#This Row],[UnitsOrdered]]*ORDERS[[#This Row],[unit price]])-(ORDERS[[#This Row],[UnitsOrdered]]*ORDERS[[#This Row],[unit price]]*ORDERS[[#This Row],[Discount]])</f>
        <v>729</v>
      </c>
      <c r="I679" t="str">
        <f>VLOOKUP(ORDERS[[#This Row],[CustomerID]],customers[],2,FALSE)</f>
        <v>Abracadaba Ink</v>
      </c>
      <c r="J679" s="2" t="str">
        <f>VLOOKUP(ORDERS[[#This Row],[CustomerID]],customers[],4,FALSE)</f>
        <v>Salt Lake City</v>
      </c>
      <c r="K679" s="2" t="str">
        <f>VLOOKUP(ORDERS[[#This Row],[ProductID]],Products[],3,FALSE)</f>
        <v>Female</v>
      </c>
      <c r="L679" s="2">
        <f>DAY(ORDERS[[#This Row],[OrderDate]])</f>
        <v>26</v>
      </c>
      <c r="M679" s="2">
        <f>YEAR(ORDERS[[#This Row],[OrderDate]])</f>
        <v>2013</v>
      </c>
    </row>
    <row r="680" spans="1:13" x14ac:dyDescent="0.3">
      <c r="A680">
        <v>679</v>
      </c>
      <c r="B680">
        <v>5</v>
      </c>
      <c r="C680">
        <v>4</v>
      </c>
      <c r="D680" s="1">
        <v>41454</v>
      </c>
      <c r="E680">
        <v>63</v>
      </c>
      <c r="F680">
        <f>VLOOKUP(ORDERS[[#This Row],[ProductID]],Products[],4,FALSE)</f>
        <v>30</v>
      </c>
      <c r="G680">
        <v>0</v>
      </c>
      <c r="H680">
        <f>(ORDERS[[#This Row],[UnitsOrdered]]*ORDERS[[#This Row],[unit price]])-(ORDERS[[#This Row],[UnitsOrdered]]*ORDERS[[#This Row],[unit price]]*ORDERS[[#This Row],[Discount]])</f>
        <v>1890</v>
      </c>
      <c r="I680" t="str">
        <f>VLOOKUP(ORDERS[[#This Row],[CustomerID]],customers[],2,FALSE)</f>
        <v>Rags to Riches</v>
      </c>
      <c r="J680" s="2" t="str">
        <f>VLOOKUP(ORDERS[[#This Row],[CustomerID]],customers[],4,FALSE)</f>
        <v>Las Vegas</v>
      </c>
      <c r="K680" s="2" t="str">
        <f>VLOOKUP(ORDERS[[#This Row],[ProductID]],Products[],3,FALSE)</f>
        <v>Both</v>
      </c>
      <c r="L680" s="2">
        <f>DAY(ORDERS[[#This Row],[OrderDate]])</f>
        <v>29</v>
      </c>
      <c r="M680" s="2">
        <f>YEAR(ORDERS[[#This Row],[OrderDate]])</f>
        <v>2013</v>
      </c>
    </row>
    <row r="681" spans="1:13" x14ac:dyDescent="0.3">
      <c r="A681">
        <v>680</v>
      </c>
      <c r="B681">
        <v>5</v>
      </c>
      <c r="C681">
        <v>6</v>
      </c>
      <c r="D681" s="1">
        <v>41454</v>
      </c>
      <c r="E681">
        <v>27</v>
      </c>
      <c r="F681">
        <f>VLOOKUP(ORDERS[[#This Row],[ProductID]],Products[],4,FALSE)</f>
        <v>28</v>
      </c>
      <c r="G681">
        <v>0.15000000599999999</v>
      </c>
      <c r="H681">
        <f>(ORDERS[[#This Row],[UnitsOrdered]]*ORDERS[[#This Row],[unit price]])-(ORDERS[[#This Row],[UnitsOrdered]]*ORDERS[[#This Row],[unit price]]*ORDERS[[#This Row],[Discount]])</f>
        <v>642.59999546400002</v>
      </c>
      <c r="I681" t="str">
        <f>VLOOKUP(ORDERS[[#This Row],[CustomerID]],customers[],2,FALSE)</f>
        <v>Rags to Riches</v>
      </c>
      <c r="J681" s="2" t="str">
        <f>VLOOKUP(ORDERS[[#This Row],[CustomerID]],customers[],4,FALSE)</f>
        <v>Las Vegas</v>
      </c>
      <c r="K681" s="2" t="str">
        <f>VLOOKUP(ORDERS[[#This Row],[ProductID]],Products[],3,FALSE)</f>
        <v>Female</v>
      </c>
      <c r="L681" s="2">
        <f>DAY(ORDERS[[#This Row],[OrderDate]])</f>
        <v>29</v>
      </c>
      <c r="M681" s="2">
        <f>YEAR(ORDERS[[#This Row],[OrderDate]])</f>
        <v>2013</v>
      </c>
    </row>
    <row r="682" spans="1:13" x14ac:dyDescent="0.3">
      <c r="A682">
        <v>681</v>
      </c>
      <c r="B682">
        <v>7</v>
      </c>
      <c r="C682">
        <v>7</v>
      </c>
      <c r="D682" s="1">
        <v>41455</v>
      </c>
      <c r="E682">
        <v>47</v>
      </c>
      <c r="F682">
        <f>VLOOKUP(ORDERS[[#This Row],[ProductID]],Products[],4,FALSE)</f>
        <v>38</v>
      </c>
      <c r="G682">
        <v>0</v>
      </c>
      <c r="H682">
        <f>(ORDERS[[#This Row],[UnitsOrdered]]*ORDERS[[#This Row],[unit price]])-(ORDERS[[#This Row],[UnitsOrdered]]*ORDERS[[#This Row],[unit price]]*ORDERS[[#This Row],[Discount]])</f>
        <v>1786</v>
      </c>
      <c r="I682" t="str">
        <f>VLOOKUP(ORDERS[[#This Row],[CustomerID]],customers[],2,FALSE)</f>
        <v>The Shirt on Your Back</v>
      </c>
      <c r="J682" s="2" t="str">
        <f>VLOOKUP(ORDERS[[#This Row],[CustomerID]],customers[],4,FALSE)</f>
        <v>Bonners Ferry</v>
      </c>
      <c r="K682" s="2" t="str">
        <f>VLOOKUP(ORDERS[[#This Row],[ProductID]],Products[],3,FALSE)</f>
        <v>Female</v>
      </c>
      <c r="L682" s="2">
        <f>DAY(ORDERS[[#This Row],[OrderDate]])</f>
        <v>30</v>
      </c>
      <c r="M682" s="2">
        <f>YEAR(ORDERS[[#This Row],[OrderDate]])</f>
        <v>2013</v>
      </c>
    </row>
    <row r="683" spans="1:13" x14ac:dyDescent="0.3">
      <c r="A683">
        <v>682</v>
      </c>
      <c r="B683">
        <v>3</v>
      </c>
      <c r="C683">
        <v>2</v>
      </c>
      <c r="D683" s="1">
        <v>41457</v>
      </c>
      <c r="E683">
        <v>56</v>
      </c>
      <c r="F683">
        <f>VLOOKUP(ORDERS[[#This Row],[ProductID]],Products[],4,FALSE)</f>
        <v>30</v>
      </c>
      <c r="G683">
        <v>0.10000000100000001</v>
      </c>
      <c r="H683">
        <f>(ORDERS[[#This Row],[UnitsOrdered]]*ORDERS[[#This Row],[unit price]])-(ORDERS[[#This Row],[UnitsOrdered]]*ORDERS[[#This Row],[unit price]]*ORDERS[[#This Row],[Discount]])</f>
        <v>1511.99999832</v>
      </c>
      <c r="I683" t="str">
        <f>VLOOKUP(ORDERS[[#This Row],[CustomerID]],customers[],2,FALSE)</f>
        <v>Shirts R Us</v>
      </c>
      <c r="J683" s="2" t="str">
        <f>VLOOKUP(ORDERS[[#This Row],[CustomerID]],customers[],4,FALSE)</f>
        <v>Los Angeles</v>
      </c>
      <c r="K683" s="2" t="str">
        <f>VLOOKUP(ORDERS[[#This Row],[ProductID]],Products[],3,FALSE)</f>
        <v>Both</v>
      </c>
      <c r="L683" s="2">
        <f>DAY(ORDERS[[#This Row],[OrderDate]])</f>
        <v>2</v>
      </c>
      <c r="M683" s="2">
        <f>YEAR(ORDERS[[#This Row],[OrderDate]])</f>
        <v>2013</v>
      </c>
    </row>
    <row r="684" spans="1:13" x14ac:dyDescent="0.3">
      <c r="A684">
        <v>683</v>
      </c>
      <c r="B684">
        <v>3</v>
      </c>
      <c r="C684">
        <v>3</v>
      </c>
      <c r="D684" s="1">
        <v>41458</v>
      </c>
      <c r="E684">
        <v>149</v>
      </c>
      <c r="F684">
        <f>VLOOKUP(ORDERS[[#This Row],[ProductID]],Products[],4,FALSE)</f>
        <v>22</v>
      </c>
      <c r="G684">
        <v>0</v>
      </c>
      <c r="H684">
        <f>(ORDERS[[#This Row],[UnitsOrdered]]*ORDERS[[#This Row],[unit price]])-(ORDERS[[#This Row],[UnitsOrdered]]*ORDERS[[#This Row],[unit price]]*ORDERS[[#This Row],[Discount]])</f>
        <v>3278</v>
      </c>
      <c r="I684" t="str">
        <f>VLOOKUP(ORDERS[[#This Row],[CustomerID]],customers[],2,FALSE)</f>
        <v>Shirts R Us</v>
      </c>
      <c r="J684" s="2" t="str">
        <f>VLOOKUP(ORDERS[[#This Row],[CustomerID]],customers[],4,FALSE)</f>
        <v>Los Angeles</v>
      </c>
      <c r="K684" s="2" t="str">
        <f>VLOOKUP(ORDERS[[#This Row],[ProductID]],Products[],3,FALSE)</f>
        <v>Both</v>
      </c>
      <c r="L684" s="2">
        <f>DAY(ORDERS[[#This Row],[OrderDate]])</f>
        <v>3</v>
      </c>
      <c r="M684" s="2">
        <f>YEAR(ORDERS[[#This Row],[OrderDate]])</f>
        <v>2013</v>
      </c>
    </row>
    <row r="685" spans="1:13" x14ac:dyDescent="0.3">
      <c r="A685">
        <v>684</v>
      </c>
      <c r="B685">
        <v>4</v>
      </c>
      <c r="C685">
        <v>9</v>
      </c>
      <c r="D685" s="1">
        <v>41459</v>
      </c>
      <c r="E685">
        <v>59</v>
      </c>
      <c r="F685">
        <f>VLOOKUP(ORDERS[[#This Row],[ProductID]],Products[],4,FALSE)</f>
        <v>25</v>
      </c>
      <c r="G685">
        <v>0</v>
      </c>
      <c r="H685">
        <f>(ORDERS[[#This Row],[UnitsOrdered]]*ORDERS[[#This Row],[unit price]])-(ORDERS[[#This Row],[UnitsOrdered]]*ORDERS[[#This Row],[unit price]]*ORDERS[[#This Row],[Discount]])</f>
        <v>1475</v>
      </c>
      <c r="I685" t="str">
        <f>VLOOKUP(ORDERS[[#This Row],[CustomerID]],customers[],2,FALSE)</f>
        <v>Tshirt Unlimited</v>
      </c>
      <c r="J685" s="2" t="str">
        <f>VLOOKUP(ORDERS[[#This Row],[CustomerID]],customers[],4,FALSE)</f>
        <v>Phoenix</v>
      </c>
      <c r="K685" s="2" t="str">
        <f>VLOOKUP(ORDERS[[#This Row],[ProductID]],Products[],3,FALSE)</f>
        <v>Male</v>
      </c>
      <c r="L685" s="2">
        <f>DAY(ORDERS[[#This Row],[OrderDate]])</f>
        <v>4</v>
      </c>
      <c r="M685" s="2">
        <f>YEAR(ORDERS[[#This Row],[OrderDate]])</f>
        <v>2013</v>
      </c>
    </row>
    <row r="686" spans="1:13" x14ac:dyDescent="0.3">
      <c r="A686">
        <v>685</v>
      </c>
      <c r="B686">
        <v>2</v>
      </c>
      <c r="C686">
        <v>10</v>
      </c>
      <c r="D686" s="1">
        <v>41461</v>
      </c>
      <c r="E686">
        <v>30</v>
      </c>
      <c r="F686">
        <f>VLOOKUP(ORDERS[[#This Row],[ProductID]],Products[],4,FALSE)</f>
        <v>35</v>
      </c>
      <c r="G686">
        <v>0</v>
      </c>
      <c r="H686">
        <f>(ORDERS[[#This Row],[UnitsOrdered]]*ORDERS[[#This Row],[unit price]])-(ORDERS[[#This Row],[UnitsOrdered]]*ORDERS[[#This Row],[unit price]]*ORDERS[[#This Row],[Discount]])</f>
        <v>1050</v>
      </c>
      <c r="I686" t="str">
        <f>VLOOKUP(ORDERS[[#This Row],[CustomerID]],customers[],2,FALSE)</f>
        <v>A Shirts Life</v>
      </c>
      <c r="J686" s="2" t="str">
        <f>VLOOKUP(ORDERS[[#This Row],[CustomerID]],customers[],4,FALSE)</f>
        <v>Portland</v>
      </c>
      <c r="K686" s="2" t="str">
        <f>VLOOKUP(ORDERS[[#This Row],[ProductID]],Products[],3,FALSE)</f>
        <v>Male</v>
      </c>
      <c r="L686" s="2">
        <f>DAY(ORDERS[[#This Row],[OrderDate]])</f>
        <v>6</v>
      </c>
      <c r="M686" s="2">
        <f>YEAR(ORDERS[[#This Row],[OrderDate]])</f>
        <v>2013</v>
      </c>
    </row>
    <row r="687" spans="1:13" x14ac:dyDescent="0.3">
      <c r="A687">
        <v>686</v>
      </c>
      <c r="B687">
        <v>5</v>
      </c>
      <c r="C687">
        <v>1</v>
      </c>
      <c r="D687" s="1">
        <v>41461</v>
      </c>
      <c r="E687">
        <v>132</v>
      </c>
      <c r="F687">
        <f>VLOOKUP(ORDERS[[#This Row],[ProductID]],Products[],4,FALSE)</f>
        <v>20</v>
      </c>
      <c r="G687">
        <v>0</v>
      </c>
      <c r="H687">
        <f>(ORDERS[[#This Row],[UnitsOrdered]]*ORDERS[[#This Row],[unit price]])-(ORDERS[[#This Row],[UnitsOrdered]]*ORDERS[[#This Row],[unit price]]*ORDERS[[#This Row],[Discount]])</f>
        <v>2640</v>
      </c>
      <c r="I687" t="str">
        <f>VLOOKUP(ORDERS[[#This Row],[CustomerID]],customers[],2,FALSE)</f>
        <v>Rags to Riches</v>
      </c>
      <c r="J687" s="2" t="str">
        <f>VLOOKUP(ORDERS[[#This Row],[CustomerID]],customers[],4,FALSE)</f>
        <v>Las Vegas</v>
      </c>
      <c r="K687" s="2" t="str">
        <f>VLOOKUP(ORDERS[[#This Row],[ProductID]],Products[],3,FALSE)</f>
        <v>Both</v>
      </c>
      <c r="L687" s="2">
        <f>DAY(ORDERS[[#This Row],[OrderDate]])</f>
        <v>6</v>
      </c>
      <c r="M687" s="2">
        <f>YEAR(ORDERS[[#This Row],[OrderDate]])</f>
        <v>2013</v>
      </c>
    </row>
    <row r="688" spans="1:13" x14ac:dyDescent="0.3">
      <c r="A688">
        <v>687</v>
      </c>
      <c r="B688">
        <v>1</v>
      </c>
      <c r="C688">
        <v>1</v>
      </c>
      <c r="D688" s="1">
        <v>41462</v>
      </c>
      <c r="E688">
        <v>33</v>
      </c>
      <c r="F688">
        <f>VLOOKUP(ORDERS[[#This Row],[ProductID]],Products[],4,FALSE)</f>
        <v>20</v>
      </c>
      <c r="G688">
        <v>0</v>
      </c>
      <c r="H688">
        <f>(ORDERS[[#This Row],[UnitsOrdered]]*ORDERS[[#This Row],[unit price]])-(ORDERS[[#This Row],[UnitsOrdered]]*ORDERS[[#This Row],[unit price]]*ORDERS[[#This Row],[Discount]])</f>
        <v>660</v>
      </c>
      <c r="I688" t="str">
        <f>VLOOKUP(ORDERS[[#This Row],[CustomerID]],customers[],2,FALSE)</f>
        <v>Threads</v>
      </c>
      <c r="J688" s="2" t="str">
        <f>VLOOKUP(ORDERS[[#This Row],[CustomerID]],customers[],4,FALSE)</f>
        <v>Seattle</v>
      </c>
      <c r="K688" s="2" t="str">
        <f>VLOOKUP(ORDERS[[#This Row],[ProductID]],Products[],3,FALSE)</f>
        <v>Both</v>
      </c>
      <c r="L688" s="2">
        <f>DAY(ORDERS[[#This Row],[OrderDate]])</f>
        <v>7</v>
      </c>
      <c r="M688" s="2">
        <f>YEAR(ORDERS[[#This Row],[OrderDate]])</f>
        <v>2013</v>
      </c>
    </row>
    <row r="689" spans="1:13" x14ac:dyDescent="0.3">
      <c r="A689">
        <v>688</v>
      </c>
      <c r="B689">
        <v>3</v>
      </c>
      <c r="C689">
        <v>3</v>
      </c>
      <c r="D689" s="1">
        <v>41462</v>
      </c>
      <c r="E689">
        <v>127</v>
      </c>
      <c r="F689">
        <f>VLOOKUP(ORDERS[[#This Row],[ProductID]],Products[],4,FALSE)</f>
        <v>22</v>
      </c>
      <c r="G689">
        <v>0</v>
      </c>
      <c r="H689">
        <f>(ORDERS[[#This Row],[UnitsOrdered]]*ORDERS[[#This Row],[unit price]])-(ORDERS[[#This Row],[UnitsOrdered]]*ORDERS[[#This Row],[unit price]]*ORDERS[[#This Row],[Discount]])</f>
        <v>2794</v>
      </c>
      <c r="I689" t="str">
        <f>VLOOKUP(ORDERS[[#This Row],[CustomerID]],customers[],2,FALSE)</f>
        <v>Shirts R Us</v>
      </c>
      <c r="J689" s="2" t="str">
        <f>VLOOKUP(ORDERS[[#This Row],[CustomerID]],customers[],4,FALSE)</f>
        <v>Los Angeles</v>
      </c>
      <c r="K689" s="2" t="str">
        <f>VLOOKUP(ORDERS[[#This Row],[ProductID]],Products[],3,FALSE)</f>
        <v>Both</v>
      </c>
      <c r="L689" s="2">
        <f>DAY(ORDERS[[#This Row],[OrderDate]])</f>
        <v>7</v>
      </c>
      <c r="M689" s="2">
        <f>YEAR(ORDERS[[#This Row],[OrderDate]])</f>
        <v>2013</v>
      </c>
    </row>
    <row r="690" spans="1:13" x14ac:dyDescent="0.3">
      <c r="A690">
        <v>689</v>
      </c>
      <c r="B690">
        <v>5</v>
      </c>
      <c r="C690">
        <v>8</v>
      </c>
      <c r="D690" s="1">
        <v>41462</v>
      </c>
      <c r="E690">
        <v>107</v>
      </c>
      <c r="F690">
        <f>VLOOKUP(ORDERS[[#This Row],[ProductID]],Products[],4,FALSE)</f>
        <v>27</v>
      </c>
      <c r="G690">
        <v>0</v>
      </c>
      <c r="H690">
        <f>(ORDERS[[#This Row],[UnitsOrdered]]*ORDERS[[#This Row],[unit price]])-(ORDERS[[#This Row],[UnitsOrdered]]*ORDERS[[#This Row],[unit price]]*ORDERS[[#This Row],[Discount]])</f>
        <v>2889</v>
      </c>
      <c r="I690" t="str">
        <f>VLOOKUP(ORDERS[[#This Row],[CustomerID]],customers[],2,FALSE)</f>
        <v>Rags to Riches</v>
      </c>
      <c r="J690" s="2" t="str">
        <f>VLOOKUP(ORDERS[[#This Row],[CustomerID]],customers[],4,FALSE)</f>
        <v>Las Vegas</v>
      </c>
      <c r="K690" s="2" t="str">
        <f>VLOOKUP(ORDERS[[#This Row],[ProductID]],Products[],3,FALSE)</f>
        <v>Female</v>
      </c>
      <c r="L690" s="2">
        <f>DAY(ORDERS[[#This Row],[OrderDate]])</f>
        <v>7</v>
      </c>
      <c r="M690" s="2">
        <f>YEAR(ORDERS[[#This Row],[OrderDate]])</f>
        <v>2013</v>
      </c>
    </row>
    <row r="691" spans="1:13" x14ac:dyDescent="0.3">
      <c r="A691">
        <v>690</v>
      </c>
      <c r="B691">
        <v>1</v>
      </c>
      <c r="C691">
        <v>3</v>
      </c>
      <c r="D691" s="1">
        <v>41463</v>
      </c>
      <c r="E691">
        <v>27</v>
      </c>
      <c r="F691">
        <f>VLOOKUP(ORDERS[[#This Row],[ProductID]],Products[],4,FALSE)</f>
        <v>22</v>
      </c>
      <c r="G691">
        <v>0</v>
      </c>
      <c r="H691">
        <f>(ORDERS[[#This Row],[UnitsOrdered]]*ORDERS[[#This Row],[unit price]])-(ORDERS[[#This Row],[UnitsOrdered]]*ORDERS[[#This Row],[unit price]]*ORDERS[[#This Row],[Discount]])</f>
        <v>594</v>
      </c>
      <c r="I691" t="str">
        <f>VLOOKUP(ORDERS[[#This Row],[CustomerID]],customers[],2,FALSE)</f>
        <v>Threads</v>
      </c>
      <c r="J691" s="2" t="str">
        <f>VLOOKUP(ORDERS[[#This Row],[CustomerID]],customers[],4,FALSE)</f>
        <v>Seattle</v>
      </c>
      <c r="K691" s="2" t="str">
        <f>VLOOKUP(ORDERS[[#This Row],[ProductID]],Products[],3,FALSE)</f>
        <v>Both</v>
      </c>
      <c r="L691" s="2">
        <f>DAY(ORDERS[[#This Row],[OrderDate]])</f>
        <v>8</v>
      </c>
      <c r="M691" s="2">
        <f>YEAR(ORDERS[[#This Row],[OrderDate]])</f>
        <v>2013</v>
      </c>
    </row>
    <row r="692" spans="1:13" x14ac:dyDescent="0.3">
      <c r="A692">
        <v>691</v>
      </c>
      <c r="B692">
        <v>3</v>
      </c>
      <c r="C692">
        <v>7</v>
      </c>
      <c r="D692" s="1">
        <v>41463</v>
      </c>
      <c r="E692">
        <v>74</v>
      </c>
      <c r="F692">
        <f>VLOOKUP(ORDERS[[#This Row],[ProductID]],Products[],4,FALSE)</f>
        <v>38</v>
      </c>
      <c r="G692">
        <v>0</v>
      </c>
      <c r="H692">
        <f>(ORDERS[[#This Row],[UnitsOrdered]]*ORDERS[[#This Row],[unit price]])-(ORDERS[[#This Row],[UnitsOrdered]]*ORDERS[[#This Row],[unit price]]*ORDERS[[#This Row],[Discount]])</f>
        <v>2812</v>
      </c>
      <c r="I692" t="str">
        <f>VLOOKUP(ORDERS[[#This Row],[CustomerID]],customers[],2,FALSE)</f>
        <v>Shirts R Us</v>
      </c>
      <c r="J692" s="2" t="str">
        <f>VLOOKUP(ORDERS[[#This Row],[CustomerID]],customers[],4,FALSE)</f>
        <v>Los Angeles</v>
      </c>
      <c r="K692" s="2" t="str">
        <f>VLOOKUP(ORDERS[[#This Row],[ProductID]],Products[],3,FALSE)</f>
        <v>Female</v>
      </c>
      <c r="L692" s="2">
        <f>DAY(ORDERS[[#This Row],[OrderDate]])</f>
        <v>8</v>
      </c>
      <c r="M692" s="2">
        <f>YEAR(ORDERS[[#This Row],[OrderDate]])</f>
        <v>2013</v>
      </c>
    </row>
    <row r="693" spans="1:13" x14ac:dyDescent="0.3">
      <c r="A693">
        <v>692</v>
      </c>
      <c r="B693">
        <v>5</v>
      </c>
      <c r="C693">
        <v>3</v>
      </c>
      <c r="D693" s="1">
        <v>41464</v>
      </c>
      <c r="E693">
        <v>98</v>
      </c>
      <c r="F693">
        <f>VLOOKUP(ORDERS[[#This Row],[ProductID]],Products[],4,FALSE)</f>
        <v>22</v>
      </c>
      <c r="G693">
        <v>5.0000001000000002E-2</v>
      </c>
      <c r="H693">
        <f>(ORDERS[[#This Row],[UnitsOrdered]]*ORDERS[[#This Row],[unit price]])-(ORDERS[[#This Row],[UnitsOrdered]]*ORDERS[[#This Row],[unit price]]*ORDERS[[#This Row],[Discount]])</f>
        <v>2048.1999978439999</v>
      </c>
      <c r="I693" t="str">
        <f>VLOOKUP(ORDERS[[#This Row],[CustomerID]],customers[],2,FALSE)</f>
        <v>Rags to Riches</v>
      </c>
      <c r="J693" s="2" t="str">
        <f>VLOOKUP(ORDERS[[#This Row],[CustomerID]],customers[],4,FALSE)</f>
        <v>Las Vegas</v>
      </c>
      <c r="K693" s="2" t="str">
        <f>VLOOKUP(ORDERS[[#This Row],[ProductID]],Products[],3,FALSE)</f>
        <v>Both</v>
      </c>
      <c r="L693" s="2">
        <f>DAY(ORDERS[[#This Row],[OrderDate]])</f>
        <v>9</v>
      </c>
      <c r="M693" s="2">
        <f>YEAR(ORDERS[[#This Row],[OrderDate]])</f>
        <v>2013</v>
      </c>
    </row>
    <row r="694" spans="1:13" x14ac:dyDescent="0.3">
      <c r="A694">
        <v>693</v>
      </c>
      <c r="B694">
        <v>5</v>
      </c>
      <c r="C694">
        <v>8</v>
      </c>
      <c r="D694" s="1">
        <v>41469</v>
      </c>
      <c r="E694">
        <v>89</v>
      </c>
      <c r="F694">
        <f>VLOOKUP(ORDERS[[#This Row],[ProductID]],Products[],4,FALSE)</f>
        <v>27</v>
      </c>
      <c r="G694">
        <v>0</v>
      </c>
      <c r="H694">
        <f>(ORDERS[[#This Row],[UnitsOrdered]]*ORDERS[[#This Row],[unit price]])-(ORDERS[[#This Row],[UnitsOrdered]]*ORDERS[[#This Row],[unit price]]*ORDERS[[#This Row],[Discount]])</f>
        <v>2403</v>
      </c>
      <c r="I694" t="str">
        <f>VLOOKUP(ORDERS[[#This Row],[CustomerID]],customers[],2,FALSE)</f>
        <v>Rags to Riches</v>
      </c>
      <c r="J694" s="2" t="str">
        <f>VLOOKUP(ORDERS[[#This Row],[CustomerID]],customers[],4,FALSE)</f>
        <v>Las Vegas</v>
      </c>
      <c r="K694" s="2" t="str">
        <f>VLOOKUP(ORDERS[[#This Row],[ProductID]],Products[],3,FALSE)</f>
        <v>Female</v>
      </c>
      <c r="L694" s="2">
        <f>DAY(ORDERS[[#This Row],[OrderDate]])</f>
        <v>14</v>
      </c>
      <c r="M694" s="2">
        <f>YEAR(ORDERS[[#This Row],[OrderDate]])</f>
        <v>2013</v>
      </c>
    </row>
    <row r="695" spans="1:13" x14ac:dyDescent="0.3">
      <c r="A695">
        <v>694</v>
      </c>
      <c r="B695">
        <v>7</v>
      </c>
      <c r="C695">
        <v>5</v>
      </c>
      <c r="D695" s="1">
        <v>41470</v>
      </c>
      <c r="E695">
        <v>35</v>
      </c>
      <c r="F695">
        <f>VLOOKUP(ORDERS[[#This Row],[ProductID]],Products[],4,FALSE)</f>
        <v>16</v>
      </c>
      <c r="G695">
        <v>0</v>
      </c>
      <c r="H695">
        <f>(ORDERS[[#This Row],[UnitsOrdered]]*ORDERS[[#This Row],[unit price]])-(ORDERS[[#This Row],[UnitsOrdered]]*ORDERS[[#This Row],[unit price]]*ORDERS[[#This Row],[Discount]])</f>
        <v>560</v>
      </c>
      <c r="I695" t="str">
        <f>VLOOKUP(ORDERS[[#This Row],[CustomerID]],customers[],2,FALSE)</f>
        <v>The Shirt on Your Back</v>
      </c>
      <c r="J695" s="2" t="str">
        <f>VLOOKUP(ORDERS[[#This Row],[CustomerID]],customers[],4,FALSE)</f>
        <v>Bonners Ferry</v>
      </c>
      <c r="K695" s="2" t="str">
        <f>VLOOKUP(ORDERS[[#This Row],[ProductID]],Products[],3,FALSE)</f>
        <v>Female</v>
      </c>
      <c r="L695" s="2">
        <f>DAY(ORDERS[[#This Row],[OrderDate]])</f>
        <v>15</v>
      </c>
      <c r="M695" s="2">
        <f>YEAR(ORDERS[[#This Row],[OrderDate]])</f>
        <v>2013</v>
      </c>
    </row>
    <row r="696" spans="1:13" x14ac:dyDescent="0.3">
      <c r="A696">
        <v>695</v>
      </c>
      <c r="B696">
        <v>4</v>
      </c>
      <c r="C696">
        <v>8</v>
      </c>
      <c r="D696" s="1">
        <v>41472</v>
      </c>
      <c r="E696">
        <v>90</v>
      </c>
      <c r="F696">
        <f>VLOOKUP(ORDERS[[#This Row],[ProductID]],Products[],4,FALSE)</f>
        <v>27</v>
      </c>
      <c r="G696">
        <v>0</v>
      </c>
      <c r="H696">
        <f>(ORDERS[[#This Row],[UnitsOrdered]]*ORDERS[[#This Row],[unit price]])-(ORDERS[[#This Row],[UnitsOrdered]]*ORDERS[[#This Row],[unit price]]*ORDERS[[#This Row],[Discount]])</f>
        <v>2430</v>
      </c>
      <c r="I696" t="str">
        <f>VLOOKUP(ORDERS[[#This Row],[CustomerID]],customers[],2,FALSE)</f>
        <v>Tshirt Unlimited</v>
      </c>
      <c r="J696" s="2" t="str">
        <f>VLOOKUP(ORDERS[[#This Row],[CustomerID]],customers[],4,FALSE)</f>
        <v>Phoenix</v>
      </c>
      <c r="K696" s="2" t="str">
        <f>VLOOKUP(ORDERS[[#This Row],[ProductID]],Products[],3,FALSE)</f>
        <v>Female</v>
      </c>
      <c r="L696" s="2">
        <f>DAY(ORDERS[[#This Row],[OrderDate]])</f>
        <v>17</v>
      </c>
      <c r="M696" s="2">
        <f>YEAR(ORDERS[[#This Row],[OrderDate]])</f>
        <v>2013</v>
      </c>
    </row>
    <row r="697" spans="1:13" x14ac:dyDescent="0.3">
      <c r="A697">
        <v>696</v>
      </c>
      <c r="B697">
        <v>5</v>
      </c>
      <c r="C697">
        <v>8</v>
      </c>
      <c r="D697" s="1">
        <v>41472</v>
      </c>
      <c r="E697">
        <v>55</v>
      </c>
      <c r="F697">
        <f>VLOOKUP(ORDERS[[#This Row],[ProductID]],Products[],4,FALSE)</f>
        <v>27</v>
      </c>
      <c r="G697">
        <v>0</v>
      </c>
      <c r="H697">
        <f>(ORDERS[[#This Row],[UnitsOrdered]]*ORDERS[[#This Row],[unit price]])-(ORDERS[[#This Row],[UnitsOrdered]]*ORDERS[[#This Row],[unit price]]*ORDERS[[#This Row],[Discount]])</f>
        <v>1485</v>
      </c>
      <c r="I697" t="str">
        <f>VLOOKUP(ORDERS[[#This Row],[CustomerID]],customers[],2,FALSE)</f>
        <v>Rags to Riches</v>
      </c>
      <c r="J697" s="2" t="str">
        <f>VLOOKUP(ORDERS[[#This Row],[CustomerID]],customers[],4,FALSE)</f>
        <v>Las Vegas</v>
      </c>
      <c r="K697" s="2" t="str">
        <f>VLOOKUP(ORDERS[[#This Row],[ProductID]],Products[],3,FALSE)</f>
        <v>Female</v>
      </c>
      <c r="L697" s="2">
        <f>DAY(ORDERS[[#This Row],[OrderDate]])</f>
        <v>17</v>
      </c>
      <c r="M697" s="2">
        <f>YEAR(ORDERS[[#This Row],[OrderDate]])</f>
        <v>2013</v>
      </c>
    </row>
    <row r="698" spans="1:13" x14ac:dyDescent="0.3">
      <c r="A698">
        <v>697</v>
      </c>
      <c r="B698">
        <v>6</v>
      </c>
      <c r="C698">
        <v>4</v>
      </c>
      <c r="D698" s="1">
        <v>41472</v>
      </c>
      <c r="E698">
        <v>52</v>
      </c>
      <c r="F698">
        <f>VLOOKUP(ORDERS[[#This Row],[ProductID]],Products[],4,FALSE)</f>
        <v>30</v>
      </c>
      <c r="G698">
        <v>0</v>
      </c>
      <c r="H698">
        <f>(ORDERS[[#This Row],[UnitsOrdered]]*ORDERS[[#This Row],[unit price]])-(ORDERS[[#This Row],[UnitsOrdered]]*ORDERS[[#This Row],[unit price]]*ORDERS[[#This Row],[Discount]])</f>
        <v>1560</v>
      </c>
      <c r="I698" t="str">
        <f>VLOOKUP(ORDERS[[#This Row],[CustomerID]],customers[],2,FALSE)</f>
        <v>Abracadaba Ink</v>
      </c>
      <c r="J698" s="2" t="str">
        <f>VLOOKUP(ORDERS[[#This Row],[CustomerID]],customers[],4,FALSE)</f>
        <v>Salt Lake City</v>
      </c>
      <c r="K698" s="2" t="str">
        <f>VLOOKUP(ORDERS[[#This Row],[ProductID]],Products[],3,FALSE)</f>
        <v>Both</v>
      </c>
      <c r="L698" s="2">
        <f>DAY(ORDERS[[#This Row],[OrderDate]])</f>
        <v>17</v>
      </c>
      <c r="M698" s="2">
        <f>YEAR(ORDERS[[#This Row],[OrderDate]])</f>
        <v>2013</v>
      </c>
    </row>
    <row r="699" spans="1:13" x14ac:dyDescent="0.3">
      <c r="A699">
        <v>698</v>
      </c>
      <c r="B699">
        <v>4</v>
      </c>
      <c r="C699">
        <v>1</v>
      </c>
      <c r="D699" s="1">
        <v>41473</v>
      </c>
      <c r="E699">
        <v>86</v>
      </c>
      <c r="F699">
        <f>VLOOKUP(ORDERS[[#This Row],[ProductID]],Products[],4,FALSE)</f>
        <v>20</v>
      </c>
      <c r="G699">
        <v>5.0000001000000002E-2</v>
      </c>
      <c r="H699">
        <f>(ORDERS[[#This Row],[UnitsOrdered]]*ORDERS[[#This Row],[unit price]])-(ORDERS[[#This Row],[UnitsOrdered]]*ORDERS[[#This Row],[unit price]]*ORDERS[[#This Row],[Discount]])</f>
        <v>1633.99999828</v>
      </c>
      <c r="I699" t="str">
        <f>VLOOKUP(ORDERS[[#This Row],[CustomerID]],customers[],2,FALSE)</f>
        <v>Tshirt Unlimited</v>
      </c>
      <c r="J699" s="2" t="str">
        <f>VLOOKUP(ORDERS[[#This Row],[CustomerID]],customers[],4,FALSE)</f>
        <v>Phoenix</v>
      </c>
      <c r="K699" s="2" t="str">
        <f>VLOOKUP(ORDERS[[#This Row],[ProductID]],Products[],3,FALSE)</f>
        <v>Both</v>
      </c>
      <c r="L699" s="2">
        <f>DAY(ORDERS[[#This Row],[OrderDate]])</f>
        <v>18</v>
      </c>
      <c r="M699" s="2">
        <f>YEAR(ORDERS[[#This Row],[OrderDate]])</f>
        <v>2013</v>
      </c>
    </row>
    <row r="700" spans="1:13" x14ac:dyDescent="0.3">
      <c r="A700">
        <v>699</v>
      </c>
      <c r="B700">
        <v>7</v>
      </c>
      <c r="C700">
        <v>1</v>
      </c>
      <c r="D700" s="1">
        <v>41473</v>
      </c>
      <c r="E700">
        <v>64</v>
      </c>
      <c r="F700">
        <f>VLOOKUP(ORDERS[[#This Row],[ProductID]],Products[],4,FALSE)</f>
        <v>20</v>
      </c>
      <c r="G700">
        <v>0</v>
      </c>
      <c r="H700">
        <f>(ORDERS[[#This Row],[UnitsOrdered]]*ORDERS[[#This Row],[unit price]])-(ORDERS[[#This Row],[UnitsOrdered]]*ORDERS[[#This Row],[unit price]]*ORDERS[[#This Row],[Discount]])</f>
        <v>1280</v>
      </c>
      <c r="I700" t="str">
        <f>VLOOKUP(ORDERS[[#This Row],[CustomerID]],customers[],2,FALSE)</f>
        <v>The Shirt on Your Back</v>
      </c>
      <c r="J700" s="2" t="str">
        <f>VLOOKUP(ORDERS[[#This Row],[CustomerID]],customers[],4,FALSE)</f>
        <v>Bonners Ferry</v>
      </c>
      <c r="K700" s="2" t="str">
        <f>VLOOKUP(ORDERS[[#This Row],[ProductID]],Products[],3,FALSE)</f>
        <v>Both</v>
      </c>
      <c r="L700" s="2">
        <f>DAY(ORDERS[[#This Row],[OrderDate]])</f>
        <v>18</v>
      </c>
      <c r="M700" s="2">
        <f>YEAR(ORDERS[[#This Row],[OrderDate]])</f>
        <v>2013</v>
      </c>
    </row>
    <row r="701" spans="1:13" x14ac:dyDescent="0.3">
      <c r="A701">
        <v>700</v>
      </c>
      <c r="B701">
        <v>5</v>
      </c>
      <c r="C701">
        <v>4</v>
      </c>
      <c r="D701" s="1">
        <v>41475</v>
      </c>
      <c r="E701">
        <v>57</v>
      </c>
      <c r="F701">
        <f>VLOOKUP(ORDERS[[#This Row],[ProductID]],Products[],4,FALSE)</f>
        <v>30</v>
      </c>
      <c r="G701">
        <v>0</v>
      </c>
      <c r="H701">
        <f>(ORDERS[[#This Row],[UnitsOrdered]]*ORDERS[[#This Row],[unit price]])-(ORDERS[[#This Row],[UnitsOrdered]]*ORDERS[[#This Row],[unit price]]*ORDERS[[#This Row],[Discount]])</f>
        <v>1710</v>
      </c>
      <c r="I701" t="str">
        <f>VLOOKUP(ORDERS[[#This Row],[CustomerID]],customers[],2,FALSE)</f>
        <v>Rags to Riches</v>
      </c>
      <c r="J701" s="2" t="str">
        <f>VLOOKUP(ORDERS[[#This Row],[CustomerID]],customers[],4,FALSE)</f>
        <v>Las Vegas</v>
      </c>
      <c r="K701" s="2" t="str">
        <f>VLOOKUP(ORDERS[[#This Row],[ProductID]],Products[],3,FALSE)</f>
        <v>Both</v>
      </c>
      <c r="L701" s="2">
        <f>DAY(ORDERS[[#This Row],[OrderDate]])</f>
        <v>20</v>
      </c>
      <c r="M701" s="2">
        <f>YEAR(ORDERS[[#This Row],[OrderDate]])</f>
        <v>2013</v>
      </c>
    </row>
    <row r="702" spans="1:13" x14ac:dyDescent="0.3">
      <c r="A702">
        <v>701</v>
      </c>
      <c r="B702">
        <v>6</v>
      </c>
      <c r="C702">
        <v>2</v>
      </c>
      <c r="D702" s="1">
        <v>41475</v>
      </c>
      <c r="E702">
        <v>127</v>
      </c>
      <c r="F702">
        <f>VLOOKUP(ORDERS[[#This Row],[ProductID]],Products[],4,FALSE)</f>
        <v>30</v>
      </c>
      <c r="G702">
        <v>0</v>
      </c>
      <c r="H702">
        <f>(ORDERS[[#This Row],[UnitsOrdered]]*ORDERS[[#This Row],[unit price]])-(ORDERS[[#This Row],[UnitsOrdered]]*ORDERS[[#This Row],[unit price]]*ORDERS[[#This Row],[Discount]])</f>
        <v>3810</v>
      </c>
      <c r="I702" t="str">
        <f>VLOOKUP(ORDERS[[#This Row],[CustomerID]],customers[],2,FALSE)</f>
        <v>Abracadaba Ink</v>
      </c>
      <c r="J702" s="2" t="str">
        <f>VLOOKUP(ORDERS[[#This Row],[CustomerID]],customers[],4,FALSE)</f>
        <v>Salt Lake City</v>
      </c>
      <c r="K702" s="2" t="str">
        <f>VLOOKUP(ORDERS[[#This Row],[ProductID]],Products[],3,FALSE)</f>
        <v>Both</v>
      </c>
      <c r="L702" s="2">
        <f>DAY(ORDERS[[#This Row],[OrderDate]])</f>
        <v>20</v>
      </c>
      <c r="M702" s="2">
        <f>YEAR(ORDERS[[#This Row],[OrderDate]])</f>
        <v>2013</v>
      </c>
    </row>
    <row r="703" spans="1:13" x14ac:dyDescent="0.3">
      <c r="A703">
        <v>702</v>
      </c>
      <c r="B703">
        <v>1</v>
      </c>
      <c r="C703">
        <v>10</v>
      </c>
      <c r="D703" s="1">
        <v>41476</v>
      </c>
      <c r="E703">
        <v>58</v>
      </c>
      <c r="F703">
        <f>VLOOKUP(ORDERS[[#This Row],[ProductID]],Products[],4,FALSE)</f>
        <v>35</v>
      </c>
      <c r="G703">
        <v>0</v>
      </c>
      <c r="H703">
        <f>(ORDERS[[#This Row],[UnitsOrdered]]*ORDERS[[#This Row],[unit price]])-(ORDERS[[#This Row],[UnitsOrdered]]*ORDERS[[#This Row],[unit price]]*ORDERS[[#This Row],[Discount]])</f>
        <v>2030</v>
      </c>
      <c r="I703" t="str">
        <f>VLOOKUP(ORDERS[[#This Row],[CustomerID]],customers[],2,FALSE)</f>
        <v>Threads</v>
      </c>
      <c r="J703" s="2" t="str">
        <f>VLOOKUP(ORDERS[[#This Row],[CustomerID]],customers[],4,FALSE)</f>
        <v>Seattle</v>
      </c>
      <c r="K703" s="2" t="str">
        <f>VLOOKUP(ORDERS[[#This Row],[ProductID]],Products[],3,FALSE)</f>
        <v>Male</v>
      </c>
      <c r="L703" s="2">
        <f>DAY(ORDERS[[#This Row],[OrderDate]])</f>
        <v>21</v>
      </c>
      <c r="M703" s="2">
        <f>YEAR(ORDERS[[#This Row],[OrderDate]])</f>
        <v>2013</v>
      </c>
    </row>
    <row r="704" spans="1:13" x14ac:dyDescent="0.3">
      <c r="A704">
        <v>703</v>
      </c>
      <c r="B704">
        <v>4</v>
      </c>
      <c r="C704">
        <v>1</v>
      </c>
      <c r="D704" s="1">
        <v>41476</v>
      </c>
      <c r="E704">
        <v>51</v>
      </c>
      <c r="F704">
        <f>VLOOKUP(ORDERS[[#This Row],[ProductID]],Products[],4,FALSE)</f>
        <v>20</v>
      </c>
      <c r="G704">
        <v>0</v>
      </c>
      <c r="H704">
        <f>(ORDERS[[#This Row],[UnitsOrdered]]*ORDERS[[#This Row],[unit price]])-(ORDERS[[#This Row],[UnitsOrdered]]*ORDERS[[#This Row],[unit price]]*ORDERS[[#This Row],[Discount]])</f>
        <v>1020</v>
      </c>
      <c r="I704" t="str">
        <f>VLOOKUP(ORDERS[[#This Row],[CustomerID]],customers[],2,FALSE)</f>
        <v>Tshirt Unlimited</v>
      </c>
      <c r="J704" s="2" t="str">
        <f>VLOOKUP(ORDERS[[#This Row],[CustomerID]],customers[],4,FALSE)</f>
        <v>Phoenix</v>
      </c>
      <c r="K704" s="2" t="str">
        <f>VLOOKUP(ORDERS[[#This Row],[ProductID]],Products[],3,FALSE)</f>
        <v>Both</v>
      </c>
      <c r="L704" s="2">
        <f>DAY(ORDERS[[#This Row],[OrderDate]])</f>
        <v>21</v>
      </c>
      <c r="M704" s="2">
        <f>YEAR(ORDERS[[#This Row],[OrderDate]])</f>
        <v>2013</v>
      </c>
    </row>
    <row r="705" spans="1:13" x14ac:dyDescent="0.3">
      <c r="A705">
        <v>704</v>
      </c>
      <c r="B705">
        <v>4</v>
      </c>
      <c r="C705">
        <v>9</v>
      </c>
      <c r="D705" s="1">
        <v>41477</v>
      </c>
      <c r="E705">
        <v>113</v>
      </c>
      <c r="F705">
        <f>VLOOKUP(ORDERS[[#This Row],[ProductID]],Products[],4,FALSE)</f>
        <v>25</v>
      </c>
      <c r="G705">
        <v>0</v>
      </c>
      <c r="H705">
        <f>(ORDERS[[#This Row],[UnitsOrdered]]*ORDERS[[#This Row],[unit price]])-(ORDERS[[#This Row],[UnitsOrdered]]*ORDERS[[#This Row],[unit price]]*ORDERS[[#This Row],[Discount]])</f>
        <v>2825</v>
      </c>
      <c r="I705" t="str">
        <f>VLOOKUP(ORDERS[[#This Row],[CustomerID]],customers[],2,FALSE)</f>
        <v>Tshirt Unlimited</v>
      </c>
      <c r="J705" s="2" t="str">
        <f>VLOOKUP(ORDERS[[#This Row],[CustomerID]],customers[],4,FALSE)</f>
        <v>Phoenix</v>
      </c>
      <c r="K705" s="2" t="str">
        <f>VLOOKUP(ORDERS[[#This Row],[ProductID]],Products[],3,FALSE)</f>
        <v>Male</v>
      </c>
      <c r="L705" s="2">
        <f>DAY(ORDERS[[#This Row],[OrderDate]])</f>
        <v>22</v>
      </c>
      <c r="M705" s="2">
        <f>YEAR(ORDERS[[#This Row],[OrderDate]])</f>
        <v>2013</v>
      </c>
    </row>
    <row r="706" spans="1:13" x14ac:dyDescent="0.3">
      <c r="A706">
        <v>705</v>
      </c>
      <c r="B706">
        <v>7</v>
      </c>
      <c r="C706">
        <v>3</v>
      </c>
      <c r="D706" s="1">
        <v>41477</v>
      </c>
      <c r="E706">
        <v>50</v>
      </c>
      <c r="F706">
        <f>VLOOKUP(ORDERS[[#This Row],[ProductID]],Products[],4,FALSE)</f>
        <v>22</v>
      </c>
      <c r="G706">
        <v>0</v>
      </c>
      <c r="H706">
        <f>(ORDERS[[#This Row],[UnitsOrdered]]*ORDERS[[#This Row],[unit price]])-(ORDERS[[#This Row],[UnitsOrdered]]*ORDERS[[#This Row],[unit price]]*ORDERS[[#This Row],[Discount]])</f>
        <v>1100</v>
      </c>
      <c r="I706" t="str">
        <f>VLOOKUP(ORDERS[[#This Row],[CustomerID]],customers[],2,FALSE)</f>
        <v>The Shirt on Your Back</v>
      </c>
      <c r="J706" s="2" t="str">
        <f>VLOOKUP(ORDERS[[#This Row],[CustomerID]],customers[],4,FALSE)</f>
        <v>Bonners Ferry</v>
      </c>
      <c r="K706" s="2" t="str">
        <f>VLOOKUP(ORDERS[[#This Row],[ProductID]],Products[],3,FALSE)</f>
        <v>Both</v>
      </c>
      <c r="L706" s="2">
        <f>DAY(ORDERS[[#This Row],[OrderDate]])</f>
        <v>22</v>
      </c>
      <c r="M706" s="2">
        <f>YEAR(ORDERS[[#This Row],[OrderDate]])</f>
        <v>2013</v>
      </c>
    </row>
    <row r="707" spans="1:13" x14ac:dyDescent="0.3">
      <c r="A707">
        <v>706</v>
      </c>
      <c r="B707">
        <v>5</v>
      </c>
      <c r="C707">
        <v>1</v>
      </c>
      <c r="D707" s="1">
        <v>41479</v>
      </c>
      <c r="E707">
        <v>130</v>
      </c>
      <c r="F707">
        <f>VLOOKUP(ORDERS[[#This Row],[ProductID]],Products[],4,FALSE)</f>
        <v>20</v>
      </c>
      <c r="G707">
        <v>0</v>
      </c>
      <c r="H707">
        <f>(ORDERS[[#This Row],[UnitsOrdered]]*ORDERS[[#This Row],[unit price]])-(ORDERS[[#This Row],[UnitsOrdered]]*ORDERS[[#This Row],[unit price]]*ORDERS[[#This Row],[Discount]])</f>
        <v>2600</v>
      </c>
      <c r="I707" t="str">
        <f>VLOOKUP(ORDERS[[#This Row],[CustomerID]],customers[],2,FALSE)</f>
        <v>Rags to Riches</v>
      </c>
      <c r="J707" s="2" t="str">
        <f>VLOOKUP(ORDERS[[#This Row],[CustomerID]],customers[],4,FALSE)</f>
        <v>Las Vegas</v>
      </c>
      <c r="K707" s="2" t="str">
        <f>VLOOKUP(ORDERS[[#This Row],[ProductID]],Products[],3,FALSE)</f>
        <v>Both</v>
      </c>
      <c r="L707" s="2">
        <f>DAY(ORDERS[[#This Row],[OrderDate]])</f>
        <v>24</v>
      </c>
      <c r="M707" s="2">
        <f>YEAR(ORDERS[[#This Row],[OrderDate]])</f>
        <v>2013</v>
      </c>
    </row>
    <row r="708" spans="1:13" x14ac:dyDescent="0.3">
      <c r="A708">
        <v>707</v>
      </c>
      <c r="B708">
        <v>4</v>
      </c>
      <c r="C708">
        <v>5</v>
      </c>
      <c r="D708" s="1">
        <v>41480</v>
      </c>
      <c r="E708">
        <v>128</v>
      </c>
      <c r="F708">
        <f>VLOOKUP(ORDERS[[#This Row],[ProductID]],Products[],4,FALSE)</f>
        <v>16</v>
      </c>
      <c r="G708">
        <v>0</v>
      </c>
      <c r="H708">
        <f>(ORDERS[[#This Row],[UnitsOrdered]]*ORDERS[[#This Row],[unit price]])-(ORDERS[[#This Row],[UnitsOrdered]]*ORDERS[[#This Row],[unit price]]*ORDERS[[#This Row],[Discount]])</f>
        <v>2048</v>
      </c>
      <c r="I708" t="str">
        <f>VLOOKUP(ORDERS[[#This Row],[CustomerID]],customers[],2,FALSE)</f>
        <v>Tshirt Unlimited</v>
      </c>
      <c r="J708" s="2" t="str">
        <f>VLOOKUP(ORDERS[[#This Row],[CustomerID]],customers[],4,FALSE)</f>
        <v>Phoenix</v>
      </c>
      <c r="K708" s="2" t="str">
        <f>VLOOKUP(ORDERS[[#This Row],[ProductID]],Products[],3,FALSE)</f>
        <v>Female</v>
      </c>
      <c r="L708" s="2">
        <f>DAY(ORDERS[[#This Row],[OrderDate]])</f>
        <v>25</v>
      </c>
      <c r="M708" s="2">
        <f>YEAR(ORDERS[[#This Row],[OrderDate]])</f>
        <v>2013</v>
      </c>
    </row>
    <row r="709" spans="1:13" x14ac:dyDescent="0.3">
      <c r="A709">
        <v>708</v>
      </c>
      <c r="B709">
        <v>2</v>
      </c>
      <c r="C709">
        <v>9</v>
      </c>
      <c r="D709" s="1">
        <v>41481</v>
      </c>
      <c r="E709">
        <v>113</v>
      </c>
      <c r="F709">
        <f>VLOOKUP(ORDERS[[#This Row],[ProductID]],Products[],4,FALSE)</f>
        <v>25</v>
      </c>
      <c r="G709">
        <v>0.10000000100000001</v>
      </c>
      <c r="H709">
        <f>(ORDERS[[#This Row],[UnitsOrdered]]*ORDERS[[#This Row],[unit price]])-(ORDERS[[#This Row],[UnitsOrdered]]*ORDERS[[#This Row],[unit price]]*ORDERS[[#This Row],[Discount]])</f>
        <v>2542.4999971749999</v>
      </c>
      <c r="I709" t="str">
        <f>VLOOKUP(ORDERS[[#This Row],[CustomerID]],customers[],2,FALSE)</f>
        <v>A Shirts Life</v>
      </c>
      <c r="J709" s="2" t="str">
        <f>VLOOKUP(ORDERS[[#This Row],[CustomerID]],customers[],4,FALSE)</f>
        <v>Portland</v>
      </c>
      <c r="K709" s="2" t="str">
        <f>VLOOKUP(ORDERS[[#This Row],[ProductID]],Products[],3,FALSE)</f>
        <v>Male</v>
      </c>
      <c r="L709" s="2">
        <f>DAY(ORDERS[[#This Row],[OrderDate]])</f>
        <v>26</v>
      </c>
      <c r="M709" s="2">
        <f>YEAR(ORDERS[[#This Row],[OrderDate]])</f>
        <v>2013</v>
      </c>
    </row>
    <row r="710" spans="1:13" x14ac:dyDescent="0.3">
      <c r="A710">
        <v>709</v>
      </c>
      <c r="B710">
        <v>4</v>
      </c>
      <c r="C710">
        <v>5</v>
      </c>
      <c r="D710" s="1">
        <v>41481</v>
      </c>
      <c r="E710">
        <v>63</v>
      </c>
      <c r="F710">
        <f>VLOOKUP(ORDERS[[#This Row],[ProductID]],Products[],4,FALSE)</f>
        <v>16</v>
      </c>
      <c r="G710">
        <v>0</v>
      </c>
      <c r="H710">
        <f>(ORDERS[[#This Row],[UnitsOrdered]]*ORDERS[[#This Row],[unit price]])-(ORDERS[[#This Row],[UnitsOrdered]]*ORDERS[[#This Row],[unit price]]*ORDERS[[#This Row],[Discount]])</f>
        <v>1008</v>
      </c>
      <c r="I710" t="str">
        <f>VLOOKUP(ORDERS[[#This Row],[CustomerID]],customers[],2,FALSE)</f>
        <v>Tshirt Unlimited</v>
      </c>
      <c r="J710" s="2" t="str">
        <f>VLOOKUP(ORDERS[[#This Row],[CustomerID]],customers[],4,FALSE)</f>
        <v>Phoenix</v>
      </c>
      <c r="K710" s="2" t="str">
        <f>VLOOKUP(ORDERS[[#This Row],[ProductID]],Products[],3,FALSE)</f>
        <v>Female</v>
      </c>
      <c r="L710" s="2">
        <f>DAY(ORDERS[[#This Row],[OrderDate]])</f>
        <v>26</v>
      </c>
      <c r="M710" s="2">
        <f>YEAR(ORDERS[[#This Row],[OrderDate]])</f>
        <v>2013</v>
      </c>
    </row>
    <row r="711" spans="1:13" x14ac:dyDescent="0.3">
      <c r="A711">
        <v>710</v>
      </c>
      <c r="B711">
        <v>4</v>
      </c>
      <c r="C711">
        <v>4</v>
      </c>
      <c r="D711" s="1">
        <v>41483</v>
      </c>
      <c r="E711">
        <v>32</v>
      </c>
      <c r="F711">
        <f>VLOOKUP(ORDERS[[#This Row],[ProductID]],Products[],4,FALSE)</f>
        <v>30</v>
      </c>
      <c r="G711">
        <v>0</v>
      </c>
      <c r="H711">
        <f>(ORDERS[[#This Row],[UnitsOrdered]]*ORDERS[[#This Row],[unit price]])-(ORDERS[[#This Row],[UnitsOrdered]]*ORDERS[[#This Row],[unit price]]*ORDERS[[#This Row],[Discount]])</f>
        <v>960</v>
      </c>
      <c r="I711" t="str">
        <f>VLOOKUP(ORDERS[[#This Row],[CustomerID]],customers[],2,FALSE)</f>
        <v>Tshirt Unlimited</v>
      </c>
      <c r="J711" s="2" t="str">
        <f>VLOOKUP(ORDERS[[#This Row],[CustomerID]],customers[],4,FALSE)</f>
        <v>Phoenix</v>
      </c>
      <c r="K711" s="2" t="str">
        <f>VLOOKUP(ORDERS[[#This Row],[ProductID]],Products[],3,FALSE)</f>
        <v>Both</v>
      </c>
      <c r="L711" s="2">
        <f>DAY(ORDERS[[#This Row],[OrderDate]])</f>
        <v>28</v>
      </c>
      <c r="M711" s="2">
        <f>YEAR(ORDERS[[#This Row],[OrderDate]])</f>
        <v>2013</v>
      </c>
    </row>
    <row r="712" spans="1:13" x14ac:dyDescent="0.3">
      <c r="A712">
        <v>711</v>
      </c>
      <c r="B712">
        <v>3</v>
      </c>
      <c r="C712">
        <v>10</v>
      </c>
      <c r="D712" s="1">
        <v>41484</v>
      </c>
      <c r="E712">
        <v>88</v>
      </c>
      <c r="F712">
        <f>VLOOKUP(ORDERS[[#This Row],[ProductID]],Products[],4,FALSE)</f>
        <v>35</v>
      </c>
      <c r="G712">
        <v>0</v>
      </c>
      <c r="H712">
        <f>(ORDERS[[#This Row],[UnitsOrdered]]*ORDERS[[#This Row],[unit price]])-(ORDERS[[#This Row],[UnitsOrdered]]*ORDERS[[#This Row],[unit price]]*ORDERS[[#This Row],[Discount]])</f>
        <v>3080</v>
      </c>
      <c r="I712" t="str">
        <f>VLOOKUP(ORDERS[[#This Row],[CustomerID]],customers[],2,FALSE)</f>
        <v>Shirts R Us</v>
      </c>
      <c r="J712" s="2" t="str">
        <f>VLOOKUP(ORDERS[[#This Row],[CustomerID]],customers[],4,FALSE)</f>
        <v>Los Angeles</v>
      </c>
      <c r="K712" s="2" t="str">
        <f>VLOOKUP(ORDERS[[#This Row],[ProductID]],Products[],3,FALSE)</f>
        <v>Male</v>
      </c>
      <c r="L712" s="2">
        <f>DAY(ORDERS[[#This Row],[OrderDate]])</f>
        <v>29</v>
      </c>
      <c r="M712" s="2">
        <f>YEAR(ORDERS[[#This Row],[OrderDate]])</f>
        <v>2013</v>
      </c>
    </row>
    <row r="713" spans="1:13" x14ac:dyDescent="0.3">
      <c r="A713">
        <v>712</v>
      </c>
      <c r="B713">
        <v>7</v>
      </c>
      <c r="C713">
        <v>8</v>
      </c>
      <c r="D713" s="1">
        <v>41484</v>
      </c>
      <c r="E713">
        <v>51</v>
      </c>
      <c r="F713">
        <f>VLOOKUP(ORDERS[[#This Row],[ProductID]],Products[],4,FALSE)</f>
        <v>27</v>
      </c>
      <c r="G713">
        <v>0</v>
      </c>
      <c r="H713">
        <f>(ORDERS[[#This Row],[UnitsOrdered]]*ORDERS[[#This Row],[unit price]])-(ORDERS[[#This Row],[UnitsOrdered]]*ORDERS[[#This Row],[unit price]]*ORDERS[[#This Row],[Discount]])</f>
        <v>1377</v>
      </c>
      <c r="I713" t="str">
        <f>VLOOKUP(ORDERS[[#This Row],[CustomerID]],customers[],2,FALSE)</f>
        <v>The Shirt on Your Back</v>
      </c>
      <c r="J713" s="2" t="str">
        <f>VLOOKUP(ORDERS[[#This Row],[CustomerID]],customers[],4,FALSE)</f>
        <v>Bonners Ferry</v>
      </c>
      <c r="K713" s="2" t="str">
        <f>VLOOKUP(ORDERS[[#This Row],[ProductID]],Products[],3,FALSE)</f>
        <v>Female</v>
      </c>
      <c r="L713" s="2">
        <f>DAY(ORDERS[[#This Row],[OrderDate]])</f>
        <v>29</v>
      </c>
      <c r="M713" s="2">
        <f>YEAR(ORDERS[[#This Row],[OrderDate]])</f>
        <v>2013</v>
      </c>
    </row>
    <row r="714" spans="1:13" x14ac:dyDescent="0.3">
      <c r="A714">
        <v>713</v>
      </c>
      <c r="B714">
        <v>2</v>
      </c>
      <c r="C714">
        <v>9</v>
      </c>
      <c r="D714" s="1">
        <v>41487</v>
      </c>
      <c r="E714">
        <v>114</v>
      </c>
      <c r="F714">
        <f>VLOOKUP(ORDERS[[#This Row],[ProductID]],Products[],4,FALSE)</f>
        <v>25</v>
      </c>
      <c r="G714">
        <v>0</v>
      </c>
      <c r="H714">
        <f>(ORDERS[[#This Row],[UnitsOrdered]]*ORDERS[[#This Row],[unit price]])-(ORDERS[[#This Row],[UnitsOrdered]]*ORDERS[[#This Row],[unit price]]*ORDERS[[#This Row],[Discount]])</f>
        <v>2850</v>
      </c>
      <c r="I714" t="str">
        <f>VLOOKUP(ORDERS[[#This Row],[CustomerID]],customers[],2,FALSE)</f>
        <v>A Shirts Life</v>
      </c>
      <c r="J714" s="2" t="str">
        <f>VLOOKUP(ORDERS[[#This Row],[CustomerID]],customers[],4,FALSE)</f>
        <v>Portland</v>
      </c>
      <c r="K714" s="2" t="str">
        <f>VLOOKUP(ORDERS[[#This Row],[ProductID]],Products[],3,FALSE)</f>
        <v>Male</v>
      </c>
      <c r="L714" s="2">
        <f>DAY(ORDERS[[#This Row],[OrderDate]])</f>
        <v>1</v>
      </c>
      <c r="M714" s="2">
        <f>YEAR(ORDERS[[#This Row],[OrderDate]])</f>
        <v>2013</v>
      </c>
    </row>
    <row r="715" spans="1:13" x14ac:dyDescent="0.3">
      <c r="A715">
        <v>714</v>
      </c>
      <c r="B715">
        <v>3</v>
      </c>
      <c r="C715">
        <v>1</v>
      </c>
      <c r="D715" s="1">
        <v>41488</v>
      </c>
      <c r="E715">
        <v>147</v>
      </c>
      <c r="F715">
        <f>VLOOKUP(ORDERS[[#This Row],[ProductID]],Products[],4,FALSE)</f>
        <v>20</v>
      </c>
      <c r="G715">
        <v>0</v>
      </c>
      <c r="H715">
        <f>(ORDERS[[#This Row],[UnitsOrdered]]*ORDERS[[#This Row],[unit price]])-(ORDERS[[#This Row],[UnitsOrdered]]*ORDERS[[#This Row],[unit price]]*ORDERS[[#This Row],[Discount]])</f>
        <v>2940</v>
      </c>
      <c r="I715" t="str">
        <f>VLOOKUP(ORDERS[[#This Row],[CustomerID]],customers[],2,FALSE)</f>
        <v>Shirts R Us</v>
      </c>
      <c r="J715" s="2" t="str">
        <f>VLOOKUP(ORDERS[[#This Row],[CustomerID]],customers[],4,FALSE)</f>
        <v>Los Angeles</v>
      </c>
      <c r="K715" s="2" t="str">
        <f>VLOOKUP(ORDERS[[#This Row],[ProductID]],Products[],3,FALSE)</f>
        <v>Both</v>
      </c>
      <c r="L715" s="2">
        <f>DAY(ORDERS[[#This Row],[OrderDate]])</f>
        <v>2</v>
      </c>
      <c r="M715" s="2">
        <f>YEAR(ORDERS[[#This Row],[OrderDate]])</f>
        <v>2013</v>
      </c>
    </row>
    <row r="716" spans="1:13" x14ac:dyDescent="0.3">
      <c r="A716">
        <v>715</v>
      </c>
      <c r="B716">
        <v>5</v>
      </c>
      <c r="C716">
        <v>8</v>
      </c>
      <c r="D716" s="1">
        <v>41488</v>
      </c>
      <c r="E716">
        <v>89</v>
      </c>
      <c r="F716">
        <f>VLOOKUP(ORDERS[[#This Row],[ProductID]],Products[],4,FALSE)</f>
        <v>27</v>
      </c>
      <c r="G716">
        <v>0</v>
      </c>
      <c r="H716">
        <f>(ORDERS[[#This Row],[UnitsOrdered]]*ORDERS[[#This Row],[unit price]])-(ORDERS[[#This Row],[UnitsOrdered]]*ORDERS[[#This Row],[unit price]]*ORDERS[[#This Row],[Discount]])</f>
        <v>2403</v>
      </c>
      <c r="I716" t="str">
        <f>VLOOKUP(ORDERS[[#This Row],[CustomerID]],customers[],2,FALSE)</f>
        <v>Rags to Riches</v>
      </c>
      <c r="J716" s="2" t="str">
        <f>VLOOKUP(ORDERS[[#This Row],[CustomerID]],customers[],4,FALSE)</f>
        <v>Las Vegas</v>
      </c>
      <c r="K716" s="2" t="str">
        <f>VLOOKUP(ORDERS[[#This Row],[ProductID]],Products[],3,FALSE)</f>
        <v>Female</v>
      </c>
      <c r="L716" s="2">
        <f>DAY(ORDERS[[#This Row],[OrderDate]])</f>
        <v>2</v>
      </c>
      <c r="M716" s="2">
        <f>YEAR(ORDERS[[#This Row],[OrderDate]])</f>
        <v>2013</v>
      </c>
    </row>
    <row r="717" spans="1:13" x14ac:dyDescent="0.3">
      <c r="A717">
        <v>716</v>
      </c>
      <c r="B717">
        <v>4</v>
      </c>
      <c r="C717">
        <v>8</v>
      </c>
      <c r="D717" s="1">
        <v>41489</v>
      </c>
      <c r="E717">
        <v>77</v>
      </c>
      <c r="F717">
        <f>VLOOKUP(ORDERS[[#This Row],[ProductID]],Products[],4,FALSE)</f>
        <v>27</v>
      </c>
      <c r="G717">
        <v>0</v>
      </c>
      <c r="H717">
        <f>(ORDERS[[#This Row],[UnitsOrdered]]*ORDERS[[#This Row],[unit price]])-(ORDERS[[#This Row],[UnitsOrdered]]*ORDERS[[#This Row],[unit price]]*ORDERS[[#This Row],[Discount]])</f>
        <v>2079</v>
      </c>
      <c r="I717" t="str">
        <f>VLOOKUP(ORDERS[[#This Row],[CustomerID]],customers[],2,FALSE)</f>
        <v>Tshirt Unlimited</v>
      </c>
      <c r="J717" s="2" t="str">
        <f>VLOOKUP(ORDERS[[#This Row],[CustomerID]],customers[],4,FALSE)</f>
        <v>Phoenix</v>
      </c>
      <c r="K717" s="2" t="str">
        <f>VLOOKUP(ORDERS[[#This Row],[ProductID]],Products[],3,FALSE)</f>
        <v>Female</v>
      </c>
      <c r="L717" s="2">
        <f>DAY(ORDERS[[#This Row],[OrderDate]])</f>
        <v>3</v>
      </c>
      <c r="M717" s="2">
        <f>YEAR(ORDERS[[#This Row],[OrderDate]])</f>
        <v>2013</v>
      </c>
    </row>
    <row r="718" spans="1:13" x14ac:dyDescent="0.3">
      <c r="A718">
        <v>717</v>
      </c>
      <c r="B718">
        <v>5</v>
      </c>
      <c r="C718">
        <v>3</v>
      </c>
      <c r="D718" s="1">
        <v>41490</v>
      </c>
      <c r="E718">
        <v>46</v>
      </c>
      <c r="F718">
        <f>VLOOKUP(ORDERS[[#This Row],[ProductID]],Products[],4,FALSE)</f>
        <v>22</v>
      </c>
      <c r="G718">
        <v>0</v>
      </c>
      <c r="H718">
        <f>(ORDERS[[#This Row],[UnitsOrdered]]*ORDERS[[#This Row],[unit price]])-(ORDERS[[#This Row],[UnitsOrdered]]*ORDERS[[#This Row],[unit price]]*ORDERS[[#This Row],[Discount]])</f>
        <v>1012</v>
      </c>
      <c r="I718" t="str">
        <f>VLOOKUP(ORDERS[[#This Row],[CustomerID]],customers[],2,FALSE)</f>
        <v>Rags to Riches</v>
      </c>
      <c r="J718" s="2" t="str">
        <f>VLOOKUP(ORDERS[[#This Row],[CustomerID]],customers[],4,FALSE)</f>
        <v>Las Vegas</v>
      </c>
      <c r="K718" s="2" t="str">
        <f>VLOOKUP(ORDERS[[#This Row],[ProductID]],Products[],3,FALSE)</f>
        <v>Both</v>
      </c>
      <c r="L718" s="2">
        <f>DAY(ORDERS[[#This Row],[OrderDate]])</f>
        <v>4</v>
      </c>
      <c r="M718" s="2">
        <f>YEAR(ORDERS[[#This Row],[OrderDate]])</f>
        <v>2013</v>
      </c>
    </row>
    <row r="719" spans="1:13" x14ac:dyDescent="0.3">
      <c r="A719">
        <v>718</v>
      </c>
      <c r="B719">
        <v>4</v>
      </c>
      <c r="C719">
        <v>10</v>
      </c>
      <c r="D719" s="1">
        <v>41491</v>
      </c>
      <c r="E719">
        <v>136</v>
      </c>
      <c r="F719">
        <f>VLOOKUP(ORDERS[[#This Row],[ProductID]],Products[],4,FALSE)</f>
        <v>35</v>
      </c>
      <c r="G719">
        <v>0</v>
      </c>
      <c r="H719">
        <f>(ORDERS[[#This Row],[UnitsOrdered]]*ORDERS[[#This Row],[unit price]])-(ORDERS[[#This Row],[UnitsOrdered]]*ORDERS[[#This Row],[unit price]]*ORDERS[[#This Row],[Discount]])</f>
        <v>4760</v>
      </c>
      <c r="I719" t="str">
        <f>VLOOKUP(ORDERS[[#This Row],[CustomerID]],customers[],2,FALSE)</f>
        <v>Tshirt Unlimited</v>
      </c>
      <c r="J719" s="2" t="str">
        <f>VLOOKUP(ORDERS[[#This Row],[CustomerID]],customers[],4,FALSE)</f>
        <v>Phoenix</v>
      </c>
      <c r="K719" s="2" t="str">
        <f>VLOOKUP(ORDERS[[#This Row],[ProductID]],Products[],3,FALSE)</f>
        <v>Male</v>
      </c>
      <c r="L719" s="2">
        <f>DAY(ORDERS[[#This Row],[OrderDate]])</f>
        <v>5</v>
      </c>
      <c r="M719" s="2">
        <f>YEAR(ORDERS[[#This Row],[OrderDate]])</f>
        <v>2013</v>
      </c>
    </row>
    <row r="720" spans="1:13" x14ac:dyDescent="0.3">
      <c r="A720">
        <v>719</v>
      </c>
      <c r="B720">
        <v>5</v>
      </c>
      <c r="C720">
        <v>9</v>
      </c>
      <c r="D720" s="1">
        <v>41491</v>
      </c>
      <c r="E720">
        <v>65</v>
      </c>
      <c r="F720">
        <f>VLOOKUP(ORDERS[[#This Row],[ProductID]],Products[],4,FALSE)</f>
        <v>25</v>
      </c>
      <c r="G720">
        <v>0</v>
      </c>
      <c r="H720">
        <f>(ORDERS[[#This Row],[UnitsOrdered]]*ORDERS[[#This Row],[unit price]])-(ORDERS[[#This Row],[UnitsOrdered]]*ORDERS[[#This Row],[unit price]]*ORDERS[[#This Row],[Discount]])</f>
        <v>1625</v>
      </c>
      <c r="I720" t="str">
        <f>VLOOKUP(ORDERS[[#This Row],[CustomerID]],customers[],2,FALSE)</f>
        <v>Rags to Riches</v>
      </c>
      <c r="J720" s="2" t="str">
        <f>VLOOKUP(ORDERS[[#This Row],[CustomerID]],customers[],4,FALSE)</f>
        <v>Las Vegas</v>
      </c>
      <c r="K720" s="2" t="str">
        <f>VLOOKUP(ORDERS[[#This Row],[ProductID]],Products[],3,FALSE)</f>
        <v>Male</v>
      </c>
      <c r="L720" s="2">
        <f>DAY(ORDERS[[#This Row],[OrderDate]])</f>
        <v>5</v>
      </c>
      <c r="M720" s="2">
        <f>YEAR(ORDERS[[#This Row],[OrderDate]])</f>
        <v>2013</v>
      </c>
    </row>
    <row r="721" spans="1:13" x14ac:dyDescent="0.3">
      <c r="A721">
        <v>720</v>
      </c>
      <c r="B721">
        <v>1</v>
      </c>
      <c r="C721">
        <v>7</v>
      </c>
      <c r="D721" s="1">
        <v>41492</v>
      </c>
      <c r="E721">
        <v>109</v>
      </c>
      <c r="F721">
        <f>VLOOKUP(ORDERS[[#This Row],[ProductID]],Products[],4,FALSE)</f>
        <v>38</v>
      </c>
      <c r="G721">
        <v>0</v>
      </c>
      <c r="H721">
        <f>(ORDERS[[#This Row],[UnitsOrdered]]*ORDERS[[#This Row],[unit price]])-(ORDERS[[#This Row],[UnitsOrdered]]*ORDERS[[#This Row],[unit price]]*ORDERS[[#This Row],[Discount]])</f>
        <v>4142</v>
      </c>
      <c r="I721" t="str">
        <f>VLOOKUP(ORDERS[[#This Row],[CustomerID]],customers[],2,FALSE)</f>
        <v>Threads</v>
      </c>
      <c r="J721" s="2" t="str">
        <f>VLOOKUP(ORDERS[[#This Row],[CustomerID]],customers[],4,FALSE)</f>
        <v>Seattle</v>
      </c>
      <c r="K721" s="2" t="str">
        <f>VLOOKUP(ORDERS[[#This Row],[ProductID]],Products[],3,FALSE)</f>
        <v>Female</v>
      </c>
      <c r="L721" s="2">
        <f>DAY(ORDERS[[#This Row],[OrderDate]])</f>
        <v>6</v>
      </c>
      <c r="M721" s="2">
        <f>YEAR(ORDERS[[#This Row],[OrderDate]])</f>
        <v>2013</v>
      </c>
    </row>
    <row r="722" spans="1:13" x14ac:dyDescent="0.3">
      <c r="A722">
        <v>721</v>
      </c>
      <c r="B722">
        <v>1</v>
      </c>
      <c r="C722">
        <v>10</v>
      </c>
      <c r="D722" s="1">
        <v>41492</v>
      </c>
      <c r="E722">
        <v>126</v>
      </c>
      <c r="F722">
        <f>VLOOKUP(ORDERS[[#This Row],[ProductID]],Products[],4,FALSE)</f>
        <v>35</v>
      </c>
      <c r="G722">
        <v>0</v>
      </c>
      <c r="H722">
        <f>(ORDERS[[#This Row],[UnitsOrdered]]*ORDERS[[#This Row],[unit price]])-(ORDERS[[#This Row],[UnitsOrdered]]*ORDERS[[#This Row],[unit price]]*ORDERS[[#This Row],[Discount]])</f>
        <v>4410</v>
      </c>
      <c r="I722" t="str">
        <f>VLOOKUP(ORDERS[[#This Row],[CustomerID]],customers[],2,FALSE)</f>
        <v>Threads</v>
      </c>
      <c r="J722" s="2" t="str">
        <f>VLOOKUP(ORDERS[[#This Row],[CustomerID]],customers[],4,FALSE)</f>
        <v>Seattle</v>
      </c>
      <c r="K722" s="2" t="str">
        <f>VLOOKUP(ORDERS[[#This Row],[ProductID]],Products[],3,FALSE)</f>
        <v>Male</v>
      </c>
      <c r="L722" s="2">
        <f>DAY(ORDERS[[#This Row],[OrderDate]])</f>
        <v>6</v>
      </c>
      <c r="M722" s="2">
        <f>YEAR(ORDERS[[#This Row],[OrderDate]])</f>
        <v>2013</v>
      </c>
    </row>
    <row r="723" spans="1:13" x14ac:dyDescent="0.3">
      <c r="A723">
        <v>722</v>
      </c>
      <c r="B723">
        <v>6</v>
      </c>
      <c r="C723">
        <v>9</v>
      </c>
      <c r="D723" s="1">
        <v>41492</v>
      </c>
      <c r="E723">
        <v>51</v>
      </c>
      <c r="F723">
        <f>VLOOKUP(ORDERS[[#This Row],[ProductID]],Products[],4,FALSE)</f>
        <v>25</v>
      </c>
      <c r="G723">
        <v>5.0000001000000002E-2</v>
      </c>
      <c r="H723">
        <f>(ORDERS[[#This Row],[UnitsOrdered]]*ORDERS[[#This Row],[unit price]])-(ORDERS[[#This Row],[UnitsOrdered]]*ORDERS[[#This Row],[unit price]]*ORDERS[[#This Row],[Discount]])</f>
        <v>1211.2499987250001</v>
      </c>
      <c r="I723" t="str">
        <f>VLOOKUP(ORDERS[[#This Row],[CustomerID]],customers[],2,FALSE)</f>
        <v>Abracadaba Ink</v>
      </c>
      <c r="J723" s="2" t="str">
        <f>VLOOKUP(ORDERS[[#This Row],[CustomerID]],customers[],4,FALSE)</f>
        <v>Salt Lake City</v>
      </c>
      <c r="K723" s="2" t="str">
        <f>VLOOKUP(ORDERS[[#This Row],[ProductID]],Products[],3,FALSE)</f>
        <v>Male</v>
      </c>
      <c r="L723" s="2">
        <f>DAY(ORDERS[[#This Row],[OrderDate]])</f>
        <v>6</v>
      </c>
      <c r="M723" s="2">
        <f>YEAR(ORDERS[[#This Row],[OrderDate]])</f>
        <v>2013</v>
      </c>
    </row>
    <row r="724" spans="1:13" x14ac:dyDescent="0.3">
      <c r="A724">
        <v>723</v>
      </c>
      <c r="B724">
        <v>3</v>
      </c>
      <c r="C724">
        <v>10</v>
      </c>
      <c r="D724" s="1">
        <v>41493</v>
      </c>
      <c r="E724">
        <v>26</v>
      </c>
      <c r="F724">
        <f>VLOOKUP(ORDERS[[#This Row],[ProductID]],Products[],4,FALSE)</f>
        <v>35</v>
      </c>
      <c r="G724">
        <v>0</v>
      </c>
      <c r="H724">
        <f>(ORDERS[[#This Row],[UnitsOrdered]]*ORDERS[[#This Row],[unit price]])-(ORDERS[[#This Row],[UnitsOrdered]]*ORDERS[[#This Row],[unit price]]*ORDERS[[#This Row],[Discount]])</f>
        <v>910</v>
      </c>
      <c r="I724" t="str">
        <f>VLOOKUP(ORDERS[[#This Row],[CustomerID]],customers[],2,FALSE)</f>
        <v>Shirts R Us</v>
      </c>
      <c r="J724" s="2" t="str">
        <f>VLOOKUP(ORDERS[[#This Row],[CustomerID]],customers[],4,FALSE)</f>
        <v>Los Angeles</v>
      </c>
      <c r="K724" s="2" t="str">
        <f>VLOOKUP(ORDERS[[#This Row],[ProductID]],Products[],3,FALSE)</f>
        <v>Male</v>
      </c>
      <c r="L724" s="2">
        <f>DAY(ORDERS[[#This Row],[OrderDate]])</f>
        <v>7</v>
      </c>
      <c r="M724" s="2">
        <f>YEAR(ORDERS[[#This Row],[OrderDate]])</f>
        <v>2013</v>
      </c>
    </row>
    <row r="725" spans="1:13" x14ac:dyDescent="0.3">
      <c r="A725">
        <v>724</v>
      </c>
      <c r="B725">
        <v>4</v>
      </c>
      <c r="C725">
        <v>10</v>
      </c>
      <c r="D725" s="1">
        <v>41493</v>
      </c>
      <c r="E725">
        <v>137</v>
      </c>
      <c r="F725">
        <f>VLOOKUP(ORDERS[[#This Row],[ProductID]],Products[],4,FALSE)</f>
        <v>35</v>
      </c>
      <c r="G725">
        <v>0</v>
      </c>
      <c r="H725">
        <f>(ORDERS[[#This Row],[UnitsOrdered]]*ORDERS[[#This Row],[unit price]])-(ORDERS[[#This Row],[UnitsOrdered]]*ORDERS[[#This Row],[unit price]]*ORDERS[[#This Row],[Discount]])</f>
        <v>4795</v>
      </c>
      <c r="I725" t="str">
        <f>VLOOKUP(ORDERS[[#This Row],[CustomerID]],customers[],2,FALSE)</f>
        <v>Tshirt Unlimited</v>
      </c>
      <c r="J725" s="2" t="str">
        <f>VLOOKUP(ORDERS[[#This Row],[CustomerID]],customers[],4,FALSE)</f>
        <v>Phoenix</v>
      </c>
      <c r="K725" s="2" t="str">
        <f>VLOOKUP(ORDERS[[#This Row],[ProductID]],Products[],3,FALSE)</f>
        <v>Male</v>
      </c>
      <c r="L725" s="2">
        <f>DAY(ORDERS[[#This Row],[OrderDate]])</f>
        <v>7</v>
      </c>
      <c r="M725" s="2">
        <f>YEAR(ORDERS[[#This Row],[OrderDate]])</f>
        <v>2013</v>
      </c>
    </row>
    <row r="726" spans="1:13" x14ac:dyDescent="0.3">
      <c r="A726">
        <v>725</v>
      </c>
      <c r="B726">
        <v>6</v>
      </c>
      <c r="C726">
        <v>10</v>
      </c>
      <c r="D726" s="1">
        <v>41495</v>
      </c>
      <c r="E726">
        <v>121</v>
      </c>
      <c r="F726">
        <f>VLOOKUP(ORDERS[[#This Row],[ProductID]],Products[],4,FALSE)</f>
        <v>35</v>
      </c>
      <c r="G726">
        <v>0</v>
      </c>
      <c r="H726">
        <f>(ORDERS[[#This Row],[UnitsOrdered]]*ORDERS[[#This Row],[unit price]])-(ORDERS[[#This Row],[UnitsOrdered]]*ORDERS[[#This Row],[unit price]]*ORDERS[[#This Row],[Discount]])</f>
        <v>4235</v>
      </c>
      <c r="I726" t="str">
        <f>VLOOKUP(ORDERS[[#This Row],[CustomerID]],customers[],2,FALSE)</f>
        <v>Abracadaba Ink</v>
      </c>
      <c r="J726" s="2" t="str">
        <f>VLOOKUP(ORDERS[[#This Row],[CustomerID]],customers[],4,FALSE)</f>
        <v>Salt Lake City</v>
      </c>
      <c r="K726" s="2" t="str">
        <f>VLOOKUP(ORDERS[[#This Row],[ProductID]],Products[],3,FALSE)</f>
        <v>Male</v>
      </c>
      <c r="L726" s="2">
        <f>DAY(ORDERS[[#This Row],[OrderDate]])</f>
        <v>9</v>
      </c>
      <c r="M726" s="2">
        <f>YEAR(ORDERS[[#This Row],[OrderDate]])</f>
        <v>2013</v>
      </c>
    </row>
    <row r="727" spans="1:13" x14ac:dyDescent="0.3">
      <c r="A727">
        <v>726</v>
      </c>
      <c r="B727">
        <v>3</v>
      </c>
      <c r="C727">
        <v>4</v>
      </c>
      <c r="D727" s="1">
        <v>41496</v>
      </c>
      <c r="E727">
        <v>88</v>
      </c>
      <c r="F727">
        <f>VLOOKUP(ORDERS[[#This Row],[ProductID]],Products[],4,FALSE)</f>
        <v>30</v>
      </c>
      <c r="G727">
        <v>5.0000001000000002E-2</v>
      </c>
      <c r="H727">
        <f>(ORDERS[[#This Row],[UnitsOrdered]]*ORDERS[[#This Row],[unit price]])-(ORDERS[[#This Row],[UnitsOrdered]]*ORDERS[[#This Row],[unit price]]*ORDERS[[#This Row],[Discount]])</f>
        <v>2507.9999973600002</v>
      </c>
      <c r="I727" t="str">
        <f>VLOOKUP(ORDERS[[#This Row],[CustomerID]],customers[],2,FALSE)</f>
        <v>Shirts R Us</v>
      </c>
      <c r="J727" s="2" t="str">
        <f>VLOOKUP(ORDERS[[#This Row],[CustomerID]],customers[],4,FALSE)</f>
        <v>Los Angeles</v>
      </c>
      <c r="K727" s="2" t="str">
        <f>VLOOKUP(ORDERS[[#This Row],[ProductID]],Products[],3,FALSE)</f>
        <v>Both</v>
      </c>
      <c r="L727" s="2">
        <f>DAY(ORDERS[[#This Row],[OrderDate]])</f>
        <v>10</v>
      </c>
      <c r="M727" s="2">
        <f>YEAR(ORDERS[[#This Row],[OrderDate]])</f>
        <v>2013</v>
      </c>
    </row>
    <row r="728" spans="1:13" x14ac:dyDescent="0.3">
      <c r="A728">
        <v>727</v>
      </c>
      <c r="B728">
        <v>7</v>
      </c>
      <c r="C728">
        <v>6</v>
      </c>
      <c r="D728" s="1">
        <v>41497</v>
      </c>
      <c r="E728">
        <v>118</v>
      </c>
      <c r="F728">
        <f>VLOOKUP(ORDERS[[#This Row],[ProductID]],Products[],4,FALSE)</f>
        <v>28</v>
      </c>
      <c r="G728">
        <v>0</v>
      </c>
      <c r="H728">
        <f>(ORDERS[[#This Row],[UnitsOrdered]]*ORDERS[[#This Row],[unit price]])-(ORDERS[[#This Row],[UnitsOrdered]]*ORDERS[[#This Row],[unit price]]*ORDERS[[#This Row],[Discount]])</f>
        <v>3304</v>
      </c>
      <c r="I728" t="str">
        <f>VLOOKUP(ORDERS[[#This Row],[CustomerID]],customers[],2,FALSE)</f>
        <v>The Shirt on Your Back</v>
      </c>
      <c r="J728" s="2" t="str">
        <f>VLOOKUP(ORDERS[[#This Row],[CustomerID]],customers[],4,FALSE)</f>
        <v>Bonners Ferry</v>
      </c>
      <c r="K728" s="2" t="str">
        <f>VLOOKUP(ORDERS[[#This Row],[ProductID]],Products[],3,FALSE)</f>
        <v>Female</v>
      </c>
      <c r="L728" s="2">
        <f>DAY(ORDERS[[#This Row],[OrderDate]])</f>
        <v>11</v>
      </c>
      <c r="M728" s="2">
        <f>YEAR(ORDERS[[#This Row],[OrderDate]])</f>
        <v>2013</v>
      </c>
    </row>
    <row r="729" spans="1:13" x14ac:dyDescent="0.3">
      <c r="A729">
        <v>728</v>
      </c>
      <c r="B729">
        <v>2</v>
      </c>
      <c r="C729">
        <v>5</v>
      </c>
      <c r="D729" s="1">
        <v>41498</v>
      </c>
      <c r="E729">
        <v>51</v>
      </c>
      <c r="F729">
        <f>VLOOKUP(ORDERS[[#This Row],[ProductID]],Products[],4,FALSE)</f>
        <v>16</v>
      </c>
      <c r="G729">
        <v>0</v>
      </c>
      <c r="H729">
        <f>(ORDERS[[#This Row],[UnitsOrdered]]*ORDERS[[#This Row],[unit price]])-(ORDERS[[#This Row],[UnitsOrdered]]*ORDERS[[#This Row],[unit price]]*ORDERS[[#This Row],[Discount]])</f>
        <v>816</v>
      </c>
      <c r="I729" t="str">
        <f>VLOOKUP(ORDERS[[#This Row],[CustomerID]],customers[],2,FALSE)</f>
        <v>A Shirts Life</v>
      </c>
      <c r="J729" s="2" t="str">
        <f>VLOOKUP(ORDERS[[#This Row],[CustomerID]],customers[],4,FALSE)</f>
        <v>Portland</v>
      </c>
      <c r="K729" s="2" t="str">
        <f>VLOOKUP(ORDERS[[#This Row],[ProductID]],Products[],3,FALSE)</f>
        <v>Female</v>
      </c>
      <c r="L729" s="2">
        <f>DAY(ORDERS[[#This Row],[OrderDate]])</f>
        <v>12</v>
      </c>
      <c r="M729" s="2">
        <f>YEAR(ORDERS[[#This Row],[OrderDate]])</f>
        <v>2013</v>
      </c>
    </row>
    <row r="730" spans="1:13" x14ac:dyDescent="0.3">
      <c r="A730">
        <v>729</v>
      </c>
      <c r="B730">
        <v>6</v>
      </c>
      <c r="C730">
        <v>1</v>
      </c>
      <c r="D730" s="1">
        <v>41498</v>
      </c>
      <c r="E730">
        <v>68</v>
      </c>
      <c r="F730">
        <f>VLOOKUP(ORDERS[[#This Row],[ProductID]],Products[],4,FALSE)</f>
        <v>20</v>
      </c>
      <c r="G730">
        <v>0</v>
      </c>
      <c r="H730">
        <f>(ORDERS[[#This Row],[UnitsOrdered]]*ORDERS[[#This Row],[unit price]])-(ORDERS[[#This Row],[UnitsOrdered]]*ORDERS[[#This Row],[unit price]]*ORDERS[[#This Row],[Discount]])</f>
        <v>1360</v>
      </c>
      <c r="I730" t="str">
        <f>VLOOKUP(ORDERS[[#This Row],[CustomerID]],customers[],2,FALSE)</f>
        <v>Abracadaba Ink</v>
      </c>
      <c r="J730" s="2" t="str">
        <f>VLOOKUP(ORDERS[[#This Row],[CustomerID]],customers[],4,FALSE)</f>
        <v>Salt Lake City</v>
      </c>
      <c r="K730" s="2" t="str">
        <f>VLOOKUP(ORDERS[[#This Row],[ProductID]],Products[],3,FALSE)</f>
        <v>Both</v>
      </c>
      <c r="L730" s="2">
        <f>DAY(ORDERS[[#This Row],[OrderDate]])</f>
        <v>12</v>
      </c>
      <c r="M730" s="2">
        <f>YEAR(ORDERS[[#This Row],[OrderDate]])</f>
        <v>2013</v>
      </c>
    </row>
    <row r="731" spans="1:13" x14ac:dyDescent="0.3">
      <c r="A731">
        <v>730</v>
      </c>
      <c r="B731">
        <v>5</v>
      </c>
      <c r="C731">
        <v>10</v>
      </c>
      <c r="D731" s="1">
        <v>41499</v>
      </c>
      <c r="E731">
        <v>98</v>
      </c>
      <c r="F731">
        <f>VLOOKUP(ORDERS[[#This Row],[ProductID]],Products[],4,FALSE)</f>
        <v>35</v>
      </c>
      <c r="G731">
        <v>0</v>
      </c>
      <c r="H731">
        <f>(ORDERS[[#This Row],[UnitsOrdered]]*ORDERS[[#This Row],[unit price]])-(ORDERS[[#This Row],[UnitsOrdered]]*ORDERS[[#This Row],[unit price]]*ORDERS[[#This Row],[Discount]])</f>
        <v>3430</v>
      </c>
      <c r="I731" t="str">
        <f>VLOOKUP(ORDERS[[#This Row],[CustomerID]],customers[],2,FALSE)</f>
        <v>Rags to Riches</v>
      </c>
      <c r="J731" s="2" t="str">
        <f>VLOOKUP(ORDERS[[#This Row],[CustomerID]],customers[],4,FALSE)</f>
        <v>Las Vegas</v>
      </c>
      <c r="K731" s="2" t="str">
        <f>VLOOKUP(ORDERS[[#This Row],[ProductID]],Products[],3,FALSE)</f>
        <v>Male</v>
      </c>
      <c r="L731" s="2">
        <f>DAY(ORDERS[[#This Row],[OrderDate]])</f>
        <v>13</v>
      </c>
      <c r="M731" s="2">
        <f>YEAR(ORDERS[[#This Row],[OrderDate]])</f>
        <v>2013</v>
      </c>
    </row>
    <row r="732" spans="1:13" x14ac:dyDescent="0.3">
      <c r="A732">
        <v>731</v>
      </c>
      <c r="B732">
        <v>4</v>
      </c>
      <c r="C732">
        <v>4</v>
      </c>
      <c r="D732" s="1">
        <v>41500</v>
      </c>
      <c r="E732">
        <v>36</v>
      </c>
      <c r="F732">
        <f>VLOOKUP(ORDERS[[#This Row],[ProductID]],Products[],4,FALSE)</f>
        <v>30</v>
      </c>
      <c r="G732">
        <v>0.10000000100000001</v>
      </c>
      <c r="H732">
        <f>(ORDERS[[#This Row],[UnitsOrdered]]*ORDERS[[#This Row],[unit price]])-(ORDERS[[#This Row],[UnitsOrdered]]*ORDERS[[#This Row],[unit price]]*ORDERS[[#This Row],[Discount]])</f>
        <v>971.99999892000005</v>
      </c>
      <c r="I732" t="str">
        <f>VLOOKUP(ORDERS[[#This Row],[CustomerID]],customers[],2,FALSE)</f>
        <v>Tshirt Unlimited</v>
      </c>
      <c r="J732" s="2" t="str">
        <f>VLOOKUP(ORDERS[[#This Row],[CustomerID]],customers[],4,FALSE)</f>
        <v>Phoenix</v>
      </c>
      <c r="K732" s="2" t="str">
        <f>VLOOKUP(ORDERS[[#This Row],[ProductID]],Products[],3,FALSE)</f>
        <v>Both</v>
      </c>
      <c r="L732" s="2">
        <f>DAY(ORDERS[[#This Row],[OrderDate]])</f>
        <v>14</v>
      </c>
      <c r="M732" s="2">
        <f>YEAR(ORDERS[[#This Row],[OrderDate]])</f>
        <v>2013</v>
      </c>
    </row>
    <row r="733" spans="1:13" x14ac:dyDescent="0.3">
      <c r="A733">
        <v>732</v>
      </c>
      <c r="B733">
        <v>2</v>
      </c>
      <c r="C733">
        <v>3</v>
      </c>
      <c r="D733" s="1">
        <v>41501</v>
      </c>
      <c r="E733">
        <v>106</v>
      </c>
      <c r="F733">
        <f>VLOOKUP(ORDERS[[#This Row],[ProductID]],Products[],4,FALSE)</f>
        <v>22</v>
      </c>
      <c r="G733">
        <v>5.0000001000000002E-2</v>
      </c>
      <c r="H733">
        <f>(ORDERS[[#This Row],[UnitsOrdered]]*ORDERS[[#This Row],[unit price]])-(ORDERS[[#This Row],[UnitsOrdered]]*ORDERS[[#This Row],[unit price]]*ORDERS[[#This Row],[Discount]])</f>
        <v>2215.3999976680002</v>
      </c>
      <c r="I733" t="str">
        <f>VLOOKUP(ORDERS[[#This Row],[CustomerID]],customers[],2,FALSE)</f>
        <v>A Shirts Life</v>
      </c>
      <c r="J733" s="2" t="str">
        <f>VLOOKUP(ORDERS[[#This Row],[CustomerID]],customers[],4,FALSE)</f>
        <v>Portland</v>
      </c>
      <c r="K733" s="2" t="str">
        <f>VLOOKUP(ORDERS[[#This Row],[ProductID]],Products[],3,FALSE)</f>
        <v>Both</v>
      </c>
      <c r="L733" s="2">
        <f>DAY(ORDERS[[#This Row],[OrderDate]])</f>
        <v>15</v>
      </c>
      <c r="M733" s="2">
        <f>YEAR(ORDERS[[#This Row],[OrderDate]])</f>
        <v>2013</v>
      </c>
    </row>
    <row r="734" spans="1:13" x14ac:dyDescent="0.3">
      <c r="A734">
        <v>733</v>
      </c>
      <c r="B734">
        <v>1</v>
      </c>
      <c r="C734">
        <v>8</v>
      </c>
      <c r="D734" s="1">
        <v>41502</v>
      </c>
      <c r="E734">
        <v>49</v>
      </c>
      <c r="F734">
        <f>VLOOKUP(ORDERS[[#This Row],[ProductID]],Products[],4,FALSE)</f>
        <v>27</v>
      </c>
      <c r="G734">
        <v>0</v>
      </c>
      <c r="H734">
        <f>(ORDERS[[#This Row],[UnitsOrdered]]*ORDERS[[#This Row],[unit price]])-(ORDERS[[#This Row],[UnitsOrdered]]*ORDERS[[#This Row],[unit price]]*ORDERS[[#This Row],[Discount]])</f>
        <v>1323</v>
      </c>
      <c r="I734" t="str">
        <f>VLOOKUP(ORDERS[[#This Row],[CustomerID]],customers[],2,FALSE)</f>
        <v>Threads</v>
      </c>
      <c r="J734" s="2" t="str">
        <f>VLOOKUP(ORDERS[[#This Row],[CustomerID]],customers[],4,FALSE)</f>
        <v>Seattle</v>
      </c>
      <c r="K734" s="2" t="str">
        <f>VLOOKUP(ORDERS[[#This Row],[ProductID]],Products[],3,FALSE)</f>
        <v>Female</v>
      </c>
      <c r="L734" s="2">
        <f>DAY(ORDERS[[#This Row],[OrderDate]])</f>
        <v>16</v>
      </c>
      <c r="M734" s="2">
        <f>YEAR(ORDERS[[#This Row],[OrderDate]])</f>
        <v>2013</v>
      </c>
    </row>
    <row r="735" spans="1:13" x14ac:dyDescent="0.3">
      <c r="A735">
        <v>734</v>
      </c>
      <c r="B735">
        <v>4</v>
      </c>
      <c r="C735">
        <v>2</v>
      </c>
      <c r="D735" s="1">
        <v>41502</v>
      </c>
      <c r="E735">
        <v>87</v>
      </c>
      <c r="F735">
        <f>VLOOKUP(ORDERS[[#This Row],[ProductID]],Products[],4,FALSE)</f>
        <v>30</v>
      </c>
      <c r="G735">
        <v>5.0000001000000002E-2</v>
      </c>
      <c r="H735">
        <f>(ORDERS[[#This Row],[UnitsOrdered]]*ORDERS[[#This Row],[unit price]])-(ORDERS[[#This Row],[UnitsOrdered]]*ORDERS[[#This Row],[unit price]]*ORDERS[[#This Row],[Discount]])</f>
        <v>2479.4999973899999</v>
      </c>
      <c r="I735" t="str">
        <f>VLOOKUP(ORDERS[[#This Row],[CustomerID]],customers[],2,FALSE)</f>
        <v>Tshirt Unlimited</v>
      </c>
      <c r="J735" s="2" t="str">
        <f>VLOOKUP(ORDERS[[#This Row],[CustomerID]],customers[],4,FALSE)</f>
        <v>Phoenix</v>
      </c>
      <c r="K735" s="2" t="str">
        <f>VLOOKUP(ORDERS[[#This Row],[ProductID]],Products[],3,FALSE)</f>
        <v>Both</v>
      </c>
      <c r="L735" s="2">
        <f>DAY(ORDERS[[#This Row],[OrderDate]])</f>
        <v>16</v>
      </c>
      <c r="M735" s="2">
        <f>YEAR(ORDERS[[#This Row],[OrderDate]])</f>
        <v>2013</v>
      </c>
    </row>
    <row r="736" spans="1:13" x14ac:dyDescent="0.3">
      <c r="A736">
        <v>735</v>
      </c>
      <c r="B736">
        <v>5</v>
      </c>
      <c r="C736">
        <v>2</v>
      </c>
      <c r="D736" s="1">
        <v>41502</v>
      </c>
      <c r="E736">
        <v>142</v>
      </c>
      <c r="F736">
        <f>VLOOKUP(ORDERS[[#This Row],[ProductID]],Products[],4,FALSE)</f>
        <v>30</v>
      </c>
      <c r="G736">
        <v>0</v>
      </c>
      <c r="H736">
        <f>(ORDERS[[#This Row],[UnitsOrdered]]*ORDERS[[#This Row],[unit price]])-(ORDERS[[#This Row],[UnitsOrdered]]*ORDERS[[#This Row],[unit price]]*ORDERS[[#This Row],[Discount]])</f>
        <v>4260</v>
      </c>
      <c r="I736" t="str">
        <f>VLOOKUP(ORDERS[[#This Row],[CustomerID]],customers[],2,FALSE)</f>
        <v>Rags to Riches</v>
      </c>
      <c r="J736" s="2" t="str">
        <f>VLOOKUP(ORDERS[[#This Row],[CustomerID]],customers[],4,FALSE)</f>
        <v>Las Vegas</v>
      </c>
      <c r="K736" s="2" t="str">
        <f>VLOOKUP(ORDERS[[#This Row],[ProductID]],Products[],3,FALSE)</f>
        <v>Both</v>
      </c>
      <c r="L736" s="2">
        <f>DAY(ORDERS[[#This Row],[OrderDate]])</f>
        <v>16</v>
      </c>
      <c r="M736" s="2">
        <f>YEAR(ORDERS[[#This Row],[OrderDate]])</f>
        <v>2013</v>
      </c>
    </row>
    <row r="737" spans="1:13" x14ac:dyDescent="0.3">
      <c r="A737">
        <v>736</v>
      </c>
      <c r="B737">
        <v>5</v>
      </c>
      <c r="C737">
        <v>4</v>
      </c>
      <c r="D737" s="1">
        <v>41502</v>
      </c>
      <c r="E737">
        <v>134</v>
      </c>
      <c r="F737">
        <f>VLOOKUP(ORDERS[[#This Row],[ProductID]],Products[],4,FALSE)</f>
        <v>30</v>
      </c>
      <c r="G737">
        <v>0</v>
      </c>
      <c r="H737">
        <f>(ORDERS[[#This Row],[UnitsOrdered]]*ORDERS[[#This Row],[unit price]])-(ORDERS[[#This Row],[UnitsOrdered]]*ORDERS[[#This Row],[unit price]]*ORDERS[[#This Row],[Discount]])</f>
        <v>4020</v>
      </c>
      <c r="I737" t="str">
        <f>VLOOKUP(ORDERS[[#This Row],[CustomerID]],customers[],2,FALSE)</f>
        <v>Rags to Riches</v>
      </c>
      <c r="J737" s="2" t="str">
        <f>VLOOKUP(ORDERS[[#This Row],[CustomerID]],customers[],4,FALSE)</f>
        <v>Las Vegas</v>
      </c>
      <c r="K737" s="2" t="str">
        <f>VLOOKUP(ORDERS[[#This Row],[ProductID]],Products[],3,FALSE)</f>
        <v>Both</v>
      </c>
      <c r="L737" s="2">
        <f>DAY(ORDERS[[#This Row],[OrderDate]])</f>
        <v>16</v>
      </c>
      <c r="M737" s="2">
        <f>YEAR(ORDERS[[#This Row],[OrderDate]])</f>
        <v>2013</v>
      </c>
    </row>
    <row r="738" spans="1:13" x14ac:dyDescent="0.3">
      <c r="A738">
        <v>737</v>
      </c>
      <c r="B738">
        <v>6</v>
      </c>
      <c r="C738">
        <v>9</v>
      </c>
      <c r="D738" s="1">
        <v>41502</v>
      </c>
      <c r="E738">
        <v>107</v>
      </c>
      <c r="F738">
        <f>VLOOKUP(ORDERS[[#This Row],[ProductID]],Products[],4,FALSE)</f>
        <v>25</v>
      </c>
      <c r="G738">
        <v>0</v>
      </c>
      <c r="H738">
        <f>(ORDERS[[#This Row],[UnitsOrdered]]*ORDERS[[#This Row],[unit price]])-(ORDERS[[#This Row],[UnitsOrdered]]*ORDERS[[#This Row],[unit price]]*ORDERS[[#This Row],[Discount]])</f>
        <v>2675</v>
      </c>
      <c r="I738" t="str">
        <f>VLOOKUP(ORDERS[[#This Row],[CustomerID]],customers[],2,FALSE)</f>
        <v>Abracadaba Ink</v>
      </c>
      <c r="J738" s="2" t="str">
        <f>VLOOKUP(ORDERS[[#This Row],[CustomerID]],customers[],4,FALSE)</f>
        <v>Salt Lake City</v>
      </c>
      <c r="K738" s="2" t="str">
        <f>VLOOKUP(ORDERS[[#This Row],[ProductID]],Products[],3,FALSE)</f>
        <v>Male</v>
      </c>
      <c r="L738" s="2">
        <f>DAY(ORDERS[[#This Row],[OrderDate]])</f>
        <v>16</v>
      </c>
      <c r="M738" s="2">
        <f>YEAR(ORDERS[[#This Row],[OrderDate]])</f>
        <v>2013</v>
      </c>
    </row>
    <row r="739" spans="1:13" x14ac:dyDescent="0.3">
      <c r="A739">
        <v>738</v>
      </c>
      <c r="B739">
        <v>3</v>
      </c>
      <c r="C739">
        <v>1</v>
      </c>
      <c r="D739" s="1">
        <v>41503</v>
      </c>
      <c r="E739">
        <v>105</v>
      </c>
      <c r="F739">
        <f>VLOOKUP(ORDERS[[#This Row],[ProductID]],Products[],4,FALSE)</f>
        <v>20</v>
      </c>
      <c r="G739">
        <v>0</v>
      </c>
      <c r="H739">
        <f>(ORDERS[[#This Row],[UnitsOrdered]]*ORDERS[[#This Row],[unit price]])-(ORDERS[[#This Row],[UnitsOrdered]]*ORDERS[[#This Row],[unit price]]*ORDERS[[#This Row],[Discount]])</f>
        <v>2100</v>
      </c>
      <c r="I739" t="str">
        <f>VLOOKUP(ORDERS[[#This Row],[CustomerID]],customers[],2,FALSE)</f>
        <v>Shirts R Us</v>
      </c>
      <c r="J739" s="2" t="str">
        <f>VLOOKUP(ORDERS[[#This Row],[CustomerID]],customers[],4,FALSE)</f>
        <v>Los Angeles</v>
      </c>
      <c r="K739" s="2" t="str">
        <f>VLOOKUP(ORDERS[[#This Row],[ProductID]],Products[],3,FALSE)</f>
        <v>Both</v>
      </c>
      <c r="L739" s="2">
        <f>DAY(ORDERS[[#This Row],[OrderDate]])</f>
        <v>17</v>
      </c>
      <c r="M739" s="2">
        <f>YEAR(ORDERS[[#This Row],[OrderDate]])</f>
        <v>2013</v>
      </c>
    </row>
    <row r="740" spans="1:13" x14ac:dyDescent="0.3">
      <c r="A740">
        <v>739</v>
      </c>
      <c r="B740">
        <v>5</v>
      </c>
      <c r="C740">
        <v>8</v>
      </c>
      <c r="D740" s="1">
        <v>41503</v>
      </c>
      <c r="E740">
        <v>52</v>
      </c>
      <c r="F740">
        <f>VLOOKUP(ORDERS[[#This Row],[ProductID]],Products[],4,FALSE)</f>
        <v>27</v>
      </c>
      <c r="G740">
        <v>0</v>
      </c>
      <c r="H740">
        <f>(ORDERS[[#This Row],[UnitsOrdered]]*ORDERS[[#This Row],[unit price]])-(ORDERS[[#This Row],[UnitsOrdered]]*ORDERS[[#This Row],[unit price]]*ORDERS[[#This Row],[Discount]])</f>
        <v>1404</v>
      </c>
      <c r="I740" t="str">
        <f>VLOOKUP(ORDERS[[#This Row],[CustomerID]],customers[],2,FALSE)</f>
        <v>Rags to Riches</v>
      </c>
      <c r="J740" s="2" t="str">
        <f>VLOOKUP(ORDERS[[#This Row],[CustomerID]],customers[],4,FALSE)</f>
        <v>Las Vegas</v>
      </c>
      <c r="K740" s="2" t="str">
        <f>VLOOKUP(ORDERS[[#This Row],[ProductID]],Products[],3,FALSE)</f>
        <v>Female</v>
      </c>
      <c r="L740" s="2">
        <f>DAY(ORDERS[[#This Row],[OrderDate]])</f>
        <v>17</v>
      </c>
      <c r="M740" s="2">
        <f>YEAR(ORDERS[[#This Row],[OrderDate]])</f>
        <v>2013</v>
      </c>
    </row>
    <row r="741" spans="1:13" x14ac:dyDescent="0.3">
      <c r="A741">
        <v>740</v>
      </c>
      <c r="B741">
        <v>2</v>
      </c>
      <c r="C741">
        <v>4</v>
      </c>
      <c r="D741" s="1">
        <v>41504</v>
      </c>
      <c r="E741">
        <v>71</v>
      </c>
      <c r="F741">
        <f>VLOOKUP(ORDERS[[#This Row],[ProductID]],Products[],4,FALSE)</f>
        <v>30</v>
      </c>
      <c r="G741">
        <v>0.10000000100000001</v>
      </c>
      <c r="H741">
        <f>(ORDERS[[#This Row],[UnitsOrdered]]*ORDERS[[#This Row],[unit price]])-(ORDERS[[#This Row],[UnitsOrdered]]*ORDERS[[#This Row],[unit price]]*ORDERS[[#This Row],[Discount]])</f>
        <v>1916.99999787</v>
      </c>
      <c r="I741" t="str">
        <f>VLOOKUP(ORDERS[[#This Row],[CustomerID]],customers[],2,FALSE)</f>
        <v>A Shirts Life</v>
      </c>
      <c r="J741" s="2" t="str">
        <f>VLOOKUP(ORDERS[[#This Row],[CustomerID]],customers[],4,FALSE)</f>
        <v>Portland</v>
      </c>
      <c r="K741" s="2" t="str">
        <f>VLOOKUP(ORDERS[[#This Row],[ProductID]],Products[],3,FALSE)</f>
        <v>Both</v>
      </c>
      <c r="L741" s="2">
        <f>DAY(ORDERS[[#This Row],[OrderDate]])</f>
        <v>18</v>
      </c>
      <c r="M741" s="2">
        <f>YEAR(ORDERS[[#This Row],[OrderDate]])</f>
        <v>2013</v>
      </c>
    </row>
    <row r="742" spans="1:13" x14ac:dyDescent="0.3">
      <c r="A742">
        <v>741</v>
      </c>
      <c r="B742">
        <v>2</v>
      </c>
      <c r="C742">
        <v>2</v>
      </c>
      <c r="D742" s="1">
        <v>41506</v>
      </c>
      <c r="E742">
        <v>37</v>
      </c>
      <c r="F742">
        <f>VLOOKUP(ORDERS[[#This Row],[ProductID]],Products[],4,FALSE)</f>
        <v>30</v>
      </c>
      <c r="G742">
        <v>0</v>
      </c>
      <c r="H742">
        <f>(ORDERS[[#This Row],[UnitsOrdered]]*ORDERS[[#This Row],[unit price]])-(ORDERS[[#This Row],[UnitsOrdered]]*ORDERS[[#This Row],[unit price]]*ORDERS[[#This Row],[Discount]])</f>
        <v>1110</v>
      </c>
      <c r="I742" t="str">
        <f>VLOOKUP(ORDERS[[#This Row],[CustomerID]],customers[],2,FALSE)</f>
        <v>A Shirts Life</v>
      </c>
      <c r="J742" s="2" t="str">
        <f>VLOOKUP(ORDERS[[#This Row],[CustomerID]],customers[],4,FALSE)</f>
        <v>Portland</v>
      </c>
      <c r="K742" s="2" t="str">
        <f>VLOOKUP(ORDERS[[#This Row],[ProductID]],Products[],3,FALSE)</f>
        <v>Both</v>
      </c>
      <c r="L742" s="2">
        <f>DAY(ORDERS[[#This Row],[OrderDate]])</f>
        <v>20</v>
      </c>
      <c r="M742" s="2">
        <f>YEAR(ORDERS[[#This Row],[OrderDate]])</f>
        <v>2013</v>
      </c>
    </row>
    <row r="743" spans="1:13" x14ac:dyDescent="0.3">
      <c r="A743">
        <v>742</v>
      </c>
      <c r="B743">
        <v>7</v>
      </c>
      <c r="C743">
        <v>3</v>
      </c>
      <c r="D743" s="1">
        <v>41507</v>
      </c>
      <c r="E743">
        <v>92</v>
      </c>
      <c r="F743">
        <f>VLOOKUP(ORDERS[[#This Row],[ProductID]],Products[],4,FALSE)</f>
        <v>22</v>
      </c>
      <c r="G743">
        <v>0</v>
      </c>
      <c r="H743">
        <f>(ORDERS[[#This Row],[UnitsOrdered]]*ORDERS[[#This Row],[unit price]])-(ORDERS[[#This Row],[UnitsOrdered]]*ORDERS[[#This Row],[unit price]]*ORDERS[[#This Row],[Discount]])</f>
        <v>2024</v>
      </c>
      <c r="I743" t="str">
        <f>VLOOKUP(ORDERS[[#This Row],[CustomerID]],customers[],2,FALSE)</f>
        <v>The Shirt on Your Back</v>
      </c>
      <c r="J743" s="2" t="str">
        <f>VLOOKUP(ORDERS[[#This Row],[CustomerID]],customers[],4,FALSE)</f>
        <v>Bonners Ferry</v>
      </c>
      <c r="K743" s="2" t="str">
        <f>VLOOKUP(ORDERS[[#This Row],[ProductID]],Products[],3,FALSE)</f>
        <v>Both</v>
      </c>
      <c r="L743" s="2">
        <f>DAY(ORDERS[[#This Row],[OrderDate]])</f>
        <v>21</v>
      </c>
      <c r="M743" s="2">
        <f>YEAR(ORDERS[[#This Row],[OrderDate]])</f>
        <v>2013</v>
      </c>
    </row>
    <row r="744" spans="1:13" x14ac:dyDescent="0.3">
      <c r="A744">
        <v>743</v>
      </c>
      <c r="B744">
        <v>1</v>
      </c>
      <c r="C744">
        <v>2</v>
      </c>
      <c r="D744" s="1">
        <v>41509</v>
      </c>
      <c r="E744">
        <v>98</v>
      </c>
      <c r="F744">
        <f>VLOOKUP(ORDERS[[#This Row],[ProductID]],Products[],4,FALSE)</f>
        <v>30</v>
      </c>
      <c r="G744">
        <v>0</v>
      </c>
      <c r="H744">
        <f>(ORDERS[[#This Row],[UnitsOrdered]]*ORDERS[[#This Row],[unit price]])-(ORDERS[[#This Row],[UnitsOrdered]]*ORDERS[[#This Row],[unit price]]*ORDERS[[#This Row],[Discount]])</f>
        <v>2940</v>
      </c>
      <c r="I744" t="str">
        <f>VLOOKUP(ORDERS[[#This Row],[CustomerID]],customers[],2,FALSE)</f>
        <v>Threads</v>
      </c>
      <c r="J744" s="2" t="str">
        <f>VLOOKUP(ORDERS[[#This Row],[CustomerID]],customers[],4,FALSE)</f>
        <v>Seattle</v>
      </c>
      <c r="K744" s="2" t="str">
        <f>VLOOKUP(ORDERS[[#This Row],[ProductID]],Products[],3,FALSE)</f>
        <v>Both</v>
      </c>
      <c r="L744" s="2">
        <f>DAY(ORDERS[[#This Row],[OrderDate]])</f>
        <v>23</v>
      </c>
      <c r="M744" s="2">
        <f>YEAR(ORDERS[[#This Row],[OrderDate]])</f>
        <v>2013</v>
      </c>
    </row>
    <row r="745" spans="1:13" x14ac:dyDescent="0.3">
      <c r="A745">
        <v>744</v>
      </c>
      <c r="B745">
        <v>1</v>
      </c>
      <c r="C745">
        <v>10</v>
      </c>
      <c r="D745" s="1">
        <v>41512</v>
      </c>
      <c r="E745">
        <v>104</v>
      </c>
      <c r="F745">
        <f>VLOOKUP(ORDERS[[#This Row],[ProductID]],Products[],4,FALSE)</f>
        <v>35</v>
      </c>
      <c r="G745">
        <v>0</v>
      </c>
      <c r="H745">
        <f>(ORDERS[[#This Row],[UnitsOrdered]]*ORDERS[[#This Row],[unit price]])-(ORDERS[[#This Row],[UnitsOrdered]]*ORDERS[[#This Row],[unit price]]*ORDERS[[#This Row],[Discount]])</f>
        <v>3640</v>
      </c>
      <c r="I745" t="str">
        <f>VLOOKUP(ORDERS[[#This Row],[CustomerID]],customers[],2,FALSE)</f>
        <v>Threads</v>
      </c>
      <c r="J745" s="2" t="str">
        <f>VLOOKUP(ORDERS[[#This Row],[CustomerID]],customers[],4,FALSE)</f>
        <v>Seattle</v>
      </c>
      <c r="K745" s="2" t="str">
        <f>VLOOKUP(ORDERS[[#This Row],[ProductID]],Products[],3,FALSE)</f>
        <v>Male</v>
      </c>
      <c r="L745" s="2">
        <f>DAY(ORDERS[[#This Row],[OrderDate]])</f>
        <v>26</v>
      </c>
      <c r="M745" s="2">
        <f>YEAR(ORDERS[[#This Row],[OrderDate]])</f>
        <v>2013</v>
      </c>
    </row>
    <row r="746" spans="1:13" x14ac:dyDescent="0.3">
      <c r="A746">
        <v>745</v>
      </c>
      <c r="B746">
        <v>3</v>
      </c>
      <c r="C746">
        <v>3</v>
      </c>
      <c r="D746" s="1">
        <v>41512</v>
      </c>
      <c r="E746">
        <v>87</v>
      </c>
      <c r="F746">
        <f>VLOOKUP(ORDERS[[#This Row],[ProductID]],Products[],4,FALSE)</f>
        <v>22</v>
      </c>
      <c r="G746">
        <v>0</v>
      </c>
      <c r="H746">
        <f>(ORDERS[[#This Row],[UnitsOrdered]]*ORDERS[[#This Row],[unit price]])-(ORDERS[[#This Row],[UnitsOrdered]]*ORDERS[[#This Row],[unit price]]*ORDERS[[#This Row],[Discount]])</f>
        <v>1914</v>
      </c>
      <c r="I746" t="str">
        <f>VLOOKUP(ORDERS[[#This Row],[CustomerID]],customers[],2,FALSE)</f>
        <v>Shirts R Us</v>
      </c>
      <c r="J746" s="2" t="str">
        <f>VLOOKUP(ORDERS[[#This Row],[CustomerID]],customers[],4,FALSE)</f>
        <v>Los Angeles</v>
      </c>
      <c r="K746" s="2" t="str">
        <f>VLOOKUP(ORDERS[[#This Row],[ProductID]],Products[],3,FALSE)</f>
        <v>Both</v>
      </c>
      <c r="L746" s="2">
        <f>DAY(ORDERS[[#This Row],[OrderDate]])</f>
        <v>26</v>
      </c>
      <c r="M746" s="2">
        <f>YEAR(ORDERS[[#This Row],[OrderDate]])</f>
        <v>2013</v>
      </c>
    </row>
    <row r="747" spans="1:13" x14ac:dyDescent="0.3">
      <c r="A747">
        <v>746</v>
      </c>
      <c r="B747">
        <v>1</v>
      </c>
      <c r="C747">
        <v>8</v>
      </c>
      <c r="D747" s="1">
        <v>41513</v>
      </c>
      <c r="E747">
        <v>132</v>
      </c>
      <c r="F747">
        <f>VLOOKUP(ORDERS[[#This Row],[ProductID]],Products[],4,FALSE)</f>
        <v>27</v>
      </c>
      <c r="G747">
        <v>0</v>
      </c>
      <c r="H747">
        <f>(ORDERS[[#This Row],[UnitsOrdered]]*ORDERS[[#This Row],[unit price]])-(ORDERS[[#This Row],[UnitsOrdered]]*ORDERS[[#This Row],[unit price]]*ORDERS[[#This Row],[Discount]])</f>
        <v>3564</v>
      </c>
      <c r="I747" t="str">
        <f>VLOOKUP(ORDERS[[#This Row],[CustomerID]],customers[],2,FALSE)</f>
        <v>Threads</v>
      </c>
      <c r="J747" s="2" t="str">
        <f>VLOOKUP(ORDERS[[#This Row],[CustomerID]],customers[],4,FALSE)</f>
        <v>Seattle</v>
      </c>
      <c r="K747" s="2" t="str">
        <f>VLOOKUP(ORDERS[[#This Row],[ProductID]],Products[],3,FALSE)</f>
        <v>Female</v>
      </c>
      <c r="L747" s="2">
        <f>DAY(ORDERS[[#This Row],[OrderDate]])</f>
        <v>27</v>
      </c>
      <c r="M747" s="2">
        <f>YEAR(ORDERS[[#This Row],[OrderDate]])</f>
        <v>2013</v>
      </c>
    </row>
    <row r="748" spans="1:13" x14ac:dyDescent="0.3">
      <c r="A748">
        <v>747</v>
      </c>
      <c r="B748">
        <v>6</v>
      </c>
      <c r="C748">
        <v>2</v>
      </c>
      <c r="D748" s="1">
        <v>41513</v>
      </c>
      <c r="E748">
        <v>133</v>
      </c>
      <c r="F748">
        <f>VLOOKUP(ORDERS[[#This Row],[ProductID]],Products[],4,FALSE)</f>
        <v>30</v>
      </c>
      <c r="G748">
        <v>0</v>
      </c>
      <c r="H748">
        <f>(ORDERS[[#This Row],[UnitsOrdered]]*ORDERS[[#This Row],[unit price]])-(ORDERS[[#This Row],[UnitsOrdered]]*ORDERS[[#This Row],[unit price]]*ORDERS[[#This Row],[Discount]])</f>
        <v>3990</v>
      </c>
      <c r="I748" t="str">
        <f>VLOOKUP(ORDERS[[#This Row],[CustomerID]],customers[],2,FALSE)</f>
        <v>Abracadaba Ink</v>
      </c>
      <c r="J748" s="2" t="str">
        <f>VLOOKUP(ORDERS[[#This Row],[CustomerID]],customers[],4,FALSE)</f>
        <v>Salt Lake City</v>
      </c>
      <c r="K748" s="2" t="str">
        <f>VLOOKUP(ORDERS[[#This Row],[ProductID]],Products[],3,FALSE)</f>
        <v>Both</v>
      </c>
      <c r="L748" s="2">
        <f>DAY(ORDERS[[#This Row],[OrderDate]])</f>
        <v>27</v>
      </c>
      <c r="M748" s="2">
        <f>YEAR(ORDERS[[#This Row],[OrderDate]])</f>
        <v>2013</v>
      </c>
    </row>
    <row r="749" spans="1:13" x14ac:dyDescent="0.3">
      <c r="A749">
        <v>748</v>
      </c>
      <c r="B749">
        <v>2</v>
      </c>
      <c r="C749">
        <v>8</v>
      </c>
      <c r="D749" s="1">
        <v>41514</v>
      </c>
      <c r="E749">
        <v>128</v>
      </c>
      <c r="F749">
        <f>VLOOKUP(ORDERS[[#This Row],[ProductID]],Products[],4,FALSE)</f>
        <v>27</v>
      </c>
      <c r="G749">
        <v>0</v>
      </c>
      <c r="H749">
        <f>(ORDERS[[#This Row],[UnitsOrdered]]*ORDERS[[#This Row],[unit price]])-(ORDERS[[#This Row],[UnitsOrdered]]*ORDERS[[#This Row],[unit price]]*ORDERS[[#This Row],[Discount]])</f>
        <v>3456</v>
      </c>
      <c r="I749" t="str">
        <f>VLOOKUP(ORDERS[[#This Row],[CustomerID]],customers[],2,FALSE)</f>
        <v>A Shirts Life</v>
      </c>
      <c r="J749" s="2" t="str">
        <f>VLOOKUP(ORDERS[[#This Row],[CustomerID]],customers[],4,FALSE)</f>
        <v>Portland</v>
      </c>
      <c r="K749" s="2" t="str">
        <f>VLOOKUP(ORDERS[[#This Row],[ProductID]],Products[],3,FALSE)</f>
        <v>Female</v>
      </c>
      <c r="L749" s="2">
        <f>DAY(ORDERS[[#This Row],[OrderDate]])</f>
        <v>28</v>
      </c>
      <c r="M749" s="2">
        <f>YEAR(ORDERS[[#This Row],[OrderDate]])</f>
        <v>2013</v>
      </c>
    </row>
    <row r="750" spans="1:13" x14ac:dyDescent="0.3">
      <c r="A750">
        <v>749</v>
      </c>
      <c r="B750">
        <v>3</v>
      </c>
      <c r="C750">
        <v>7</v>
      </c>
      <c r="D750" s="1">
        <v>41515</v>
      </c>
      <c r="E750">
        <v>110</v>
      </c>
      <c r="F750">
        <f>VLOOKUP(ORDERS[[#This Row],[ProductID]],Products[],4,FALSE)</f>
        <v>38</v>
      </c>
      <c r="G750">
        <v>0</v>
      </c>
      <c r="H750">
        <f>(ORDERS[[#This Row],[UnitsOrdered]]*ORDERS[[#This Row],[unit price]])-(ORDERS[[#This Row],[UnitsOrdered]]*ORDERS[[#This Row],[unit price]]*ORDERS[[#This Row],[Discount]])</f>
        <v>4180</v>
      </c>
      <c r="I750" t="str">
        <f>VLOOKUP(ORDERS[[#This Row],[CustomerID]],customers[],2,FALSE)</f>
        <v>Shirts R Us</v>
      </c>
      <c r="J750" s="2" t="str">
        <f>VLOOKUP(ORDERS[[#This Row],[CustomerID]],customers[],4,FALSE)</f>
        <v>Los Angeles</v>
      </c>
      <c r="K750" s="2" t="str">
        <f>VLOOKUP(ORDERS[[#This Row],[ProductID]],Products[],3,FALSE)</f>
        <v>Female</v>
      </c>
      <c r="L750" s="2">
        <f>DAY(ORDERS[[#This Row],[OrderDate]])</f>
        <v>29</v>
      </c>
      <c r="M750" s="2">
        <f>YEAR(ORDERS[[#This Row],[OrderDate]])</f>
        <v>2013</v>
      </c>
    </row>
    <row r="751" spans="1:13" x14ac:dyDescent="0.3">
      <c r="A751">
        <v>750</v>
      </c>
      <c r="B751">
        <v>5</v>
      </c>
      <c r="C751">
        <v>9</v>
      </c>
      <c r="D751" s="1">
        <v>41515</v>
      </c>
      <c r="E751">
        <v>95</v>
      </c>
      <c r="F751">
        <f>VLOOKUP(ORDERS[[#This Row],[ProductID]],Products[],4,FALSE)</f>
        <v>25</v>
      </c>
      <c r="G751">
        <v>0</v>
      </c>
      <c r="H751">
        <f>(ORDERS[[#This Row],[UnitsOrdered]]*ORDERS[[#This Row],[unit price]])-(ORDERS[[#This Row],[UnitsOrdered]]*ORDERS[[#This Row],[unit price]]*ORDERS[[#This Row],[Discount]])</f>
        <v>2375</v>
      </c>
      <c r="I751" t="str">
        <f>VLOOKUP(ORDERS[[#This Row],[CustomerID]],customers[],2,FALSE)</f>
        <v>Rags to Riches</v>
      </c>
      <c r="J751" s="2" t="str">
        <f>VLOOKUP(ORDERS[[#This Row],[CustomerID]],customers[],4,FALSE)</f>
        <v>Las Vegas</v>
      </c>
      <c r="K751" s="2" t="str">
        <f>VLOOKUP(ORDERS[[#This Row],[ProductID]],Products[],3,FALSE)</f>
        <v>Male</v>
      </c>
      <c r="L751" s="2">
        <f>DAY(ORDERS[[#This Row],[OrderDate]])</f>
        <v>29</v>
      </c>
      <c r="M751" s="2">
        <f>YEAR(ORDERS[[#This Row],[OrderDate]])</f>
        <v>2013</v>
      </c>
    </row>
    <row r="752" spans="1:13" x14ac:dyDescent="0.3">
      <c r="A752">
        <v>751</v>
      </c>
      <c r="B752">
        <v>4</v>
      </c>
      <c r="C752">
        <v>5</v>
      </c>
      <c r="D752" s="1">
        <v>41516</v>
      </c>
      <c r="E752">
        <v>68</v>
      </c>
      <c r="F752">
        <f>VLOOKUP(ORDERS[[#This Row],[ProductID]],Products[],4,FALSE)</f>
        <v>16</v>
      </c>
      <c r="G752">
        <v>0</v>
      </c>
      <c r="H752">
        <f>(ORDERS[[#This Row],[UnitsOrdered]]*ORDERS[[#This Row],[unit price]])-(ORDERS[[#This Row],[UnitsOrdered]]*ORDERS[[#This Row],[unit price]]*ORDERS[[#This Row],[Discount]])</f>
        <v>1088</v>
      </c>
      <c r="I752" t="str">
        <f>VLOOKUP(ORDERS[[#This Row],[CustomerID]],customers[],2,FALSE)</f>
        <v>Tshirt Unlimited</v>
      </c>
      <c r="J752" s="2" t="str">
        <f>VLOOKUP(ORDERS[[#This Row],[CustomerID]],customers[],4,FALSE)</f>
        <v>Phoenix</v>
      </c>
      <c r="K752" s="2" t="str">
        <f>VLOOKUP(ORDERS[[#This Row],[ProductID]],Products[],3,FALSE)</f>
        <v>Female</v>
      </c>
      <c r="L752" s="2">
        <f>DAY(ORDERS[[#This Row],[OrderDate]])</f>
        <v>30</v>
      </c>
      <c r="M752" s="2">
        <f>YEAR(ORDERS[[#This Row],[OrderDate]])</f>
        <v>2013</v>
      </c>
    </row>
    <row r="753" spans="1:13" x14ac:dyDescent="0.3">
      <c r="A753">
        <v>752</v>
      </c>
      <c r="B753">
        <v>6</v>
      </c>
      <c r="C753">
        <v>2</v>
      </c>
      <c r="D753" s="1">
        <v>41516</v>
      </c>
      <c r="E753">
        <v>98</v>
      </c>
      <c r="F753">
        <f>VLOOKUP(ORDERS[[#This Row],[ProductID]],Products[],4,FALSE)</f>
        <v>30</v>
      </c>
      <c r="G753">
        <v>0</v>
      </c>
      <c r="H753">
        <f>(ORDERS[[#This Row],[UnitsOrdered]]*ORDERS[[#This Row],[unit price]])-(ORDERS[[#This Row],[UnitsOrdered]]*ORDERS[[#This Row],[unit price]]*ORDERS[[#This Row],[Discount]])</f>
        <v>2940</v>
      </c>
      <c r="I753" t="str">
        <f>VLOOKUP(ORDERS[[#This Row],[CustomerID]],customers[],2,FALSE)</f>
        <v>Abracadaba Ink</v>
      </c>
      <c r="J753" s="2" t="str">
        <f>VLOOKUP(ORDERS[[#This Row],[CustomerID]],customers[],4,FALSE)</f>
        <v>Salt Lake City</v>
      </c>
      <c r="K753" s="2" t="str">
        <f>VLOOKUP(ORDERS[[#This Row],[ProductID]],Products[],3,FALSE)</f>
        <v>Both</v>
      </c>
      <c r="L753" s="2">
        <f>DAY(ORDERS[[#This Row],[OrderDate]])</f>
        <v>30</v>
      </c>
      <c r="M753" s="2">
        <f>YEAR(ORDERS[[#This Row],[OrderDate]])</f>
        <v>2013</v>
      </c>
    </row>
    <row r="754" spans="1:13" x14ac:dyDescent="0.3">
      <c r="A754">
        <v>753</v>
      </c>
      <c r="B754">
        <v>3</v>
      </c>
      <c r="C754">
        <v>1</v>
      </c>
      <c r="D754" s="1">
        <v>41517</v>
      </c>
      <c r="E754">
        <v>138</v>
      </c>
      <c r="F754">
        <f>VLOOKUP(ORDERS[[#This Row],[ProductID]],Products[],4,FALSE)</f>
        <v>20</v>
      </c>
      <c r="G754">
        <v>5.0000001000000002E-2</v>
      </c>
      <c r="H754">
        <f>(ORDERS[[#This Row],[UnitsOrdered]]*ORDERS[[#This Row],[unit price]])-(ORDERS[[#This Row],[UnitsOrdered]]*ORDERS[[#This Row],[unit price]]*ORDERS[[#This Row],[Discount]])</f>
        <v>2621.9999972400001</v>
      </c>
      <c r="I754" t="str">
        <f>VLOOKUP(ORDERS[[#This Row],[CustomerID]],customers[],2,FALSE)</f>
        <v>Shirts R Us</v>
      </c>
      <c r="J754" s="2" t="str">
        <f>VLOOKUP(ORDERS[[#This Row],[CustomerID]],customers[],4,FALSE)</f>
        <v>Los Angeles</v>
      </c>
      <c r="K754" s="2" t="str">
        <f>VLOOKUP(ORDERS[[#This Row],[ProductID]],Products[],3,FALSE)</f>
        <v>Both</v>
      </c>
      <c r="L754" s="2">
        <f>DAY(ORDERS[[#This Row],[OrderDate]])</f>
        <v>31</v>
      </c>
      <c r="M754" s="2">
        <f>YEAR(ORDERS[[#This Row],[OrderDate]])</f>
        <v>2013</v>
      </c>
    </row>
    <row r="755" spans="1:13" x14ac:dyDescent="0.3">
      <c r="A755">
        <v>754</v>
      </c>
      <c r="B755">
        <v>6</v>
      </c>
      <c r="C755">
        <v>7</v>
      </c>
      <c r="D755" s="1">
        <v>41518</v>
      </c>
      <c r="E755">
        <v>136</v>
      </c>
      <c r="F755">
        <f>VLOOKUP(ORDERS[[#This Row],[ProductID]],Products[],4,FALSE)</f>
        <v>38</v>
      </c>
      <c r="G755">
        <v>0</v>
      </c>
      <c r="H755">
        <f>(ORDERS[[#This Row],[UnitsOrdered]]*ORDERS[[#This Row],[unit price]])-(ORDERS[[#This Row],[UnitsOrdered]]*ORDERS[[#This Row],[unit price]]*ORDERS[[#This Row],[Discount]])</f>
        <v>5168</v>
      </c>
      <c r="I755" t="str">
        <f>VLOOKUP(ORDERS[[#This Row],[CustomerID]],customers[],2,FALSE)</f>
        <v>Abracadaba Ink</v>
      </c>
      <c r="J755" s="2" t="str">
        <f>VLOOKUP(ORDERS[[#This Row],[CustomerID]],customers[],4,FALSE)</f>
        <v>Salt Lake City</v>
      </c>
      <c r="K755" s="2" t="str">
        <f>VLOOKUP(ORDERS[[#This Row],[ProductID]],Products[],3,FALSE)</f>
        <v>Female</v>
      </c>
      <c r="L755" s="2">
        <f>DAY(ORDERS[[#This Row],[OrderDate]])</f>
        <v>1</v>
      </c>
      <c r="M755" s="2">
        <f>YEAR(ORDERS[[#This Row],[OrderDate]])</f>
        <v>2013</v>
      </c>
    </row>
    <row r="756" spans="1:13" x14ac:dyDescent="0.3">
      <c r="A756">
        <v>755</v>
      </c>
      <c r="B756">
        <v>1</v>
      </c>
      <c r="C756">
        <v>1</v>
      </c>
      <c r="D756" s="1">
        <v>41519</v>
      </c>
      <c r="E756">
        <v>34</v>
      </c>
      <c r="F756">
        <f>VLOOKUP(ORDERS[[#This Row],[ProductID]],Products[],4,FALSE)</f>
        <v>20</v>
      </c>
      <c r="G756">
        <v>0.15000000599999999</v>
      </c>
      <c r="H756">
        <f>(ORDERS[[#This Row],[UnitsOrdered]]*ORDERS[[#This Row],[unit price]])-(ORDERS[[#This Row],[UnitsOrdered]]*ORDERS[[#This Row],[unit price]]*ORDERS[[#This Row],[Discount]])</f>
        <v>577.99999591999995</v>
      </c>
      <c r="I756" t="str">
        <f>VLOOKUP(ORDERS[[#This Row],[CustomerID]],customers[],2,FALSE)</f>
        <v>Threads</v>
      </c>
      <c r="J756" s="2" t="str">
        <f>VLOOKUP(ORDERS[[#This Row],[CustomerID]],customers[],4,FALSE)</f>
        <v>Seattle</v>
      </c>
      <c r="K756" s="2" t="str">
        <f>VLOOKUP(ORDERS[[#This Row],[ProductID]],Products[],3,FALSE)</f>
        <v>Both</v>
      </c>
      <c r="L756" s="2">
        <f>DAY(ORDERS[[#This Row],[OrderDate]])</f>
        <v>2</v>
      </c>
      <c r="M756" s="2">
        <f>YEAR(ORDERS[[#This Row],[OrderDate]])</f>
        <v>2013</v>
      </c>
    </row>
    <row r="757" spans="1:13" x14ac:dyDescent="0.3">
      <c r="A757">
        <v>756</v>
      </c>
      <c r="B757">
        <v>1</v>
      </c>
      <c r="C757">
        <v>7</v>
      </c>
      <c r="D757" s="1">
        <v>41519</v>
      </c>
      <c r="E757">
        <v>135</v>
      </c>
      <c r="F757">
        <f>VLOOKUP(ORDERS[[#This Row],[ProductID]],Products[],4,FALSE)</f>
        <v>38</v>
      </c>
      <c r="G757">
        <v>0</v>
      </c>
      <c r="H757">
        <f>(ORDERS[[#This Row],[UnitsOrdered]]*ORDERS[[#This Row],[unit price]])-(ORDERS[[#This Row],[UnitsOrdered]]*ORDERS[[#This Row],[unit price]]*ORDERS[[#This Row],[Discount]])</f>
        <v>5130</v>
      </c>
      <c r="I757" t="str">
        <f>VLOOKUP(ORDERS[[#This Row],[CustomerID]],customers[],2,FALSE)</f>
        <v>Threads</v>
      </c>
      <c r="J757" s="2" t="str">
        <f>VLOOKUP(ORDERS[[#This Row],[CustomerID]],customers[],4,FALSE)</f>
        <v>Seattle</v>
      </c>
      <c r="K757" s="2" t="str">
        <f>VLOOKUP(ORDERS[[#This Row],[ProductID]],Products[],3,FALSE)</f>
        <v>Female</v>
      </c>
      <c r="L757" s="2">
        <f>DAY(ORDERS[[#This Row],[OrderDate]])</f>
        <v>2</v>
      </c>
      <c r="M757" s="2">
        <f>YEAR(ORDERS[[#This Row],[OrderDate]])</f>
        <v>2013</v>
      </c>
    </row>
    <row r="758" spans="1:13" x14ac:dyDescent="0.3">
      <c r="A758">
        <v>757</v>
      </c>
      <c r="B758">
        <v>6</v>
      </c>
      <c r="C758">
        <v>1</v>
      </c>
      <c r="D758" s="1">
        <v>41519</v>
      </c>
      <c r="E758">
        <v>35</v>
      </c>
      <c r="F758">
        <f>VLOOKUP(ORDERS[[#This Row],[ProductID]],Products[],4,FALSE)</f>
        <v>20</v>
      </c>
      <c r="G758">
        <v>0</v>
      </c>
      <c r="H758">
        <f>(ORDERS[[#This Row],[UnitsOrdered]]*ORDERS[[#This Row],[unit price]])-(ORDERS[[#This Row],[UnitsOrdered]]*ORDERS[[#This Row],[unit price]]*ORDERS[[#This Row],[Discount]])</f>
        <v>700</v>
      </c>
      <c r="I758" t="str">
        <f>VLOOKUP(ORDERS[[#This Row],[CustomerID]],customers[],2,FALSE)</f>
        <v>Abracadaba Ink</v>
      </c>
      <c r="J758" s="2" t="str">
        <f>VLOOKUP(ORDERS[[#This Row],[CustomerID]],customers[],4,FALSE)</f>
        <v>Salt Lake City</v>
      </c>
      <c r="K758" s="2" t="str">
        <f>VLOOKUP(ORDERS[[#This Row],[ProductID]],Products[],3,FALSE)</f>
        <v>Both</v>
      </c>
      <c r="L758" s="2">
        <f>DAY(ORDERS[[#This Row],[OrderDate]])</f>
        <v>2</v>
      </c>
      <c r="M758" s="2">
        <f>YEAR(ORDERS[[#This Row],[OrderDate]])</f>
        <v>2013</v>
      </c>
    </row>
    <row r="759" spans="1:13" x14ac:dyDescent="0.3">
      <c r="A759">
        <v>758</v>
      </c>
      <c r="B759">
        <v>3</v>
      </c>
      <c r="C759">
        <v>9</v>
      </c>
      <c r="D759" s="1">
        <v>41521</v>
      </c>
      <c r="E759">
        <v>109</v>
      </c>
      <c r="F759">
        <f>VLOOKUP(ORDERS[[#This Row],[ProductID]],Products[],4,FALSE)</f>
        <v>25</v>
      </c>
      <c r="G759">
        <v>0.15000000599999999</v>
      </c>
      <c r="H759">
        <f>(ORDERS[[#This Row],[UnitsOrdered]]*ORDERS[[#This Row],[unit price]])-(ORDERS[[#This Row],[UnitsOrdered]]*ORDERS[[#This Row],[unit price]]*ORDERS[[#This Row],[Discount]])</f>
        <v>2316.2499836500001</v>
      </c>
      <c r="I759" t="str">
        <f>VLOOKUP(ORDERS[[#This Row],[CustomerID]],customers[],2,FALSE)</f>
        <v>Shirts R Us</v>
      </c>
      <c r="J759" s="2" t="str">
        <f>VLOOKUP(ORDERS[[#This Row],[CustomerID]],customers[],4,FALSE)</f>
        <v>Los Angeles</v>
      </c>
      <c r="K759" s="2" t="str">
        <f>VLOOKUP(ORDERS[[#This Row],[ProductID]],Products[],3,FALSE)</f>
        <v>Male</v>
      </c>
      <c r="L759" s="2">
        <f>DAY(ORDERS[[#This Row],[OrderDate]])</f>
        <v>4</v>
      </c>
      <c r="M759" s="2">
        <f>YEAR(ORDERS[[#This Row],[OrderDate]])</f>
        <v>2013</v>
      </c>
    </row>
    <row r="760" spans="1:13" x14ac:dyDescent="0.3">
      <c r="A760">
        <v>759</v>
      </c>
      <c r="B760">
        <v>2</v>
      </c>
      <c r="C760">
        <v>7</v>
      </c>
      <c r="D760" s="1">
        <v>41522</v>
      </c>
      <c r="E760">
        <v>72</v>
      </c>
      <c r="F760">
        <f>VLOOKUP(ORDERS[[#This Row],[ProductID]],Products[],4,FALSE)</f>
        <v>38</v>
      </c>
      <c r="G760">
        <v>0</v>
      </c>
      <c r="H760">
        <f>(ORDERS[[#This Row],[UnitsOrdered]]*ORDERS[[#This Row],[unit price]])-(ORDERS[[#This Row],[UnitsOrdered]]*ORDERS[[#This Row],[unit price]]*ORDERS[[#This Row],[Discount]])</f>
        <v>2736</v>
      </c>
      <c r="I760" t="str">
        <f>VLOOKUP(ORDERS[[#This Row],[CustomerID]],customers[],2,FALSE)</f>
        <v>A Shirts Life</v>
      </c>
      <c r="J760" s="2" t="str">
        <f>VLOOKUP(ORDERS[[#This Row],[CustomerID]],customers[],4,FALSE)</f>
        <v>Portland</v>
      </c>
      <c r="K760" s="2" t="str">
        <f>VLOOKUP(ORDERS[[#This Row],[ProductID]],Products[],3,FALSE)</f>
        <v>Female</v>
      </c>
      <c r="L760" s="2">
        <f>DAY(ORDERS[[#This Row],[OrderDate]])</f>
        <v>5</v>
      </c>
      <c r="M760" s="2">
        <f>YEAR(ORDERS[[#This Row],[OrderDate]])</f>
        <v>2013</v>
      </c>
    </row>
    <row r="761" spans="1:13" x14ac:dyDescent="0.3">
      <c r="A761">
        <v>760</v>
      </c>
      <c r="B761">
        <v>7</v>
      </c>
      <c r="C761">
        <v>2</v>
      </c>
      <c r="D761" s="1">
        <v>41522</v>
      </c>
      <c r="E761">
        <v>77</v>
      </c>
      <c r="F761">
        <f>VLOOKUP(ORDERS[[#This Row],[ProductID]],Products[],4,FALSE)</f>
        <v>30</v>
      </c>
      <c r="G761">
        <v>0</v>
      </c>
      <c r="H761">
        <f>(ORDERS[[#This Row],[UnitsOrdered]]*ORDERS[[#This Row],[unit price]])-(ORDERS[[#This Row],[UnitsOrdered]]*ORDERS[[#This Row],[unit price]]*ORDERS[[#This Row],[Discount]])</f>
        <v>2310</v>
      </c>
      <c r="I761" t="str">
        <f>VLOOKUP(ORDERS[[#This Row],[CustomerID]],customers[],2,FALSE)</f>
        <v>The Shirt on Your Back</v>
      </c>
      <c r="J761" s="2" t="str">
        <f>VLOOKUP(ORDERS[[#This Row],[CustomerID]],customers[],4,FALSE)</f>
        <v>Bonners Ferry</v>
      </c>
      <c r="K761" s="2" t="str">
        <f>VLOOKUP(ORDERS[[#This Row],[ProductID]],Products[],3,FALSE)</f>
        <v>Both</v>
      </c>
      <c r="L761" s="2">
        <f>DAY(ORDERS[[#This Row],[OrderDate]])</f>
        <v>5</v>
      </c>
      <c r="M761" s="2">
        <f>YEAR(ORDERS[[#This Row],[OrderDate]])</f>
        <v>2013</v>
      </c>
    </row>
    <row r="762" spans="1:13" x14ac:dyDescent="0.3">
      <c r="A762">
        <v>761</v>
      </c>
      <c r="B762">
        <v>1</v>
      </c>
      <c r="C762">
        <v>2</v>
      </c>
      <c r="D762" s="1">
        <v>41524</v>
      </c>
      <c r="E762">
        <v>109</v>
      </c>
      <c r="F762">
        <f>VLOOKUP(ORDERS[[#This Row],[ProductID]],Products[],4,FALSE)</f>
        <v>30</v>
      </c>
      <c r="G762">
        <v>0</v>
      </c>
      <c r="H762">
        <f>(ORDERS[[#This Row],[UnitsOrdered]]*ORDERS[[#This Row],[unit price]])-(ORDERS[[#This Row],[UnitsOrdered]]*ORDERS[[#This Row],[unit price]]*ORDERS[[#This Row],[Discount]])</f>
        <v>3270</v>
      </c>
      <c r="I762" t="str">
        <f>VLOOKUP(ORDERS[[#This Row],[CustomerID]],customers[],2,FALSE)</f>
        <v>Threads</v>
      </c>
      <c r="J762" s="2" t="str">
        <f>VLOOKUP(ORDERS[[#This Row],[CustomerID]],customers[],4,FALSE)</f>
        <v>Seattle</v>
      </c>
      <c r="K762" s="2" t="str">
        <f>VLOOKUP(ORDERS[[#This Row],[ProductID]],Products[],3,FALSE)</f>
        <v>Both</v>
      </c>
      <c r="L762" s="2">
        <f>DAY(ORDERS[[#This Row],[OrderDate]])</f>
        <v>7</v>
      </c>
      <c r="M762" s="2">
        <f>YEAR(ORDERS[[#This Row],[OrderDate]])</f>
        <v>2013</v>
      </c>
    </row>
    <row r="763" spans="1:13" x14ac:dyDescent="0.3">
      <c r="A763">
        <v>762</v>
      </c>
      <c r="B763">
        <v>3</v>
      </c>
      <c r="C763">
        <v>7</v>
      </c>
      <c r="D763" s="1">
        <v>41524</v>
      </c>
      <c r="E763">
        <v>67</v>
      </c>
      <c r="F763">
        <f>VLOOKUP(ORDERS[[#This Row],[ProductID]],Products[],4,FALSE)</f>
        <v>38</v>
      </c>
      <c r="G763">
        <v>0</v>
      </c>
      <c r="H763">
        <f>(ORDERS[[#This Row],[UnitsOrdered]]*ORDERS[[#This Row],[unit price]])-(ORDERS[[#This Row],[UnitsOrdered]]*ORDERS[[#This Row],[unit price]]*ORDERS[[#This Row],[Discount]])</f>
        <v>2546</v>
      </c>
      <c r="I763" t="str">
        <f>VLOOKUP(ORDERS[[#This Row],[CustomerID]],customers[],2,FALSE)</f>
        <v>Shirts R Us</v>
      </c>
      <c r="J763" s="2" t="str">
        <f>VLOOKUP(ORDERS[[#This Row],[CustomerID]],customers[],4,FALSE)</f>
        <v>Los Angeles</v>
      </c>
      <c r="K763" s="2" t="str">
        <f>VLOOKUP(ORDERS[[#This Row],[ProductID]],Products[],3,FALSE)</f>
        <v>Female</v>
      </c>
      <c r="L763" s="2">
        <f>DAY(ORDERS[[#This Row],[OrderDate]])</f>
        <v>7</v>
      </c>
      <c r="M763" s="2">
        <f>YEAR(ORDERS[[#This Row],[OrderDate]])</f>
        <v>2013</v>
      </c>
    </row>
    <row r="764" spans="1:13" x14ac:dyDescent="0.3">
      <c r="A764">
        <v>763</v>
      </c>
      <c r="B764">
        <v>7</v>
      </c>
      <c r="C764">
        <v>5</v>
      </c>
      <c r="D764" s="1">
        <v>41524</v>
      </c>
      <c r="E764">
        <v>56</v>
      </c>
      <c r="F764">
        <f>VLOOKUP(ORDERS[[#This Row],[ProductID]],Products[],4,FALSE)</f>
        <v>16</v>
      </c>
      <c r="G764">
        <v>0</v>
      </c>
      <c r="H764">
        <f>(ORDERS[[#This Row],[UnitsOrdered]]*ORDERS[[#This Row],[unit price]])-(ORDERS[[#This Row],[UnitsOrdered]]*ORDERS[[#This Row],[unit price]]*ORDERS[[#This Row],[Discount]])</f>
        <v>896</v>
      </c>
      <c r="I764" t="str">
        <f>VLOOKUP(ORDERS[[#This Row],[CustomerID]],customers[],2,FALSE)</f>
        <v>The Shirt on Your Back</v>
      </c>
      <c r="J764" s="2" t="str">
        <f>VLOOKUP(ORDERS[[#This Row],[CustomerID]],customers[],4,FALSE)</f>
        <v>Bonners Ferry</v>
      </c>
      <c r="K764" s="2" t="str">
        <f>VLOOKUP(ORDERS[[#This Row],[ProductID]],Products[],3,FALSE)</f>
        <v>Female</v>
      </c>
      <c r="L764" s="2">
        <f>DAY(ORDERS[[#This Row],[OrderDate]])</f>
        <v>7</v>
      </c>
      <c r="M764" s="2">
        <f>YEAR(ORDERS[[#This Row],[OrderDate]])</f>
        <v>2013</v>
      </c>
    </row>
    <row r="765" spans="1:13" x14ac:dyDescent="0.3">
      <c r="A765">
        <v>764</v>
      </c>
      <c r="B765">
        <v>1</v>
      </c>
      <c r="C765">
        <v>8</v>
      </c>
      <c r="D765" s="1">
        <v>41526</v>
      </c>
      <c r="E765">
        <v>49</v>
      </c>
      <c r="F765">
        <f>VLOOKUP(ORDERS[[#This Row],[ProductID]],Products[],4,FALSE)</f>
        <v>27</v>
      </c>
      <c r="G765">
        <v>0</v>
      </c>
      <c r="H765">
        <f>(ORDERS[[#This Row],[UnitsOrdered]]*ORDERS[[#This Row],[unit price]])-(ORDERS[[#This Row],[UnitsOrdered]]*ORDERS[[#This Row],[unit price]]*ORDERS[[#This Row],[Discount]])</f>
        <v>1323</v>
      </c>
      <c r="I765" t="str">
        <f>VLOOKUP(ORDERS[[#This Row],[CustomerID]],customers[],2,FALSE)</f>
        <v>Threads</v>
      </c>
      <c r="J765" s="2" t="str">
        <f>VLOOKUP(ORDERS[[#This Row],[CustomerID]],customers[],4,FALSE)</f>
        <v>Seattle</v>
      </c>
      <c r="K765" s="2" t="str">
        <f>VLOOKUP(ORDERS[[#This Row],[ProductID]],Products[],3,FALSE)</f>
        <v>Female</v>
      </c>
      <c r="L765" s="2">
        <f>DAY(ORDERS[[#This Row],[OrderDate]])</f>
        <v>9</v>
      </c>
      <c r="M765" s="2">
        <f>YEAR(ORDERS[[#This Row],[OrderDate]])</f>
        <v>2013</v>
      </c>
    </row>
    <row r="766" spans="1:13" x14ac:dyDescent="0.3">
      <c r="A766">
        <v>765</v>
      </c>
      <c r="B766">
        <v>4</v>
      </c>
      <c r="C766">
        <v>6</v>
      </c>
      <c r="D766" s="1">
        <v>41526</v>
      </c>
      <c r="E766">
        <v>127</v>
      </c>
      <c r="F766">
        <f>VLOOKUP(ORDERS[[#This Row],[ProductID]],Products[],4,FALSE)</f>
        <v>28</v>
      </c>
      <c r="G766">
        <v>0</v>
      </c>
      <c r="H766">
        <f>(ORDERS[[#This Row],[UnitsOrdered]]*ORDERS[[#This Row],[unit price]])-(ORDERS[[#This Row],[UnitsOrdered]]*ORDERS[[#This Row],[unit price]]*ORDERS[[#This Row],[Discount]])</f>
        <v>3556</v>
      </c>
      <c r="I766" t="str">
        <f>VLOOKUP(ORDERS[[#This Row],[CustomerID]],customers[],2,FALSE)</f>
        <v>Tshirt Unlimited</v>
      </c>
      <c r="J766" s="2" t="str">
        <f>VLOOKUP(ORDERS[[#This Row],[CustomerID]],customers[],4,FALSE)</f>
        <v>Phoenix</v>
      </c>
      <c r="K766" s="2" t="str">
        <f>VLOOKUP(ORDERS[[#This Row],[ProductID]],Products[],3,FALSE)</f>
        <v>Female</v>
      </c>
      <c r="L766" s="2">
        <f>DAY(ORDERS[[#This Row],[OrderDate]])</f>
        <v>9</v>
      </c>
      <c r="M766" s="2">
        <f>YEAR(ORDERS[[#This Row],[OrderDate]])</f>
        <v>2013</v>
      </c>
    </row>
    <row r="767" spans="1:13" x14ac:dyDescent="0.3">
      <c r="A767">
        <v>766</v>
      </c>
      <c r="B767">
        <v>4</v>
      </c>
      <c r="C767">
        <v>9</v>
      </c>
      <c r="D767" s="1">
        <v>41526</v>
      </c>
      <c r="E767">
        <v>127</v>
      </c>
      <c r="F767">
        <f>VLOOKUP(ORDERS[[#This Row],[ProductID]],Products[],4,FALSE)</f>
        <v>25</v>
      </c>
      <c r="G767">
        <v>5.0000001000000002E-2</v>
      </c>
      <c r="H767">
        <f>(ORDERS[[#This Row],[UnitsOrdered]]*ORDERS[[#This Row],[unit price]])-(ORDERS[[#This Row],[UnitsOrdered]]*ORDERS[[#This Row],[unit price]]*ORDERS[[#This Row],[Discount]])</f>
        <v>3016.2499968249999</v>
      </c>
      <c r="I767" t="str">
        <f>VLOOKUP(ORDERS[[#This Row],[CustomerID]],customers[],2,FALSE)</f>
        <v>Tshirt Unlimited</v>
      </c>
      <c r="J767" s="2" t="str">
        <f>VLOOKUP(ORDERS[[#This Row],[CustomerID]],customers[],4,FALSE)</f>
        <v>Phoenix</v>
      </c>
      <c r="K767" s="2" t="str">
        <f>VLOOKUP(ORDERS[[#This Row],[ProductID]],Products[],3,FALSE)</f>
        <v>Male</v>
      </c>
      <c r="L767" s="2">
        <f>DAY(ORDERS[[#This Row],[OrderDate]])</f>
        <v>9</v>
      </c>
      <c r="M767" s="2">
        <f>YEAR(ORDERS[[#This Row],[OrderDate]])</f>
        <v>2013</v>
      </c>
    </row>
    <row r="768" spans="1:13" x14ac:dyDescent="0.3">
      <c r="A768">
        <v>767</v>
      </c>
      <c r="B768">
        <v>3</v>
      </c>
      <c r="C768">
        <v>10</v>
      </c>
      <c r="D768" s="1">
        <v>41527</v>
      </c>
      <c r="E768">
        <v>104</v>
      </c>
      <c r="F768">
        <f>VLOOKUP(ORDERS[[#This Row],[ProductID]],Products[],4,FALSE)</f>
        <v>35</v>
      </c>
      <c r="G768">
        <v>0</v>
      </c>
      <c r="H768">
        <f>(ORDERS[[#This Row],[UnitsOrdered]]*ORDERS[[#This Row],[unit price]])-(ORDERS[[#This Row],[UnitsOrdered]]*ORDERS[[#This Row],[unit price]]*ORDERS[[#This Row],[Discount]])</f>
        <v>3640</v>
      </c>
      <c r="I768" t="str">
        <f>VLOOKUP(ORDERS[[#This Row],[CustomerID]],customers[],2,FALSE)</f>
        <v>Shirts R Us</v>
      </c>
      <c r="J768" s="2" t="str">
        <f>VLOOKUP(ORDERS[[#This Row],[CustomerID]],customers[],4,FALSE)</f>
        <v>Los Angeles</v>
      </c>
      <c r="K768" s="2" t="str">
        <f>VLOOKUP(ORDERS[[#This Row],[ProductID]],Products[],3,FALSE)</f>
        <v>Male</v>
      </c>
      <c r="L768" s="2">
        <f>DAY(ORDERS[[#This Row],[OrderDate]])</f>
        <v>10</v>
      </c>
      <c r="M768" s="2">
        <f>YEAR(ORDERS[[#This Row],[OrderDate]])</f>
        <v>2013</v>
      </c>
    </row>
    <row r="769" spans="1:13" x14ac:dyDescent="0.3">
      <c r="A769">
        <v>768</v>
      </c>
      <c r="B769">
        <v>7</v>
      </c>
      <c r="C769">
        <v>5</v>
      </c>
      <c r="D769" s="1">
        <v>41527</v>
      </c>
      <c r="E769">
        <v>96</v>
      </c>
      <c r="F769">
        <f>VLOOKUP(ORDERS[[#This Row],[ProductID]],Products[],4,FALSE)</f>
        <v>16</v>
      </c>
      <c r="G769">
        <v>0</v>
      </c>
      <c r="H769">
        <f>(ORDERS[[#This Row],[UnitsOrdered]]*ORDERS[[#This Row],[unit price]])-(ORDERS[[#This Row],[UnitsOrdered]]*ORDERS[[#This Row],[unit price]]*ORDERS[[#This Row],[Discount]])</f>
        <v>1536</v>
      </c>
      <c r="I769" t="str">
        <f>VLOOKUP(ORDERS[[#This Row],[CustomerID]],customers[],2,FALSE)</f>
        <v>The Shirt on Your Back</v>
      </c>
      <c r="J769" s="2" t="str">
        <f>VLOOKUP(ORDERS[[#This Row],[CustomerID]],customers[],4,FALSE)</f>
        <v>Bonners Ferry</v>
      </c>
      <c r="K769" s="2" t="str">
        <f>VLOOKUP(ORDERS[[#This Row],[ProductID]],Products[],3,FALSE)</f>
        <v>Female</v>
      </c>
      <c r="L769" s="2">
        <f>DAY(ORDERS[[#This Row],[OrderDate]])</f>
        <v>10</v>
      </c>
      <c r="M769" s="2">
        <f>YEAR(ORDERS[[#This Row],[OrderDate]])</f>
        <v>2013</v>
      </c>
    </row>
    <row r="770" spans="1:13" x14ac:dyDescent="0.3">
      <c r="A770">
        <v>769</v>
      </c>
      <c r="B770">
        <v>7</v>
      </c>
      <c r="C770">
        <v>6</v>
      </c>
      <c r="D770" s="1">
        <v>41528</v>
      </c>
      <c r="E770">
        <v>61</v>
      </c>
      <c r="F770">
        <f>VLOOKUP(ORDERS[[#This Row],[ProductID]],Products[],4,FALSE)</f>
        <v>28</v>
      </c>
      <c r="G770">
        <v>0</v>
      </c>
      <c r="H770">
        <f>(ORDERS[[#This Row],[UnitsOrdered]]*ORDERS[[#This Row],[unit price]])-(ORDERS[[#This Row],[UnitsOrdered]]*ORDERS[[#This Row],[unit price]]*ORDERS[[#This Row],[Discount]])</f>
        <v>1708</v>
      </c>
      <c r="I770" t="str">
        <f>VLOOKUP(ORDERS[[#This Row],[CustomerID]],customers[],2,FALSE)</f>
        <v>The Shirt on Your Back</v>
      </c>
      <c r="J770" s="2" t="str">
        <f>VLOOKUP(ORDERS[[#This Row],[CustomerID]],customers[],4,FALSE)</f>
        <v>Bonners Ferry</v>
      </c>
      <c r="K770" s="2" t="str">
        <f>VLOOKUP(ORDERS[[#This Row],[ProductID]],Products[],3,FALSE)</f>
        <v>Female</v>
      </c>
      <c r="L770" s="2">
        <f>DAY(ORDERS[[#This Row],[OrderDate]])</f>
        <v>11</v>
      </c>
      <c r="M770" s="2">
        <f>YEAR(ORDERS[[#This Row],[OrderDate]])</f>
        <v>2013</v>
      </c>
    </row>
    <row r="771" spans="1:13" x14ac:dyDescent="0.3">
      <c r="A771">
        <v>770</v>
      </c>
      <c r="B771">
        <v>1</v>
      </c>
      <c r="C771">
        <v>5</v>
      </c>
      <c r="D771" s="1">
        <v>41529</v>
      </c>
      <c r="E771">
        <v>89</v>
      </c>
      <c r="F771">
        <f>VLOOKUP(ORDERS[[#This Row],[ProductID]],Products[],4,FALSE)</f>
        <v>16</v>
      </c>
      <c r="G771">
        <v>0</v>
      </c>
      <c r="H771">
        <f>(ORDERS[[#This Row],[UnitsOrdered]]*ORDERS[[#This Row],[unit price]])-(ORDERS[[#This Row],[UnitsOrdered]]*ORDERS[[#This Row],[unit price]]*ORDERS[[#This Row],[Discount]])</f>
        <v>1424</v>
      </c>
      <c r="I771" t="str">
        <f>VLOOKUP(ORDERS[[#This Row],[CustomerID]],customers[],2,FALSE)</f>
        <v>Threads</v>
      </c>
      <c r="J771" s="2" t="str">
        <f>VLOOKUP(ORDERS[[#This Row],[CustomerID]],customers[],4,FALSE)</f>
        <v>Seattle</v>
      </c>
      <c r="K771" s="2" t="str">
        <f>VLOOKUP(ORDERS[[#This Row],[ProductID]],Products[],3,FALSE)</f>
        <v>Female</v>
      </c>
      <c r="L771" s="2">
        <f>DAY(ORDERS[[#This Row],[OrderDate]])</f>
        <v>12</v>
      </c>
      <c r="M771" s="2">
        <f>YEAR(ORDERS[[#This Row],[OrderDate]])</f>
        <v>2013</v>
      </c>
    </row>
    <row r="772" spans="1:13" x14ac:dyDescent="0.3">
      <c r="A772">
        <v>771</v>
      </c>
      <c r="B772">
        <v>7</v>
      </c>
      <c r="C772">
        <v>9</v>
      </c>
      <c r="D772" s="1">
        <v>41530</v>
      </c>
      <c r="E772">
        <v>78</v>
      </c>
      <c r="F772">
        <f>VLOOKUP(ORDERS[[#This Row],[ProductID]],Products[],4,FALSE)</f>
        <v>25</v>
      </c>
      <c r="G772">
        <v>0</v>
      </c>
      <c r="H772">
        <f>(ORDERS[[#This Row],[UnitsOrdered]]*ORDERS[[#This Row],[unit price]])-(ORDERS[[#This Row],[UnitsOrdered]]*ORDERS[[#This Row],[unit price]]*ORDERS[[#This Row],[Discount]])</f>
        <v>1950</v>
      </c>
      <c r="I772" t="str">
        <f>VLOOKUP(ORDERS[[#This Row],[CustomerID]],customers[],2,FALSE)</f>
        <v>The Shirt on Your Back</v>
      </c>
      <c r="J772" s="2" t="str">
        <f>VLOOKUP(ORDERS[[#This Row],[CustomerID]],customers[],4,FALSE)</f>
        <v>Bonners Ferry</v>
      </c>
      <c r="K772" s="2" t="str">
        <f>VLOOKUP(ORDERS[[#This Row],[ProductID]],Products[],3,FALSE)</f>
        <v>Male</v>
      </c>
      <c r="L772" s="2">
        <f>DAY(ORDERS[[#This Row],[OrderDate]])</f>
        <v>13</v>
      </c>
      <c r="M772" s="2">
        <f>YEAR(ORDERS[[#This Row],[OrderDate]])</f>
        <v>2013</v>
      </c>
    </row>
    <row r="773" spans="1:13" x14ac:dyDescent="0.3">
      <c r="A773">
        <v>772</v>
      </c>
      <c r="B773">
        <v>2</v>
      </c>
      <c r="C773">
        <v>2</v>
      </c>
      <c r="D773" s="1">
        <v>41535</v>
      </c>
      <c r="E773">
        <v>64</v>
      </c>
      <c r="F773">
        <f>VLOOKUP(ORDERS[[#This Row],[ProductID]],Products[],4,FALSE)</f>
        <v>30</v>
      </c>
      <c r="G773">
        <v>0</v>
      </c>
      <c r="H773">
        <f>(ORDERS[[#This Row],[UnitsOrdered]]*ORDERS[[#This Row],[unit price]])-(ORDERS[[#This Row],[UnitsOrdered]]*ORDERS[[#This Row],[unit price]]*ORDERS[[#This Row],[Discount]])</f>
        <v>1920</v>
      </c>
      <c r="I773" t="str">
        <f>VLOOKUP(ORDERS[[#This Row],[CustomerID]],customers[],2,FALSE)</f>
        <v>A Shirts Life</v>
      </c>
      <c r="J773" s="2" t="str">
        <f>VLOOKUP(ORDERS[[#This Row],[CustomerID]],customers[],4,FALSE)</f>
        <v>Portland</v>
      </c>
      <c r="K773" s="2" t="str">
        <f>VLOOKUP(ORDERS[[#This Row],[ProductID]],Products[],3,FALSE)</f>
        <v>Both</v>
      </c>
      <c r="L773" s="2">
        <f>DAY(ORDERS[[#This Row],[OrderDate]])</f>
        <v>18</v>
      </c>
      <c r="M773" s="2">
        <f>YEAR(ORDERS[[#This Row],[OrderDate]])</f>
        <v>2013</v>
      </c>
    </row>
    <row r="774" spans="1:13" x14ac:dyDescent="0.3">
      <c r="A774">
        <v>773</v>
      </c>
      <c r="B774">
        <v>7</v>
      </c>
      <c r="C774">
        <v>3</v>
      </c>
      <c r="D774" s="1">
        <v>41535</v>
      </c>
      <c r="E774">
        <v>124</v>
      </c>
      <c r="F774">
        <f>VLOOKUP(ORDERS[[#This Row],[ProductID]],Products[],4,FALSE)</f>
        <v>22</v>
      </c>
      <c r="G774">
        <v>0</v>
      </c>
      <c r="H774">
        <f>(ORDERS[[#This Row],[UnitsOrdered]]*ORDERS[[#This Row],[unit price]])-(ORDERS[[#This Row],[UnitsOrdered]]*ORDERS[[#This Row],[unit price]]*ORDERS[[#This Row],[Discount]])</f>
        <v>2728</v>
      </c>
      <c r="I774" t="str">
        <f>VLOOKUP(ORDERS[[#This Row],[CustomerID]],customers[],2,FALSE)</f>
        <v>The Shirt on Your Back</v>
      </c>
      <c r="J774" s="2" t="str">
        <f>VLOOKUP(ORDERS[[#This Row],[CustomerID]],customers[],4,FALSE)</f>
        <v>Bonners Ferry</v>
      </c>
      <c r="K774" s="2" t="str">
        <f>VLOOKUP(ORDERS[[#This Row],[ProductID]],Products[],3,FALSE)</f>
        <v>Both</v>
      </c>
      <c r="L774" s="2">
        <f>DAY(ORDERS[[#This Row],[OrderDate]])</f>
        <v>18</v>
      </c>
      <c r="M774" s="2">
        <f>YEAR(ORDERS[[#This Row],[OrderDate]])</f>
        <v>2013</v>
      </c>
    </row>
    <row r="775" spans="1:13" x14ac:dyDescent="0.3">
      <c r="A775">
        <v>774</v>
      </c>
      <c r="B775">
        <v>3</v>
      </c>
      <c r="C775">
        <v>5</v>
      </c>
      <c r="D775" s="1">
        <v>41536</v>
      </c>
      <c r="E775">
        <v>27</v>
      </c>
      <c r="F775">
        <f>VLOOKUP(ORDERS[[#This Row],[ProductID]],Products[],4,FALSE)</f>
        <v>16</v>
      </c>
      <c r="G775">
        <v>0</v>
      </c>
      <c r="H775">
        <f>(ORDERS[[#This Row],[UnitsOrdered]]*ORDERS[[#This Row],[unit price]])-(ORDERS[[#This Row],[UnitsOrdered]]*ORDERS[[#This Row],[unit price]]*ORDERS[[#This Row],[Discount]])</f>
        <v>432</v>
      </c>
      <c r="I775" t="str">
        <f>VLOOKUP(ORDERS[[#This Row],[CustomerID]],customers[],2,FALSE)</f>
        <v>Shirts R Us</v>
      </c>
      <c r="J775" s="2" t="str">
        <f>VLOOKUP(ORDERS[[#This Row],[CustomerID]],customers[],4,FALSE)</f>
        <v>Los Angeles</v>
      </c>
      <c r="K775" s="2" t="str">
        <f>VLOOKUP(ORDERS[[#This Row],[ProductID]],Products[],3,FALSE)</f>
        <v>Female</v>
      </c>
      <c r="L775" s="2">
        <f>DAY(ORDERS[[#This Row],[OrderDate]])</f>
        <v>19</v>
      </c>
      <c r="M775" s="2">
        <f>YEAR(ORDERS[[#This Row],[OrderDate]])</f>
        <v>2013</v>
      </c>
    </row>
    <row r="776" spans="1:13" x14ac:dyDescent="0.3">
      <c r="A776">
        <v>775</v>
      </c>
      <c r="B776">
        <v>7</v>
      </c>
      <c r="C776">
        <v>10</v>
      </c>
      <c r="D776" s="1">
        <v>41536</v>
      </c>
      <c r="E776">
        <v>149</v>
      </c>
      <c r="F776">
        <f>VLOOKUP(ORDERS[[#This Row],[ProductID]],Products[],4,FALSE)</f>
        <v>35</v>
      </c>
      <c r="G776">
        <v>0</v>
      </c>
      <c r="H776">
        <f>(ORDERS[[#This Row],[UnitsOrdered]]*ORDERS[[#This Row],[unit price]])-(ORDERS[[#This Row],[UnitsOrdered]]*ORDERS[[#This Row],[unit price]]*ORDERS[[#This Row],[Discount]])</f>
        <v>5215</v>
      </c>
      <c r="I776" t="str">
        <f>VLOOKUP(ORDERS[[#This Row],[CustomerID]],customers[],2,FALSE)</f>
        <v>The Shirt on Your Back</v>
      </c>
      <c r="J776" s="2" t="str">
        <f>VLOOKUP(ORDERS[[#This Row],[CustomerID]],customers[],4,FALSE)</f>
        <v>Bonners Ferry</v>
      </c>
      <c r="K776" s="2" t="str">
        <f>VLOOKUP(ORDERS[[#This Row],[ProductID]],Products[],3,FALSE)</f>
        <v>Male</v>
      </c>
      <c r="L776" s="2">
        <f>DAY(ORDERS[[#This Row],[OrderDate]])</f>
        <v>19</v>
      </c>
      <c r="M776" s="2">
        <f>YEAR(ORDERS[[#This Row],[OrderDate]])</f>
        <v>2013</v>
      </c>
    </row>
    <row r="777" spans="1:13" x14ac:dyDescent="0.3">
      <c r="A777">
        <v>776</v>
      </c>
      <c r="B777">
        <v>1</v>
      </c>
      <c r="C777">
        <v>7</v>
      </c>
      <c r="D777" s="1">
        <v>41537</v>
      </c>
      <c r="E777">
        <v>71</v>
      </c>
      <c r="F777">
        <f>VLOOKUP(ORDERS[[#This Row],[ProductID]],Products[],4,FALSE)</f>
        <v>38</v>
      </c>
      <c r="G777">
        <v>0.10000000100000001</v>
      </c>
      <c r="H777">
        <f>(ORDERS[[#This Row],[UnitsOrdered]]*ORDERS[[#This Row],[unit price]])-(ORDERS[[#This Row],[UnitsOrdered]]*ORDERS[[#This Row],[unit price]]*ORDERS[[#This Row],[Discount]])</f>
        <v>2428.1999973020002</v>
      </c>
      <c r="I777" t="str">
        <f>VLOOKUP(ORDERS[[#This Row],[CustomerID]],customers[],2,FALSE)</f>
        <v>Threads</v>
      </c>
      <c r="J777" s="2" t="str">
        <f>VLOOKUP(ORDERS[[#This Row],[CustomerID]],customers[],4,FALSE)</f>
        <v>Seattle</v>
      </c>
      <c r="K777" s="2" t="str">
        <f>VLOOKUP(ORDERS[[#This Row],[ProductID]],Products[],3,FALSE)</f>
        <v>Female</v>
      </c>
      <c r="L777" s="2">
        <f>DAY(ORDERS[[#This Row],[OrderDate]])</f>
        <v>20</v>
      </c>
      <c r="M777" s="2">
        <f>YEAR(ORDERS[[#This Row],[OrderDate]])</f>
        <v>2013</v>
      </c>
    </row>
    <row r="778" spans="1:13" x14ac:dyDescent="0.3">
      <c r="A778">
        <v>777</v>
      </c>
      <c r="B778">
        <v>6</v>
      </c>
      <c r="C778">
        <v>6</v>
      </c>
      <c r="D778" s="1">
        <v>41537</v>
      </c>
      <c r="E778">
        <v>101</v>
      </c>
      <c r="F778">
        <f>VLOOKUP(ORDERS[[#This Row],[ProductID]],Products[],4,FALSE)</f>
        <v>28</v>
      </c>
      <c r="G778">
        <v>0</v>
      </c>
      <c r="H778">
        <f>(ORDERS[[#This Row],[UnitsOrdered]]*ORDERS[[#This Row],[unit price]])-(ORDERS[[#This Row],[UnitsOrdered]]*ORDERS[[#This Row],[unit price]]*ORDERS[[#This Row],[Discount]])</f>
        <v>2828</v>
      </c>
      <c r="I778" t="str">
        <f>VLOOKUP(ORDERS[[#This Row],[CustomerID]],customers[],2,FALSE)</f>
        <v>Abracadaba Ink</v>
      </c>
      <c r="J778" s="2" t="str">
        <f>VLOOKUP(ORDERS[[#This Row],[CustomerID]],customers[],4,FALSE)</f>
        <v>Salt Lake City</v>
      </c>
      <c r="K778" s="2" t="str">
        <f>VLOOKUP(ORDERS[[#This Row],[ProductID]],Products[],3,FALSE)</f>
        <v>Female</v>
      </c>
      <c r="L778" s="2">
        <f>DAY(ORDERS[[#This Row],[OrderDate]])</f>
        <v>20</v>
      </c>
      <c r="M778" s="2">
        <f>YEAR(ORDERS[[#This Row],[OrderDate]])</f>
        <v>2013</v>
      </c>
    </row>
    <row r="779" spans="1:13" x14ac:dyDescent="0.3">
      <c r="A779">
        <v>778</v>
      </c>
      <c r="B779">
        <v>7</v>
      </c>
      <c r="C779">
        <v>6</v>
      </c>
      <c r="D779" s="1">
        <v>41537</v>
      </c>
      <c r="E779">
        <v>129</v>
      </c>
      <c r="F779">
        <f>VLOOKUP(ORDERS[[#This Row],[ProductID]],Products[],4,FALSE)</f>
        <v>28</v>
      </c>
      <c r="G779">
        <v>0.10000000100000001</v>
      </c>
      <c r="H779">
        <f>(ORDERS[[#This Row],[UnitsOrdered]]*ORDERS[[#This Row],[unit price]])-(ORDERS[[#This Row],[UnitsOrdered]]*ORDERS[[#This Row],[unit price]]*ORDERS[[#This Row],[Discount]])</f>
        <v>3250.7999963880002</v>
      </c>
      <c r="I779" t="str">
        <f>VLOOKUP(ORDERS[[#This Row],[CustomerID]],customers[],2,FALSE)</f>
        <v>The Shirt on Your Back</v>
      </c>
      <c r="J779" s="2" t="str">
        <f>VLOOKUP(ORDERS[[#This Row],[CustomerID]],customers[],4,FALSE)</f>
        <v>Bonners Ferry</v>
      </c>
      <c r="K779" s="2" t="str">
        <f>VLOOKUP(ORDERS[[#This Row],[ProductID]],Products[],3,FALSE)</f>
        <v>Female</v>
      </c>
      <c r="L779" s="2">
        <f>DAY(ORDERS[[#This Row],[OrderDate]])</f>
        <v>20</v>
      </c>
      <c r="M779" s="2">
        <f>YEAR(ORDERS[[#This Row],[OrderDate]])</f>
        <v>2013</v>
      </c>
    </row>
    <row r="780" spans="1:13" x14ac:dyDescent="0.3">
      <c r="A780">
        <v>779</v>
      </c>
      <c r="B780">
        <v>1</v>
      </c>
      <c r="C780">
        <v>3</v>
      </c>
      <c r="D780" s="1">
        <v>41540</v>
      </c>
      <c r="E780">
        <v>98</v>
      </c>
      <c r="F780">
        <f>VLOOKUP(ORDERS[[#This Row],[ProductID]],Products[],4,FALSE)</f>
        <v>22</v>
      </c>
      <c r="G780">
        <v>0</v>
      </c>
      <c r="H780">
        <f>(ORDERS[[#This Row],[UnitsOrdered]]*ORDERS[[#This Row],[unit price]])-(ORDERS[[#This Row],[UnitsOrdered]]*ORDERS[[#This Row],[unit price]]*ORDERS[[#This Row],[Discount]])</f>
        <v>2156</v>
      </c>
      <c r="I780" t="str">
        <f>VLOOKUP(ORDERS[[#This Row],[CustomerID]],customers[],2,FALSE)</f>
        <v>Threads</v>
      </c>
      <c r="J780" s="2" t="str">
        <f>VLOOKUP(ORDERS[[#This Row],[CustomerID]],customers[],4,FALSE)</f>
        <v>Seattle</v>
      </c>
      <c r="K780" s="2" t="str">
        <f>VLOOKUP(ORDERS[[#This Row],[ProductID]],Products[],3,FALSE)</f>
        <v>Both</v>
      </c>
      <c r="L780" s="2">
        <f>DAY(ORDERS[[#This Row],[OrderDate]])</f>
        <v>23</v>
      </c>
      <c r="M780" s="2">
        <f>YEAR(ORDERS[[#This Row],[OrderDate]])</f>
        <v>2013</v>
      </c>
    </row>
    <row r="781" spans="1:13" x14ac:dyDescent="0.3">
      <c r="A781">
        <v>780</v>
      </c>
      <c r="B781">
        <v>7</v>
      </c>
      <c r="C781">
        <v>3</v>
      </c>
      <c r="D781" s="1">
        <v>41540</v>
      </c>
      <c r="E781">
        <v>139</v>
      </c>
      <c r="F781">
        <f>VLOOKUP(ORDERS[[#This Row],[ProductID]],Products[],4,FALSE)</f>
        <v>22</v>
      </c>
      <c r="G781">
        <v>0</v>
      </c>
      <c r="H781">
        <f>(ORDERS[[#This Row],[UnitsOrdered]]*ORDERS[[#This Row],[unit price]])-(ORDERS[[#This Row],[UnitsOrdered]]*ORDERS[[#This Row],[unit price]]*ORDERS[[#This Row],[Discount]])</f>
        <v>3058</v>
      </c>
      <c r="I781" t="str">
        <f>VLOOKUP(ORDERS[[#This Row],[CustomerID]],customers[],2,FALSE)</f>
        <v>The Shirt on Your Back</v>
      </c>
      <c r="J781" s="2" t="str">
        <f>VLOOKUP(ORDERS[[#This Row],[CustomerID]],customers[],4,FALSE)</f>
        <v>Bonners Ferry</v>
      </c>
      <c r="K781" s="2" t="str">
        <f>VLOOKUP(ORDERS[[#This Row],[ProductID]],Products[],3,FALSE)</f>
        <v>Both</v>
      </c>
      <c r="L781" s="2">
        <f>DAY(ORDERS[[#This Row],[OrderDate]])</f>
        <v>23</v>
      </c>
      <c r="M781" s="2">
        <f>YEAR(ORDERS[[#This Row],[OrderDate]])</f>
        <v>2013</v>
      </c>
    </row>
    <row r="782" spans="1:13" x14ac:dyDescent="0.3">
      <c r="A782">
        <v>781</v>
      </c>
      <c r="B782">
        <v>1</v>
      </c>
      <c r="C782">
        <v>10</v>
      </c>
      <c r="D782" s="1">
        <v>41542</v>
      </c>
      <c r="E782">
        <v>125</v>
      </c>
      <c r="F782">
        <f>VLOOKUP(ORDERS[[#This Row],[ProductID]],Products[],4,FALSE)</f>
        <v>35</v>
      </c>
      <c r="G782">
        <v>0</v>
      </c>
      <c r="H782">
        <f>(ORDERS[[#This Row],[UnitsOrdered]]*ORDERS[[#This Row],[unit price]])-(ORDERS[[#This Row],[UnitsOrdered]]*ORDERS[[#This Row],[unit price]]*ORDERS[[#This Row],[Discount]])</f>
        <v>4375</v>
      </c>
      <c r="I782" t="str">
        <f>VLOOKUP(ORDERS[[#This Row],[CustomerID]],customers[],2,FALSE)</f>
        <v>Threads</v>
      </c>
      <c r="J782" s="2" t="str">
        <f>VLOOKUP(ORDERS[[#This Row],[CustomerID]],customers[],4,FALSE)</f>
        <v>Seattle</v>
      </c>
      <c r="K782" s="2" t="str">
        <f>VLOOKUP(ORDERS[[#This Row],[ProductID]],Products[],3,FALSE)</f>
        <v>Male</v>
      </c>
      <c r="L782" s="2">
        <f>DAY(ORDERS[[#This Row],[OrderDate]])</f>
        <v>25</v>
      </c>
      <c r="M782" s="2">
        <f>YEAR(ORDERS[[#This Row],[OrderDate]])</f>
        <v>2013</v>
      </c>
    </row>
    <row r="783" spans="1:13" x14ac:dyDescent="0.3">
      <c r="A783">
        <v>782</v>
      </c>
      <c r="B783">
        <v>1</v>
      </c>
      <c r="C783">
        <v>3</v>
      </c>
      <c r="D783" s="1">
        <v>41543</v>
      </c>
      <c r="E783">
        <v>30</v>
      </c>
      <c r="F783">
        <f>VLOOKUP(ORDERS[[#This Row],[ProductID]],Products[],4,FALSE)</f>
        <v>22</v>
      </c>
      <c r="G783">
        <v>0</v>
      </c>
      <c r="H783">
        <f>(ORDERS[[#This Row],[UnitsOrdered]]*ORDERS[[#This Row],[unit price]])-(ORDERS[[#This Row],[UnitsOrdered]]*ORDERS[[#This Row],[unit price]]*ORDERS[[#This Row],[Discount]])</f>
        <v>660</v>
      </c>
      <c r="I783" t="str">
        <f>VLOOKUP(ORDERS[[#This Row],[CustomerID]],customers[],2,FALSE)</f>
        <v>Threads</v>
      </c>
      <c r="J783" s="2" t="str">
        <f>VLOOKUP(ORDERS[[#This Row],[CustomerID]],customers[],4,FALSE)</f>
        <v>Seattle</v>
      </c>
      <c r="K783" s="2" t="str">
        <f>VLOOKUP(ORDERS[[#This Row],[ProductID]],Products[],3,FALSE)</f>
        <v>Both</v>
      </c>
      <c r="L783" s="2">
        <f>DAY(ORDERS[[#This Row],[OrderDate]])</f>
        <v>26</v>
      </c>
      <c r="M783" s="2">
        <f>YEAR(ORDERS[[#This Row],[OrderDate]])</f>
        <v>2013</v>
      </c>
    </row>
    <row r="784" spans="1:13" x14ac:dyDescent="0.3">
      <c r="A784">
        <v>783</v>
      </c>
      <c r="B784">
        <v>1</v>
      </c>
      <c r="C784">
        <v>4</v>
      </c>
      <c r="D784" s="1">
        <v>41543</v>
      </c>
      <c r="E784">
        <v>58</v>
      </c>
      <c r="F784">
        <f>VLOOKUP(ORDERS[[#This Row],[ProductID]],Products[],4,FALSE)</f>
        <v>30</v>
      </c>
      <c r="G784">
        <v>0</v>
      </c>
      <c r="H784">
        <f>(ORDERS[[#This Row],[UnitsOrdered]]*ORDERS[[#This Row],[unit price]])-(ORDERS[[#This Row],[UnitsOrdered]]*ORDERS[[#This Row],[unit price]]*ORDERS[[#This Row],[Discount]])</f>
        <v>1740</v>
      </c>
      <c r="I784" t="str">
        <f>VLOOKUP(ORDERS[[#This Row],[CustomerID]],customers[],2,FALSE)</f>
        <v>Threads</v>
      </c>
      <c r="J784" s="2" t="str">
        <f>VLOOKUP(ORDERS[[#This Row],[CustomerID]],customers[],4,FALSE)</f>
        <v>Seattle</v>
      </c>
      <c r="K784" s="2" t="str">
        <f>VLOOKUP(ORDERS[[#This Row],[ProductID]],Products[],3,FALSE)</f>
        <v>Both</v>
      </c>
      <c r="L784" s="2">
        <f>DAY(ORDERS[[#This Row],[OrderDate]])</f>
        <v>26</v>
      </c>
      <c r="M784" s="2">
        <f>YEAR(ORDERS[[#This Row],[OrderDate]])</f>
        <v>2013</v>
      </c>
    </row>
    <row r="785" spans="1:13" x14ac:dyDescent="0.3">
      <c r="A785">
        <v>784</v>
      </c>
      <c r="B785">
        <v>3</v>
      </c>
      <c r="C785">
        <v>2</v>
      </c>
      <c r="D785" s="1">
        <v>41544</v>
      </c>
      <c r="E785">
        <v>54</v>
      </c>
      <c r="F785">
        <f>VLOOKUP(ORDERS[[#This Row],[ProductID]],Products[],4,FALSE)</f>
        <v>30</v>
      </c>
      <c r="G785">
        <v>0</v>
      </c>
      <c r="H785">
        <f>(ORDERS[[#This Row],[UnitsOrdered]]*ORDERS[[#This Row],[unit price]])-(ORDERS[[#This Row],[UnitsOrdered]]*ORDERS[[#This Row],[unit price]]*ORDERS[[#This Row],[Discount]])</f>
        <v>1620</v>
      </c>
      <c r="I785" t="str">
        <f>VLOOKUP(ORDERS[[#This Row],[CustomerID]],customers[],2,FALSE)</f>
        <v>Shirts R Us</v>
      </c>
      <c r="J785" s="2" t="str">
        <f>VLOOKUP(ORDERS[[#This Row],[CustomerID]],customers[],4,FALSE)</f>
        <v>Los Angeles</v>
      </c>
      <c r="K785" s="2" t="str">
        <f>VLOOKUP(ORDERS[[#This Row],[ProductID]],Products[],3,FALSE)</f>
        <v>Both</v>
      </c>
      <c r="L785" s="2">
        <f>DAY(ORDERS[[#This Row],[OrderDate]])</f>
        <v>27</v>
      </c>
      <c r="M785" s="2">
        <f>YEAR(ORDERS[[#This Row],[OrderDate]])</f>
        <v>2013</v>
      </c>
    </row>
    <row r="786" spans="1:13" x14ac:dyDescent="0.3">
      <c r="A786">
        <v>785</v>
      </c>
      <c r="B786">
        <v>4</v>
      </c>
      <c r="C786">
        <v>6</v>
      </c>
      <c r="D786" s="1">
        <v>41545</v>
      </c>
      <c r="E786">
        <v>72</v>
      </c>
      <c r="F786">
        <f>VLOOKUP(ORDERS[[#This Row],[ProductID]],Products[],4,FALSE)</f>
        <v>28</v>
      </c>
      <c r="G786">
        <v>0</v>
      </c>
      <c r="H786">
        <f>(ORDERS[[#This Row],[UnitsOrdered]]*ORDERS[[#This Row],[unit price]])-(ORDERS[[#This Row],[UnitsOrdered]]*ORDERS[[#This Row],[unit price]]*ORDERS[[#This Row],[Discount]])</f>
        <v>2016</v>
      </c>
      <c r="I786" t="str">
        <f>VLOOKUP(ORDERS[[#This Row],[CustomerID]],customers[],2,FALSE)</f>
        <v>Tshirt Unlimited</v>
      </c>
      <c r="J786" s="2" t="str">
        <f>VLOOKUP(ORDERS[[#This Row],[CustomerID]],customers[],4,FALSE)</f>
        <v>Phoenix</v>
      </c>
      <c r="K786" s="2" t="str">
        <f>VLOOKUP(ORDERS[[#This Row],[ProductID]],Products[],3,FALSE)</f>
        <v>Female</v>
      </c>
      <c r="L786" s="2">
        <f>DAY(ORDERS[[#This Row],[OrderDate]])</f>
        <v>28</v>
      </c>
      <c r="M786" s="2">
        <f>YEAR(ORDERS[[#This Row],[OrderDate]])</f>
        <v>2013</v>
      </c>
    </row>
    <row r="787" spans="1:13" x14ac:dyDescent="0.3">
      <c r="A787">
        <v>786</v>
      </c>
      <c r="B787">
        <v>5</v>
      </c>
      <c r="C787">
        <v>7</v>
      </c>
      <c r="D787" s="1">
        <v>41545</v>
      </c>
      <c r="E787">
        <v>28</v>
      </c>
      <c r="F787">
        <f>VLOOKUP(ORDERS[[#This Row],[ProductID]],Products[],4,FALSE)</f>
        <v>38</v>
      </c>
      <c r="G787">
        <v>0.15000000599999999</v>
      </c>
      <c r="H787">
        <f>(ORDERS[[#This Row],[UnitsOrdered]]*ORDERS[[#This Row],[unit price]])-(ORDERS[[#This Row],[UnitsOrdered]]*ORDERS[[#This Row],[unit price]]*ORDERS[[#This Row],[Discount]])</f>
        <v>904.39999361600007</v>
      </c>
      <c r="I787" t="str">
        <f>VLOOKUP(ORDERS[[#This Row],[CustomerID]],customers[],2,FALSE)</f>
        <v>Rags to Riches</v>
      </c>
      <c r="J787" s="2" t="str">
        <f>VLOOKUP(ORDERS[[#This Row],[CustomerID]],customers[],4,FALSE)</f>
        <v>Las Vegas</v>
      </c>
      <c r="K787" s="2" t="str">
        <f>VLOOKUP(ORDERS[[#This Row],[ProductID]],Products[],3,FALSE)</f>
        <v>Female</v>
      </c>
      <c r="L787" s="2">
        <f>DAY(ORDERS[[#This Row],[OrderDate]])</f>
        <v>28</v>
      </c>
      <c r="M787" s="2">
        <f>YEAR(ORDERS[[#This Row],[OrderDate]])</f>
        <v>2013</v>
      </c>
    </row>
    <row r="788" spans="1:13" x14ac:dyDescent="0.3">
      <c r="A788">
        <v>787</v>
      </c>
      <c r="B788">
        <v>1</v>
      </c>
      <c r="C788">
        <v>7</v>
      </c>
      <c r="D788" s="1">
        <v>41546</v>
      </c>
      <c r="E788">
        <v>37</v>
      </c>
      <c r="F788">
        <f>VLOOKUP(ORDERS[[#This Row],[ProductID]],Products[],4,FALSE)</f>
        <v>38</v>
      </c>
      <c r="G788">
        <v>0.15000000599999999</v>
      </c>
      <c r="H788">
        <f>(ORDERS[[#This Row],[UnitsOrdered]]*ORDERS[[#This Row],[unit price]])-(ORDERS[[#This Row],[UnitsOrdered]]*ORDERS[[#This Row],[unit price]]*ORDERS[[#This Row],[Discount]])</f>
        <v>1195.099991564</v>
      </c>
      <c r="I788" t="str">
        <f>VLOOKUP(ORDERS[[#This Row],[CustomerID]],customers[],2,FALSE)</f>
        <v>Threads</v>
      </c>
      <c r="J788" s="2" t="str">
        <f>VLOOKUP(ORDERS[[#This Row],[CustomerID]],customers[],4,FALSE)</f>
        <v>Seattle</v>
      </c>
      <c r="K788" s="2" t="str">
        <f>VLOOKUP(ORDERS[[#This Row],[ProductID]],Products[],3,FALSE)</f>
        <v>Female</v>
      </c>
      <c r="L788" s="2">
        <f>DAY(ORDERS[[#This Row],[OrderDate]])</f>
        <v>29</v>
      </c>
      <c r="M788" s="2">
        <f>YEAR(ORDERS[[#This Row],[OrderDate]])</f>
        <v>2013</v>
      </c>
    </row>
    <row r="789" spans="1:13" x14ac:dyDescent="0.3">
      <c r="A789">
        <v>788</v>
      </c>
      <c r="B789">
        <v>7</v>
      </c>
      <c r="C789">
        <v>7</v>
      </c>
      <c r="D789" s="1">
        <v>41546</v>
      </c>
      <c r="E789">
        <v>72</v>
      </c>
      <c r="F789">
        <f>VLOOKUP(ORDERS[[#This Row],[ProductID]],Products[],4,FALSE)</f>
        <v>38</v>
      </c>
      <c r="G789">
        <v>0</v>
      </c>
      <c r="H789">
        <f>(ORDERS[[#This Row],[UnitsOrdered]]*ORDERS[[#This Row],[unit price]])-(ORDERS[[#This Row],[UnitsOrdered]]*ORDERS[[#This Row],[unit price]]*ORDERS[[#This Row],[Discount]])</f>
        <v>2736</v>
      </c>
      <c r="I789" t="str">
        <f>VLOOKUP(ORDERS[[#This Row],[CustomerID]],customers[],2,FALSE)</f>
        <v>The Shirt on Your Back</v>
      </c>
      <c r="J789" s="2" t="str">
        <f>VLOOKUP(ORDERS[[#This Row],[CustomerID]],customers[],4,FALSE)</f>
        <v>Bonners Ferry</v>
      </c>
      <c r="K789" s="2" t="str">
        <f>VLOOKUP(ORDERS[[#This Row],[ProductID]],Products[],3,FALSE)</f>
        <v>Female</v>
      </c>
      <c r="L789" s="2">
        <f>DAY(ORDERS[[#This Row],[OrderDate]])</f>
        <v>29</v>
      </c>
      <c r="M789" s="2">
        <f>YEAR(ORDERS[[#This Row],[OrderDate]])</f>
        <v>2013</v>
      </c>
    </row>
    <row r="790" spans="1:13" x14ac:dyDescent="0.3">
      <c r="A790">
        <v>789</v>
      </c>
      <c r="B790">
        <v>3</v>
      </c>
      <c r="C790">
        <v>9</v>
      </c>
      <c r="D790" s="1">
        <v>41547</v>
      </c>
      <c r="E790">
        <v>112</v>
      </c>
      <c r="F790">
        <f>VLOOKUP(ORDERS[[#This Row],[ProductID]],Products[],4,FALSE)</f>
        <v>25</v>
      </c>
      <c r="G790">
        <v>0</v>
      </c>
      <c r="H790">
        <f>(ORDERS[[#This Row],[UnitsOrdered]]*ORDERS[[#This Row],[unit price]])-(ORDERS[[#This Row],[UnitsOrdered]]*ORDERS[[#This Row],[unit price]]*ORDERS[[#This Row],[Discount]])</f>
        <v>2800</v>
      </c>
      <c r="I790" t="str">
        <f>VLOOKUP(ORDERS[[#This Row],[CustomerID]],customers[],2,FALSE)</f>
        <v>Shirts R Us</v>
      </c>
      <c r="J790" s="2" t="str">
        <f>VLOOKUP(ORDERS[[#This Row],[CustomerID]],customers[],4,FALSE)</f>
        <v>Los Angeles</v>
      </c>
      <c r="K790" s="2" t="str">
        <f>VLOOKUP(ORDERS[[#This Row],[ProductID]],Products[],3,FALSE)</f>
        <v>Male</v>
      </c>
      <c r="L790" s="2">
        <f>DAY(ORDERS[[#This Row],[OrderDate]])</f>
        <v>30</v>
      </c>
      <c r="M790" s="2">
        <f>YEAR(ORDERS[[#This Row],[OrderDate]])</f>
        <v>2013</v>
      </c>
    </row>
    <row r="791" spans="1:13" x14ac:dyDescent="0.3">
      <c r="A791">
        <v>790</v>
      </c>
      <c r="B791">
        <v>3</v>
      </c>
      <c r="C791">
        <v>3</v>
      </c>
      <c r="D791" s="1">
        <v>41548</v>
      </c>
      <c r="E791">
        <v>87</v>
      </c>
      <c r="F791">
        <f>VLOOKUP(ORDERS[[#This Row],[ProductID]],Products[],4,FALSE)</f>
        <v>22</v>
      </c>
      <c r="G791">
        <v>0</v>
      </c>
      <c r="H791">
        <f>(ORDERS[[#This Row],[UnitsOrdered]]*ORDERS[[#This Row],[unit price]])-(ORDERS[[#This Row],[UnitsOrdered]]*ORDERS[[#This Row],[unit price]]*ORDERS[[#This Row],[Discount]])</f>
        <v>1914</v>
      </c>
      <c r="I791" t="str">
        <f>VLOOKUP(ORDERS[[#This Row],[CustomerID]],customers[],2,FALSE)</f>
        <v>Shirts R Us</v>
      </c>
      <c r="J791" s="2" t="str">
        <f>VLOOKUP(ORDERS[[#This Row],[CustomerID]],customers[],4,FALSE)</f>
        <v>Los Angeles</v>
      </c>
      <c r="K791" s="2" t="str">
        <f>VLOOKUP(ORDERS[[#This Row],[ProductID]],Products[],3,FALSE)</f>
        <v>Both</v>
      </c>
      <c r="L791" s="2">
        <f>DAY(ORDERS[[#This Row],[OrderDate]])</f>
        <v>1</v>
      </c>
      <c r="M791" s="2">
        <f>YEAR(ORDERS[[#This Row],[OrderDate]])</f>
        <v>2013</v>
      </c>
    </row>
    <row r="792" spans="1:13" x14ac:dyDescent="0.3">
      <c r="A792">
        <v>791</v>
      </c>
      <c r="B792">
        <v>6</v>
      </c>
      <c r="C792">
        <v>5</v>
      </c>
      <c r="D792" s="1">
        <v>41549</v>
      </c>
      <c r="E792">
        <v>33</v>
      </c>
      <c r="F792">
        <f>VLOOKUP(ORDERS[[#This Row],[ProductID]],Products[],4,FALSE)</f>
        <v>16</v>
      </c>
      <c r="G792">
        <v>0</v>
      </c>
      <c r="H792">
        <f>(ORDERS[[#This Row],[UnitsOrdered]]*ORDERS[[#This Row],[unit price]])-(ORDERS[[#This Row],[UnitsOrdered]]*ORDERS[[#This Row],[unit price]]*ORDERS[[#This Row],[Discount]])</f>
        <v>528</v>
      </c>
      <c r="I792" t="str">
        <f>VLOOKUP(ORDERS[[#This Row],[CustomerID]],customers[],2,FALSE)</f>
        <v>Abracadaba Ink</v>
      </c>
      <c r="J792" s="2" t="str">
        <f>VLOOKUP(ORDERS[[#This Row],[CustomerID]],customers[],4,FALSE)</f>
        <v>Salt Lake City</v>
      </c>
      <c r="K792" s="2" t="str">
        <f>VLOOKUP(ORDERS[[#This Row],[ProductID]],Products[],3,FALSE)</f>
        <v>Female</v>
      </c>
      <c r="L792" s="2">
        <f>DAY(ORDERS[[#This Row],[OrderDate]])</f>
        <v>2</v>
      </c>
      <c r="M792" s="2">
        <f>YEAR(ORDERS[[#This Row],[OrderDate]])</f>
        <v>2013</v>
      </c>
    </row>
    <row r="793" spans="1:13" x14ac:dyDescent="0.3">
      <c r="A793">
        <v>792</v>
      </c>
      <c r="B793">
        <v>2</v>
      </c>
      <c r="C793">
        <v>2</v>
      </c>
      <c r="D793" s="1">
        <v>41550</v>
      </c>
      <c r="E793">
        <v>56</v>
      </c>
      <c r="F793">
        <f>VLOOKUP(ORDERS[[#This Row],[ProductID]],Products[],4,FALSE)</f>
        <v>30</v>
      </c>
      <c r="G793">
        <v>0</v>
      </c>
      <c r="H793">
        <f>(ORDERS[[#This Row],[UnitsOrdered]]*ORDERS[[#This Row],[unit price]])-(ORDERS[[#This Row],[UnitsOrdered]]*ORDERS[[#This Row],[unit price]]*ORDERS[[#This Row],[Discount]])</f>
        <v>1680</v>
      </c>
      <c r="I793" t="str">
        <f>VLOOKUP(ORDERS[[#This Row],[CustomerID]],customers[],2,FALSE)</f>
        <v>A Shirts Life</v>
      </c>
      <c r="J793" s="2" t="str">
        <f>VLOOKUP(ORDERS[[#This Row],[CustomerID]],customers[],4,FALSE)</f>
        <v>Portland</v>
      </c>
      <c r="K793" s="2" t="str">
        <f>VLOOKUP(ORDERS[[#This Row],[ProductID]],Products[],3,FALSE)</f>
        <v>Both</v>
      </c>
      <c r="L793" s="2">
        <f>DAY(ORDERS[[#This Row],[OrderDate]])</f>
        <v>3</v>
      </c>
      <c r="M793" s="2">
        <f>YEAR(ORDERS[[#This Row],[OrderDate]])</f>
        <v>2013</v>
      </c>
    </row>
    <row r="794" spans="1:13" x14ac:dyDescent="0.3">
      <c r="A794">
        <v>793</v>
      </c>
      <c r="B794">
        <v>2</v>
      </c>
      <c r="C794">
        <v>9</v>
      </c>
      <c r="D794" s="1">
        <v>41550</v>
      </c>
      <c r="E794">
        <v>72</v>
      </c>
      <c r="F794">
        <f>VLOOKUP(ORDERS[[#This Row],[ProductID]],Products[],4,FALSE)</f>
        <v>25</v>
      </c>
      <c r="G794">
        <v>0</v>
      </c>
      <c r="H794">
        <f>(ORDERS[[#This Row],[UnitsOrdered]]*ORDERS[[#This Row],[unit price]])-(ORDERS[[#This Row],[UnitsOrdered]]*ORDERS[[#This Row],[unit price]]*ORDERS[[#This Row],[Discount]])</f>
        <v>1800</v>
      </c>
      <c r="I794" t="str">
        <f>VLOOKUP(ORDERS[[#This Row],[CustomerID]],customers[],2,FALSE)</f>
        <v>A Shirts Life</v>
      </c>
      <c r="J794" s="2" t="str">
        <f>VLOOKUP(ORDERS[[#This Row],[CustomerID]],customers[],4,FALSE)</f>
        <v>Portland</v>
      </c>
      <c r="K794" s="2" t="str">
        <f>VLOOKUP(ORDERS[[#This Row],[ProductID]],Products[],3,FALSE)</f>
        <v>Male</v>
      </c>
      <c r="L794" s="2">
        <f>DAY(ORDERS[[#This Row],[OrderDate]])</f>
        <v>3</v>
      </c>
      <c r="M794" s="2">
        <f>YEAR(ORDERS[[#This Row],[OrderDate]])</f>
        <v>2013</v>
      </c>
    </row>
    <row r="795" spans="1:13" x14ac:dyDescent="0.3">
      <c r="A795">
        <v>794</v>
      </c>
      <c r="B795">
        <v>3</v>
      </c>
      <c r="C795">
        <v>2</v>
      </c>
      <c r="D795" s="1">
        <v>41550</v>
      </c>
      <c r="E795">
        <v>91</v>
      </c>
      <c r="F795">
        <f>VLOOKUP(ORDERS[[#This Row],[ProductID]],Products[],4,FALSE)</f>
        <v>30</v>
      </c>
      <c r="G795">
        <v>0</v>
      </c>
      <c r="H795">
        <f>(ORDERS[[#This Row],[UnitsOrdered]]*ORDERS[[#This Row],[unit price]])-(ORDERS[[#This Row],[UnitsOrdered]]*ORDERS[[#This Row],[unit price]]*ORDERS[[#This Row],[Discount]])</f>
        <v>2730</v>
      </c>
      <c r="I795" t="str">
        <f>VLOOKUP(ORDERS[[#This Row],[CustomerID]],customers[],2,FALSE)</f>
        <v>Shirts R Us</v>
      </c>
      <c r="J795" s="2" t="str">
        <f>VLOOKUP(ORDERS[[#This Row],[CustomerID]],customers[],4,FALSE)</f>
        <v>Los Angeles</v>
      </c>
      <c r="K795" s="2" t="str">
        <f>VLOOKUP(ORDERS[[#This Row],[ProductID]],Products[],3,FALSE)</f>
        <v>Both</v>
      </c>
      <c r="L795" s="2">
        <f>DAY(ORDERS[[#This Row],[OrderDate]])</f>
        <v>3</v>
      </c>
      <c r="M795" s="2">
        <f>YEAR(ORDERS[[#This Row],[OrderDate]])</f>
        <v>2013</v>
      </c>
    </row>
    <row r="796" spans="1:13" x14ac:dyDescent="0.3">
      <c r="A796">
        <v>795</v>
      </c>
      <c r="B796">
        <v>6</v>
      </c>
      <c r="C796">
        <v>3</v>
      </c>
      <c r="D796" s="1">
        <v>41550</v>
      </c>
      <c r="E796">
        <v>103</v>
      </c>
      <c r="F796">
        <f>VLOOKUP(ORDERS[[#This Row],[ProductID]],Products[],4,FALSE)</f>
        <v>22</v>
      </c>
      <c r="G796">
        <v>0</v>
      </c>
      <c r="H796">
        <f>(ORDERS[[#This Row],[UnitsOrdered]]*ORDERS[[#This Row],[unit price]])-(ORDERS[[#This Row],[UnitsOrdered]]*ORDERS[[#This Row],[unit price]]*ORDERS[[#This Row],[Discount]])</f>
        <v>2266</v>
      </c>
      <c r="I796" t="str">
        <f>VLOOKUP(ORDERS[[#This Row],[CustomerID]],customers[],2,FALSE)</f>
        <v>Abracadaba Ink</v>
      </c>
      <c r="J796" s="2" t="str">
        <f>VLOOKUP(ORDERS[[#This Row],[CustomerID]],customers[],4,FALSE)</f>
        <v>Salt Lake City</v>
      </c>
      <c r="K796" s="2" t="str">
        <f>VLOOKUP(ORDERS[[#This Row],[ProductID]],Products[],3,FALSE)</f>
        <v>Both</v>
      </c>
      <c r="L796" s="2">
        <f>DAY(ORDERS[[#This Row],[OrderDate]])</f>
        <v>3</v>
      </c>
      <c r="M796" s="2">
        <f>YEAR(ORDERS[[#This Row],[OrderDate]])</f>
        <v>2013</v>
      </c>
    </row>
    <row r="797" spans="1:13" x14ac:dyDescent="0.3">
      <c r="A797">
        <v>796</v>
      </c>
      <c r="B797">
        <v>1</v>
      </c>
      <c r="C797">
        <v>2</v>
      </c>
      <c r="D797" s="1">
        <v>41553</v>
      </c>
      <c r="E797">
        <v>81</v>
      </c>
      <c r="F797">
        <f>VLOOKUP(ORDERS[[#This Row],[ProductID]],Products[],4,FALSE)</f>
        <v>30</v>
      </c>
      <c r="G797">
        <v>0</v>
      </c>
      <c r="H797">
        <f>(ORDERS[[#This Row],[UnitsOrdered]]*ORDERS[[#This Row],[unit price]])-(ORDERS[[#This Row],[UnitsOrdered]]*ORDERS[[#This Row],[unit price]]*ORDERS[[#This Row],[Discount]])</f>
        <v>2430</v>
      </c>
      <c r="I797" t="str">
        <f>VLOOKUP(ORDERS[[#This Row],[CustomerID]],customers[],2,FALSE)</f>
        <v>Threads</v>
      </c>
      <c r="J797" s="2" t="str">
        <f>VLOOKUP(ORDERS[[#This Row],[CustomerID]],customers[],4,FALSE)</f>
        <v>Seattle</v>
      </c>
      <c r="K797" s="2" t="str">
        <f>VLOOKUP(ORDERS[[#This Row],[ProductID]],Products[],3,FALSE)</f>
        <v>Both</v>
      </c>
      <c r="L797" s="2">
        <f>DAY(ORDERS[[#This Row],[OrderDate]])</f>
        <v>6</v>
      </c>
      <c r="M797" s="2">
        <f>YEAR(ORDERS[[#This Row],[OrderDate]])</f>
        <v>2013</v>
      </c>
    </row>
    <row r="798" spans="1:13" x14ac:dyDescent="0.3">
      <c r="A798">
        <v>797</v>
      </c>
      <c r="B798">
        <v>3</v>
      </c>
      <c r="C798">
        <v>7</v>
      </c>
      <c r="D798" s="1">
        <v>41554</v>
      </c>
      <c r="E798">
        <v>57</v>
      </c>
      <c r="F798">
        <f>VLOOKUP(ORDERS[[#This Row],[ProductID]],Products[],4,FALSE)</f>
        <v>38</v>
      </c>
      <c r="G798">
        <v>0</v>
      </c>
      <c r="H798">
        <f>(ORDERS[[#This Row],[UnitsOrdered]]*ORDERS[[#This Row],[unit price]])-(ORDERS[[#This Row],[UnitsOrdered]]*ORDERS[[#This Row],[unit price]]*ORDERS[[#This Row],[Discount]])</f>
        <v>2166</v>
      </c>
      <c r="I798" t="str">
        <f>VLOOKUP(ORDERS[[#This Row],[CustomerID]],customers[],2,FALSE)</f>
        <v>Shirts R Us</v>
      </c>
      <c r="J798" s="2" t="str">
        <f>VLOOKUP(ORDERS[[#This Row],[CustomerID]],customers[],4,FALSE)</f>
        <v>Los Angeles</v>
      </c>
      <c r="K798" s="2" t="str">
        <f>VLOOKUP(ORDERS[[#This Row],[ProductID]],Products[],3,FALSE)</f>
        <v>Female</v>
      </c>
      <c r="L798" s="2">
        <f>DAY(ORDERS[[#This Row],[OrderDate]])</f>
        <v>7</v>
      </c>
      <c r="M798" s="2">
        <f>YEAR(ORDERS[[#This Row],[OrderDate]])</f>
        <v>2013</v>
      </c>
    </row>
    <row r="799" spans="1:13" x14ac:dyDescent="0.3">
      <c r="A799">
        <v>798</v>
      </c>
      <c r="B799">
        <v>6</v>
      </c>
      <c r="C799">
        <v>6</v>
      </c>
      <c r="D799" s="1">
        <v>41554</v>
      </c>
      <c r="E799">
        <v>91</v>
      </c>
      <c r="F799">
        <f>VLOOKUP(ORDERS[[#This Row],[ProductID]],Products[],4,FALSE)</f>
        <v>28</v>
      </c>
      <c r="G799">
        <v>0</v>
      </c>
      <c r="H799">
        <f>(ORDERS[[#This Row],[UnitsOrdered]]*ORDERS[[#This Row],[unit price]])-(ORDERS[[#This Row],[UnitsOrdered]]*ORDERS[[#This Row],[unit price]]*ORDERS[[#This Row],[Discount]])</f>
        <v>2548</v>
      </c>
      <c r="I799" t="str">
        <f>VLOOKUP(ORDERS[[#This Row],[CustomerID]],customers[],2,FALSE)</f>
        <v>Abracadaba Ink</v>
      </c>
      <c r="J799" s="2" t="str">
        <f>VLOOKUP(ORDERS[[#This Row],[CustomerID]],customers[],4,FALSE)</f>
        <v>Salt Lake City</v>
      </c>
      <c r="K799" s="2" t="str">
        <f>VLOOKUP(ORDERS[[#This Row],[ProductID]],Products[],3,FALSE)</f>
        <v>Female</v>
      </c>
      <c r="L799" s="2">
        <f>DAY(ORDERS[[#This Row],[OrderDate]])</f>
        <v>7</v>
      </c>
      <c r="M799" s="2">
        <f>YEAR(ORDERS[[#This Row],[OrderDate]])</f>
        <v>2013</v>
      </c>
    </row>
    <row r="800" spans="1:13" x14ac:dyDescent="0.3">
      <c r="A800">
        <v>799</v>
      </c>
      <c r="B800">
        <v>2</v>
      </c>
      <c r="C800">
        <v>1</v>
      </c>
      <c r="D800" s="1">
        <v>41555</v>
      </c>
      <c r="E800">
        <v>63</v>
      </c>
      <c r="F800">
        <f>VLOOKUP(ORDERS[[#This Row],[ProductID]],Products[],4,FALSE)</f>
        <v>20</v>
      </c>
      <c r="G800">
        <v>0</v>
      </c>
      <c r="H800">
        <f>(ORDERS[[#This Row],[UnitsOrdered]]*ORDERS[[#This Row],[unit price]])-(ORDERS[[#This Row],[UnitsOrdered]]*ORDERS[[#This Row],[unit price]]*ORDERS[[#This Row],[Discount]])</f>
        <v>1260</v>
      </c>
      <c r="I800" t="str">
        <f>VLOOKUP(ORDERS[[#This Row],[CustomerID]],customers[],2,FALSE)</f>
        <v>A Shirts Life</v>
      </c>
      <c r="J800" s="2" t="str">
        <f>VLOOKUP(ORDERS[[#This Row],[CustomerID]],customers[],4,FALSE)</f>
        <v>Portland</v>
      </c>
      <c r="K800" s="2" t="str">
        <f>VLOOKUP(ORDERS[[#This Row],[ProductID]],Products[],3,FALSE)</f>
        <v>Both</v>
      </c>
      <c r="L800" s="2">
        <f>DAY(ORDERS[[#This Row],[OrderDate]])</f>
        <v>8</v>
      </c>
      <c r="M800" s="2">
        <f>YEAR(ORDERS[[#This Row],[OrderDate]])</f>
        <v>2013</v>
      </c>
    </row>
    <row r="801" spans="1:13" x14ac:dyDescent="0.3">
      <c r="A801">
        <v>800</v>
      </c>
      <c r="B801">
        <v>2</v>
      </c>
      <c r="C801">
        <v>3</v>
      </c>
      <c r="D801" s="1">
        <v>41555</v>
      </c>
      <c r="E801">
        <v>88</v>
      </c>
      <c r="F801">
        <f>VLOOKUP(ORDERS[[#This Row],[ProductID]],Products[],4,FALSE)</f>
        <v>22</v>
      </c>
      <c r="G801">
        <v>0</v>
      </c>
      <c r="H801">
        <f>(ORDERS[[#This Row],[UnitsOrdered]]*ORDERS[[#This Row],[unit price]])-(ORDERS[[#This Row],[UnitsOrdered]]*ORDERS[[#This Row],[unit price]]*ORDERS[[#This Row],[Discount]])</f>
        <v>1936</v>
      </c>
      <c r="I801" t="str">
        <f>VLOOKUP(ORDERS[[#This Row],[CustomerID]],customers[],2,FALSE)</f>
        <v>A Shirts Life</v>
      </c>
      <c r="J801" s="2" t="str">
        <f>VLOOKUP(ORDERS[[#This Row],[CustomerID]],customers[],4,FALSE)</f>
        <v>Portland</v>
      </c>
      <c r="K801" s="2" t="str">
        <f>VLOOKUP(ORDERS[[#This Row],[ProductID]],Products[],3,FALSE)</f>
        <v>Both</v>
      </c>
      <c r="L801" s="2">
        <f>DAY(ORDERS[[#This Row],[OrderDate]])</f>
        <v>8</v>
      </c>
      <c r="M801" s="2">
        <f>YEAR(ORDERS[[#This Row],[OrderDate]])</f>
        <v>2013</v>
      </c>
    </row>
    <row r="802" spans="1:13" x14ac:dyDescent="0.3">
      <c r="A802">
        <v>801</v>
      </c>
      <c r="B802">
        <v>2</v>
      </c>
      <c r="C802">
        <v>3</v>
      </c>
      <c r="D802" s="1">
        <v>41556</v>
      </c>
      <c r="E802">
        <v>108</v>
      </c>
      <c r="F802">
        <f>VLOOKUP(ORDERS[[#This Row],[ProductID]],Products[],4,FALSE)</f>
        <v>22</v>
      </c>
      <c r="G802">
        <v>0</v>
      </c>
      <c r="H802">
        <f>(ORDERS[[#This Row],[UnitsOrdered]]*ORDERS[[#This Row],[unit price]])-(ORDERS[[#This Row],[UnitsOrdered]]*ORDERS[[#This Row],[unit price]]*ORDERS[[#This Row],[Discount]])</f>
        <v>2376</v>
      </c>
      <c r="I802" t="str">
        <f>VLOOKUP(ORDERS[[#This Row],[CustomerID]],customers[],2,FALSE)</f>
        <v>A Shirts Life</v>
      </c>
      <c r="J802" s="2" t="str">
        <f>VLOOKUP(ORDERS[[#This Row],[CustomerID]],customers[],4,FALSE)</f>
        <v>Portland</v>
      </c>
      <c r="K802" s="2" t="str">
        <f>VLOOKUP(ORDERS[[#This Row],[ProductID]],Products[],3,FALSE)</f>
        <v>Both</v>
      </c>
      <c r="L802" s="2">
        <f>DAY(ORDERS[[#This Row],[OrderDate]])</f>
        <v>9</v>
      </c>
      <c r="M802" s="2">
        <f>YEAR(ORDERS[[#This Row],[OrderDate]])</f>
        <v>2013</v>
      </c>
    </row>
    <row r="803" spans="1:13" x14ac:dyDescent="0.3">
      <c r="A803">
        <v>802</v>
      </c>
      <c r="B803">
        <v>2</v>
      </c>
      <c r="C803">
        <v>6</v>
      </c>
      <c r="D803" s="1">
        <v>41556</v>
      </c>
      <c r="E803">
        <v>43</v>
      </c>
      <c r="F803">
        <f>VLOOKUP(ORDERS[[#This Row],[ProductID]],Products[],4,FALSE)</f>
        <v>28</v>
      </c>
      <c r="G803">
        <v>0</v>
      </c>
      <c r="H803">
        <f>(ORDERS[[#This Row],[UnitsOrdered]]*ORDERS[[#This Row],[unit price]])-(ORDERS[[#This Row],[UnitsOrdered]]*ORDERS[[#This Row],[unit price]]*ORDERS[[#This Row],[Discount]])</f>
        <v>1204</v>
      </c>
      <c r="I803" t="str">
        <f>VLOOKUP(ORDERS[[#This Row],[CustomerID]],customers[],2,FALSE)</f>
        <v>A Shirts Life</v>
      </c>
      <c r="J803" s="2" t="str">
        <f>VLOOKUP(ORDERS[[#This Row],[CustomerID]],customers[],4,FALSE)</f>
        <v>Portland</v>
      </c>
      <c r="K803" s="2" t="str">
        <f>VLOOKUP(ORDERS[[#This Row],[ProductID]],Products[],3,FALSE)</f>
        <v>Female</v>
      </c>
      <c r="L803" s="2">
        <f>DAY(ORDERS[[#This Row],[OrderDate]])</f>
        <v>9</v>
      </c>
      <c r="M803" s="2">
        <f>YEAR(ORDERS[[#This Row],[OrderDate]])</f>
        <v>2013</v>
      </c>
    </row>
    <row r="804" spans="1:13" x14ac:dyDescent="0.3">
      <c r="A804">
        <v>803</v>
      </c>
      <c r="B804">
        <v>6</v>
      </c>
      <c r="C804">
        <v>3</v>
      </c>
      <c r="D804" s="1">
        <v>41556</v>
      </c>
      <c r="E804">
        <v>127</v>
      </c>
      <c r="F804">
        <f>VLOOKUP(ORDERS[[#This Row],[ProductID]],Products[],4,FALSE)</f>
        <v>22</v>
      </c>
      <c r="G804">
        <v>0</v>
      </c>
      <c r="H804">
        <f>(ORDERS[[#This Row],[UnitsOrdered]]*ORDERS[[#This Row],[unit price]])-(ORDERS[[#This Row],[UnitsOrdered]]*ORDERS[[#This Row],[unit price]]*ORDERS[[#This Row],[Discount]])</f>
        <v>2794</v>
      </c>
      <c r="I804" t="str">
        <f>VLOOKUP(ORDERS[[#This Row],[CustomerID]],customers[],2,FALSE)</f>
        <v>Abracadaba Ink</v>
      </c>
      <c r="J804" s="2" t="str">
        <f>VLOOKUP(ORDERS[[#This Row],[CustomerID]],customers[],4,FALSE)</f>
        <v>Salt Lake City</v>
      </c>
      <c r="K804" s="2" t="str">
        <f>VLOOKUP(ORDERS[[#This Row],[ProductID]],Products[],3,FALSE)</f>
        <v>Both</v>
      </c>
      <c r="L804" s="2">
        <f>DAY(ORDERS[[#This Row],[OrderDate]])</f>
        <v>9</v>
      </c>
      <c r="M804" s="2">
        <f>YEAR(ORDERS[[#This Row],[OrderDate]])</f>
        <v>2013</v>
      </c>
    </row>
    <row r="805" spans="1:13" x14ac:dyDescent="0.3">
      <c r="A805">
        <v>804</v>
      </c>
      <c r="B805">
        <v>7</v>
      </c>
      <c r="C805">
        <v>9</v>
      </c>
      <c r="D805" s="1">
        <v>41556</v>
      </c>
      <c r="E805">
        <v>132</v>
      </c>
      <c r="F805">
        <f>VLOOKUP(ORDERS[[#This Row],[ProductID]],Products[],4,FALSE)</f>
        <v>25</v>
      </c>
      <c r="G805">
        <v>0</v>
      </c>
      <c r="H805">
        <f>(ORDERS[[#This Row],[UnitsOrdered]]*ORDERS[[#This Row],[unit price]])-(ORDERS[[#This Row],[UnitsOrdered]]*ORDERS[[#This Row],[unit price]]*ORDERS[[#This Row],[Discount]])</f>
        <v>3300</v>
      </c>
      <c r="I805" t="str">
        <f>VLOOKUP(ORDERS[[#This Row],[CustomerID]],customers[],2,FALSE)</f>
        <v>The Shirt on Your Back</v>
      </c>
      <c r="J805" s="2" t="str">
        <f>VLOOKUP(ORDERS[[#This Row],[CustomerID]],customers[],4,FALSE)</f>
        <v>Bonners Ferry</v>
      </c>
      <c r="K805" s="2" t="str">
        <f>VLOOKUP(ORDERS[[#This Row],[ProductID]],Products[],3,FALSE)</f>
        <v>Male</v>
      </c>
      <c r="L805" s="2">
        <f>DAY(ORDERS[[#This Row],[OrderDate]])</f>
        <v>9</v>
      </c>
      <c r="M805" s="2">
        <f>YEAR(ORDERS[[#This Row],[OrderDate]])</f>
        <v>2013</v>
      </c>
    </row>
    <row r="806" spans="1:13" x14ac:dyDescent="0.3">
      <c r="A806">
        <v>805</v>
      </c>
      <c r="B806">
        <v>2</v>
      </c>
      <c r="C806">
        <v>1</v>
      </c>
      <c r="D806" s="1">
        <v>41557</v>
      </c>
      <c r="E806">
        <v>131</v>
      </c>
      <c r="F806">
        <f>VLOOKUP(ORDERS[[#This Row],[ProductID]],Products[],4,FALSE)</f>
        <v>20</v>
      </c>
      <c r="G806">
        <v>0</v>
      </c>
      <c r="H806">
        <f>(ORDERS[[#This Row],[UnitsOrdered]]*ORDERS[[#This Row],[unit price]])-(ORDERS[[#This Row],[UnitsOrdered]]*ORDERS[[#This Row],[unit price]]*ORDERS[[#This Row],[Discount]])</f>
        <v>2620</v>
      </c>
      <c r="I806" t="str">
        <f>VLOOKUP(ORDERS[[#This Row],[CustomerID]],customers[],2,FALSE)</f>
        <v>A Shirts Life</v>
      </c>
      <c r="J806" s="2" t="str">
        <f>VLOOKUP(ORDERS[[#This Row],[CustomerID]],customers[],4,FALSE)</f>
        <v>Portland</v>
      </c>
      <c r="K806" s="2" t="str">
        <f>VLOOKUP(ORDERS[[#This Row],[ProductID]],Products[],3,FALSE)</f>
        <v>Both</v>
      </c>
      <c r="L806" s="2">
        <f>DAY(ORDERS[[#This Row],[OrderDate]])</f>
        <v>10</v>
      </c>
      <c r="M806" s="2">
        <f>YEAR(ORDERS[[#This Row],[OrderDate]])</f>
        <v>2013</v>
      </c>
    </row>
    <row r="807" spans="1:13" x14ac:dyDescent="0.3">
      <c r="A807">
        <v>806</v>
      </c>
      <c r="B807">
        <v>6</v>
      </c>
      <c r="C807">
        <v>2</v>
      </c>
      <c r="D807" s="1">
        <v>41557</v>
      </c>
      <c r="E807">
        <v>136</v>
      </c>
      <c r="F807">
        <f>VLOOKUP(ORDERS[[#This Row],[ProductID]],Products[],4,FALSE)</f>
        <v>30</v>
      </c>
      <c r="G807">
        <v>0</v>
      </c>
      <c r="H807">
        <f>(ORDERS[[#This Row],[UnitsOrdered]]*ORDERS[[#This Row],[unit price]])-(ORDERS[[#This Row],[UnitsOrdered]]*ORDERS[[#This Row],[unit price]]*ORDERS[[#This Row],[Discount]])</f>
        <v>4080</v>
      </c>
      <c r="I807" t="str">
        <f>VLOOKUP(ORDERS[[#This Row],[CustomerID]],customers[],2,FALSE)</f>
        <v>Abracadaba Ink</v>
      </c>
      <c r="J807" s="2" t="str">
        <f>VLOOKUP(ORDERS[[#This Row],[CustomerID]],customers[],4,FALSE)</f>
        <v>Salt Lake City</v>
      </c>
      <c r="K807" s="2" t="str">
        <f>VLOOKUP(ORDERS[[#This Row],[ProductID]],Products[],3,FALSE)</f>
        <v>Both</v>
      </c>
      <c r="L807" s="2">
        <f>DAY(ORDERS[[#This Row],[OrderDate]])</f>
        <v>10</v>
      </c>
      <c r="M807" s="2">
        <f>YEAR(ORDERS[[#This Row],[OrderDate]])</f>
        <v>2013</v>
      </c>
    </row>
    <row r="808" spans="1:13" x14ac:dyDescent="0.3">
      <c r="A808">
        <v>807</v>
      </c>
      <c r="B808">
        <v>7</v>
      </c>
      <c r="C808">
        <v>3</v>
      </c>
      <c r="D808" s="1">
        <v>41559</v>
      </c>
      <c r="E808">
        <v>41</v>
      </c>
      <c r="F808">
        <f>VLOOKUP(ORDERS[[#This Row],[ProductID]],Products[],4,FALSE)</f>
        <v>22</v>
      </c>
      <c r="G808">
        <v>0</v>
      </c>
      <c r="H808">
        <f>(ORDERS[[#This Row],[UnitsOrdered]]*ORDERS[[#This Row],[unit price]])-(ORDERS[[#This Row],[UnitsOrdered]]*ORDERS[[#This Row],[unit price]]*ORDERS[[#This Row],[Discount]])</f>
        <v>902</v>
      </c>
      <c r="I808" t="str">
        <f>VLOOKUP(ORDERS[[#This Row],[CustomerID]],customers[],2,FALSE)</f>
        <v>The Shirt on Your Back</v>
      </c>
      <c r="J808" s="2" t="str">
        <f>VLOOKUP(ORDERS[[#This Row],[CustomerID]],customers[],4,FALSE)</f>
        <v>Bonners Ferry</v>
      </c>
      <c r="K808" s="2" t="str">
        <f>VLOOKUP(ORDERS[[#This Row],[ProductID]],Products[],3,FALSE)</f>
        <v>Both</v>
      </c>
      <c r="L808" s="2">
        <f>DAY(ORDERS[[#This Row],[OrderDate]])</f>
        <v>12</v>
      </c>
      <c r="M808" s="2">
        <f>YEAR(ORDERS[[#This Row],[OrderDate]])</f>
        <v>2013</v>
      </c>
    </row>
    <row r="809" spans="1:13" x14ac:dyDescent="0.3">
      <c r="A809">
        <v>808</v>
      </c>
      <c r="B809">
        <v>5</v>
      </c>
      <c r="C809">
        <v>8</v>
      </c>
      <c r="D809" s="1">
        <v>41561</v>
      </c>
      <c r="E809">
        <v>141</v>
      </c>
      <c r="F809">
        <f>VLOOKUP(ORDERS[[#This Row],[ProductID]],Products[],4,FALSE)</f>
        <v>27</v>
      </c>
      <c r="G809">
        <v>0</v>
      </c>
      <c r="H809">
        <f>(ORDERS[[#This Row],[UnitsOrdered]]*ORDERS[[#This Row],[unit price]])-(ORDERS[[#This Row],[UnitsOrdered]]*ORDERS[[#This Row],[unit price]]*ORDERS[[#This Row],[Discount]])</f>
        <v>3807</v>
      </c>
      <c r="I809" t="str">
        <f>VLOOKUP(ORDERS[[#This Row],[CustomerID]],customers[],2,FALSE)</f>
        <v>Rags to Riches</v>
      </c>
      <c r="J809" s="2" t="str">
        <f>VLOOKUP(ORDERS[[#This Row],[CustomerID]],customers[],4,FALSE)</f>
        <v>Las Vegas</v>
      </c>
      <c r="K809" s="2" t="str">
        <f>VLOOKUP(ORDERS[[#This Row],[ProductID]],Products[],3,FALSE)</f>
        <v>Female</v>
      </c>
      <c r="L809" s="2">
        <f>DAY(ORDERS[[#This Row],[OrderDate]])</f>
        <v>14</v>
      </c>
      <c r="M809" s="2">
        <f>YEAR(ORDERS[[#This Row],[OrderDate]])</f>
        <v>2013</v>
      </c>
    </row>
    <row r="810" spans="1:13" x14ac:dyDescent="0.3">
      <c r="A810">
        <v>809</v>
      </c>
      <c r="B810">
        <v>2</v>
      </c>
      <c r="C810">
        <v>4</v>
      </c>
      <c r="D810" s="1">
        <v>41563</v>
      </c>
      <c r="E810">
        <v>138</v>
      </c>
      <c r="F810">
        <f>VLOOKUP(ORDERS[[#This Row],[ProductID]],Products[],4,FALSE)</f>
        <v>30</v>
      </c>
      <c r="G810">
        <v>0</v>
      </c>
      <c r="H810">
        <f>(ORDERS[[#This Row],[UnitsOrdered]]*ORDERS[[#This Row],[unit price]])-(ORDERS[[#This Row],[UnitsOrdered]]*ORDERS[[#This Row],[unit price]]*ORDERS[[#This Row],[Discount]])</f>
        <v>4140</v>
      </c>
      <c r="I810" t="str">
        <f>VLOOKUP(ORDERS[[#This Row],[CustomerID]],customers[],2,FALSE)</f>
        <v>A Shirts Life</v>
      </c>
      <c r="J810" s="2" t="str">
        <f>VLOOKUP(ORDERS[[#This Row],[CustomerID]],customers[],4,FALSE)</f>
        <v>Portland</v>
      </c>
      <c r="K810" s="2" t="str">
        <f>VLOOKUP(ORDERS[[#This Row],[ProductID]],Products[],3,FALSE)</f>
        <v>Both</v>
      </c>
      <c r="L810" s="2">
        <f>DAY(ORDERS[[#This Row],[OrderDate]])</f>
        <v>16</v>
      </c>
      <c r="M810" s="2">
        <f>YEAR(ORDERS[[#This Row],[OrderDate]])</f>
        <v>2013</v>
      </c>
    </row>
    <row r="811" spans="1:13" x14ac:dyDescent="0.3">
      <c r="A811">
        <v>810</v>
      </c>
      <c r="B811">
        <v>5</v>
      </c>
      <c r="C811">
        <v>10</v>
      </c>
      <c r="D811" s="1">
        <v>41564</v>
      </c>
      <c r="E811">
        <v>104</v>
      </c>
      <c r="F811">
        <f>VLOOKUP(ORDERS[[#This Row],[ProductID]],Products[],4,FALSE)</f>
        <v>35</v>
      </c>
      <c r="G811">
        <v>0.10000000100000001</v>
      </c>
      <c r="H811">
        <f>(ORDERS[[#This Row],[UnitsOrdered]]*ORDERS[[#This Row],[unit price]])-(ORDERS[[#This Row],[UnitsOrdered]]*ORDERS[[#This Row],[unit price]]*ORDERS[[#This Row],[Discount]])</f>
        <v>3275.9999963599998</v>
      </c>
      <c r="I811" t="str">
        <f>VLOOKUP(ORDERS[[#This Row],[CustomerID]],customers[],2,FALSE)</f>
        <v>Rags to Riches</v>
      </c>
      <c r="J811" s="2" t="str">
        <f>VLOOKUP(ORDERS[[#This Row],[CustomerID]],customers[],4,FALSE)</f>
        <v>Las Vegas</v>
      </c>
      <c r="K811" s="2" t="str">
        <f>VLOOKUP(ORDERS[[#This Row],[ProductID]],Products[],3,FALSE)</f>
        <v>Male</v>
      </c>
      <c r="L811" s="2">
        <f>DAY(ORDERS[[#This Row],[OrderDate]])</f>
        <v>17</v>
      </c>
      <c r="M811" s="2">
        <f>YEAR(ORDERS[[#This Row],[OrderDate]])</f>
        <v>2013</v>
      </c>
    </row>
    <row r="812" spans="1:13" x14ac:dyDescent="0.3">
      <c r="A812">
        <v>811</v>
      </c>
      <c r="B812">
        <v>3</v>
      </c>
      <c r="C812">
        <v>10</v>
      </c>
      <c r="D812" s="1">
        <v>41565</v>
      </c>
      <c r="E812">
        <v>104</v>
      </c>
      <c r="F812">
        <f>VLOOKUP(ORDERS[[#This Row],[ProductID]],Products[],4,FALSE)</f>
        <v>35</v>
      </c>
      <c r="G812">
        <v>0</v>
      </c>
      <c r="H812">
        <f>(ORDERS[[#This Row],[UnitsOrdered]]*ORDERS[[#This Row],[unit price]])-(ORDERS[[#This Row],[UnitsOrdered]]*ORDERS[[#This Row],[unit price]]*ORDERS[[#This Row],[Discount]])</f>
        <v>3640</v>
      </c>
      <c r="I812" t="str">
        <f>VLOOKUP(ORDERS[[#This Row],[CustomerID]],customers[],2,FALSE)</f>
        <v>Shirts R Us</v>
      </c>
      <c r="J812" s="2" t="str">
        <f>VLOOKUP(ORDERS[[#This Row],[CustomerID]],customers[],4,FALSE)</f>
        <v>Los Angeles</v>
      </c>
      <c r="K812" s="2" t="str">
        <f>VLOOKUP(ORDERS[[#This Row],[ProductID]],Products[],3,FALSE)</f>
        <v>Male</v>
      </c>
      <c r="L812" s="2">
        <f>DAY(ORDERS[[#This Row],[OrderDate]])</f>
        <v>18</v>
      </c>
      <c r="M812" s="2">
        <f>YEAR(ORDERS[[#This Row],[OrderDate]])</f>
        <v>2013</v>
      </c>
    </row>
    <row r="813" spans="1:13" x14ac:dyDescent="0.3">
      <c r="A813">
        <v>812</v>
      </c>
      <c r="B813">
        <v>3</v>
      </c>
      <c r="C813">
        <v>8</v>
      </c>
      <c r="D813" s="1">
        <v>41568</v>
      </c>
      <c r="E813">
        <v>71</v>
      </c>
      <c r="F813">
        <f>VLOOKUP(ORDERS[[#This Row],[ProductID]],Products[],4,FALSE)</f>
        <v>27</v>
      </c>
      <c r="G813">
        <v>0</v>
      </c>
      <c r="H813">
        <f>(ORDERS[[#This Row],[UnitsOrdered]]*ORDERS[[#This Row],[unit price]])-(ORDERS[[#This Row],[UnitsOrdered]]*ORDERS[[#This Row],[unit price]]*ORDERS[[#This Row],[Discount]])</f>
        <v>1917</v>
      </c>
      <c r="I813" t="str">
        <f>VLOOKUP(ORDERS[[#This Row],[CustomerID]],customers[],2,FALSE)</f>
        <v>Shirts R Us</v>
      </c>
      <c r="J813" s="2" t="str">
        <f>VLOOKUP(ORDERS[[#This Row],[CustomerID]],customers[],4,FALSE)</f>
        <v>Los Angeles</v>
      </c>
      <c r="K813" s="2" t="str">
        <f>VLOOKUP(ORDERS[[#This Row],[ProductID]],Products[],3,FALSE)</f>
        <v>Female</v>
      </c>
      <c r="L813" s="2">
        <f>DAY(ORDERS[[#This Row],[OrderDate]])</f>
        <v>21</v>
      </c>
      <c r="M813" s="2">
        <f>YEAR(ORDERS[[#This Row],[OrderDate]])</f>
        <v>2013</v>
      </c>
    </row>
    <row r="814" spans="1:13" x14ac:dyDescent="0.3">
      <c r="A814">
        <v>813</v>
      </c>
      <c r="B814">
        <v>7</v>
      </c>
      <c r="C814">
        <v>6</v>
      </c>
      <c r="D814" s="1">
        <v>41568</v>
      </c>
      <c r="E814">
        <v>104</v>
      </c>
      <c r="F814">
        <f>VLOOKUP(ORDERS[[#This Row],[ProductID]],Products[],4,FALSE)</f>
        <v>28</v>
      </c>
      <c r="G814">
        <v>0</v>
      </c>
      <c r="H814">
        <f>(ORDERS[[#This Row],[UnitsOrdered]]*ORDERS[[#This Row],[unit price]])-(ORDERS[[#This Row],[UnitsOrdered]]*ORDERS[[#This Row],[unit price]]*ORDERS[[#This Row],[Discount]])</f>
        <v>2912</v>
      </c>
      <c r="I814" t="str">
        <f>VLOOKUP(ORDERS[[#This Row],[CustomerID]],customers[],2,FALSE)</f>
        <v>The Shirt on Your Back</v>
      </c>
      <c r="J814" s="2" t="str">
        <f>VLOOKUP(ORDERS[[#This Row],[CustomerID]],customers[],4,FALSE)</f>
        <v>Bonners Ferry</v>
      </c>
      <c r="K814" s="2" t="str">
        <f>VLOOKUP(ORDERS[[#This Row],[ProductID]],Products[],3,FALSE)</f>
        <v>Female</v>
      </c>
      <c r="L814" s="2">
        <f>DAY(ORDERS[[#This Row],[OrderDate]])</f>
        <v>21</v>
      </c>
      <c r="M814" s="2">
        <f>YEAR(ORDERS[[#This Row],[OrderDate]])</f>
        <v>2013</v>
      </c>
    </row>
    <row r="815" spans="1:13" x14ac:dyDescent="0.3">
      <c r="A815">
        <v>814</v>
      </c>
      <c r="B815">
        <v>7</v>
      </c>
      <c r="C815">
        <v>7</v>
      </c>
      <c r="D815" s="1">
        <v>41568</v>
      </c>
      <c r="E815">
        <v>54</v>
      </c>
      <c r="F815">
        <f>VLOOKUP(ORDERS[[#This Row],[ProductID]],Products[],4,FALSE)</f>
        <v>38</v>
      </c>
      <c r="G815">
        <v>0</v>
      </c>
      <c r="H815">
        <f>(ORDERS[[#This Row],[UnitsOrdered]]*ORDERS[[#This Row],[unit price]])-(ORDERS[[#This Row],[UnitsOrdered]]*ORDERS[[#This Row],[unit price]]*ORDERS[[#This Row],[Discount]])</f>
        <v>2052</v>
      </c>
      <c r="I815" t="str">
        <f>VLOOKUP(ORDERS[[#This Row],[CustomerID]],customers[],2,FALSE)</f>
        <v>The Shirt on Your Back</v>
      </c>
      <c r="J815" s="2" t="str">
        <f>VLOOKUP(ORDERS[[#This Row],[CustomerID]],customers[],4,FALSE)</f>
        <v>Bonners Ferry</v>
      </c>
      <c r="K815" s="2" t="str">
        <f>VLOOKUP(ORDERS[[#This Row],[ProductID]],Products[],3,FALSE)</f>
        <v>Female</v>
      </c>
      <c r="L815" s="2">
        <f>DAY(ORDERS[[#This Row],[OrderDate]])</f>
        <v>21</v>
      </c>
      <c r="M815" s="2">
        <f>YEAR(ORDERS[[#This Row],[OrderDate]])</f>
        <v>2013</v>
      </c>
    </row>
    <row r="816" spans="1:13" x14ac:dyDescent="0.3">
      <c r="A816">
        <v>815</v>
      </c>
      <c r="B816">
        <v>3</v>
      </c>
      <c r="C816">
        <v>1</v>
      </c>
      <c r="D816" s="1">
        <v>41569</v>
      </c>
      <c r="E816">
        <v>25</v>
      </c>
      <c r="F816">
        <f>VLOOKUP(ORDERS[[#This Row],[ProductID]],Products[],4,FALSE)</f>
        <v>20</v>
      </c>
      <c r="G816">
        <v>0</v>
      </c>
      <c r="H816">
        <f>(ORDERS[[#This Row],[UnitsOrdered]]*ORDERS[[#This Row],[unit price]])-(ORDERS[[#This Row],[UnitsOrdered]]*ORDERS[[#This Row],[unit price]]*ORDERS[[#This Row],[Discount]])</f>
        <v>500</v>
      </c>
      <c r="I816" t="str">
        <f>VLOOKUP(ORDERS[[#This Row],[CustomerID]],customers[],2,FALSE)</f>
        <v>Shirts R Us</v>
      </c>
      <c r="J816" s="2" t="str">
        <f>VLOOKUP(ORDERS[[#This Row],[CustomerID]],customers[],4,FALSE)</f>
        <v>Los Angeles</v>
      </c>
      <c r="K816" s="2" t="str">
        <f>VLOOKUP(ORDERS[[#This Row],[ProductID]],Products[],3,FALSE)</f>
        <v>Both</v>
      </c>
      <c r="L816" s="2">
        <f>DAY(ORDERS[[#This Row],[OrderDate]])</f>
        <v>22</v>
      </c>
      <c r="M816" s="2">
        <f>YEAR(ORDERS[[#This Row],[OrderDate]])</f>
        <v>2013</v>
      </c>
    </row>
    <row r="817" spans="1:13" x14ac:dyDescent="0.3">
      <c r="A817">
        <v>816</v>
      </c>
      <c r="B817">
        <v>1</v>
      </c>
      <c r="C817">
        <v>6</v>
      </c>
      <c r="D817" s="1">
        <v>41571</v>
      </c>
      <c r="E817">
        <v>142</v>
      </c>
      <c r="F817">
        <f>VLOOKUP(ORDERS[[#This Row],[ProductID]],Products[],4,FALSE)</f>
        <v>28</v>
      </c>
      <c r="G817">
        <v>5.0000001000000002E-2</v>
      </c>
      <c r="H817">
        <f>(ORDERS[[#This Row],[UnitsOrdered]]*ORDERS[[#This Row],[unit price]])-(ORDERS[[#This Row],[UnitsOrdered]]*ORDERS[[#This Row],[unit price]]*ORDERS[[#This Row],[Discount]])</f>
        <v>3777.199996024</v>
      </c>
      <c r="I817" t="str">
        <f>VLOOKUP(ORDERS[[#This Row],[CustomerID]],customers[],2,FALSE)</f>
        <v>Threads</v>
      </c>
      <c r="J817" s="2" t="str">
        <f>VLOOKUP(ORDERS[[#This Row],[CustomerID]],customers[],4,FALSE)</f>
        <v>Seattle</v>
      </c>
      <c r="K817" s="2" t="str">
        <f>VLOOKUP(ORDERS[[#This Row],[ProductID]],Products[],3,FALSE)</f>
        <v>Female</v>
      </c>
      <c r="L817" s="2">
        <f>DAY(ORDERS[[#This Row],[OrderDate]])</f>
        <v>24</v>
      </c>
      <c r="M817" s="2">
        <f>YEAR(ORDERS[[#This Row],[OrderDate]])</f>
        <v>2013</v>
      </c>
    </row>
    <row r="818" spans="1:13" x14ac:dyDescent="0.3">
      <c r="A818">
        <v>817</v>
      </c>
      <c r="B818">
        <v>7</v>
      </c>
      <c r="C818">
        <v>5</v>
      </c>
      <c r="D818" s="1">
        <v>41573</v>
      </c>
      <c r="E818">
        <v>115</v>
      </c>
      <c r="F818">
        <f>VLOOKUP(ORDERS[[#This Row],[ProductID]],Products[],4,FALSE)</f>
        <v>16</v>
      </c>
      <c r="G818">
        <v>0</v>
      </c>
      <c r="H818">
        <f>(ORDERS[[#This Row],[UnitsOrdered]]*ORDERS[[#This Row],[unit price]])-(ORDERS[[#This Row],[UnitsOrdered]]*ORDERS[[#This Row],[unit price]]*ORDERS[[#This Row],[Discount]])</f>
        <v>1840</v>
      </c>
      <c r="I818" t="str">
        <f>VLOOKUP(ORDERS[[#This Row],[CustomerID]],customers[],2,FALSE)</f>
        <v>The Shirt on Your Back</v>
      </c>
      <c r="J818" s="2" t="str">
        <f>VLOOKUP(ORDERS[[#This Row],[CustomerID]],customers[],4,FALSE)</f>
        <v>Bonners Ferry</v>
      </c>
      <c r="K818" s="2" t="str">
        <f>VLOOKUP(ORDERS[[#This Row],[ProductID]],Products[],3,FALSE)</f>
        <v>Female</v>
      </c>
      <c r="L818" s="2">
        <f>DAY(ORDERS[[#This Row],[OrderDate]])</f>
        <v>26</v>
      </c>
      <c r="M818" s="2">
        <f>YEAR(ORDERS[[#This Row],[OrderDate]])</f>
        <v>2013</v>
      </c>
    </row>
    <row r="819" spans="1:13" x14ac:dyDescent="0.3">
      <c r="A819">
        <v>818</v>
      </c>
      <c r="B819">
        <v>4</v>
      </c>
      <c r="C819">
        <v>8</v>
      </c>
      <c r="D819" s="1">
        <v>41574</v>
      </c>
      <c r="E819">
        <v>96</v>
      </c>
      <c r="F819">
        <f>VLOOKUP(ORDERS[[#This Row],[ProductID]],Products[],4,FALSE)</f>
        <v>27</v>
      </c>
      <c r="G819">
        <v>0</v>
      </c>
      <c r="H819">
        <f>(ORDERS[[#This Row],[UnitsOrdered]]*ORDERS[[#This Row],[unit price]])-(ORDERS[[#This Row],[UnitsOrdered]]*ORDERS[[#This Row],[unit price]]*ORDERS[[#This Row],[Discount]])</f>
        <v>2592</v>
      </c>
      <c r="I819" t="str">
        <f>VLOOKUP(ORDERS[[#This Row],[CustomerID]],customers[],2,FALSE)</f>
        <v>Tshirt Unlimited</v>
      </c>
      <c r="J819" s="2" t="str">
        <f>VLOOKUP(ORDERS[[#This Row],[CustomerID]],customers[],4,FALSE)</f>
        <v>Phoenix</v>
      </c>
      <c r="K819" s="2" t="str">
        <f>VLOOKUP(ORDERS[[#This Row],[ProductID]],Products[],3,FALSE)</f>
        <v>Female</v>
      </c>
      <c r="L819" s="2">
        <f>DAY(ORDERS[[#This Row],[OrderDate]])</f>
        <v>27</v>
      </c>
      <c r="M819" s="2">
        <f>YEAR(ORDERS[[#This Row],[OrderDate]])</f>
        <v>2013</v>
      </c>
    </row>
    <row r="820" spans="1:13" x14ac:dyDescent="0.3">
      <c r="A820">
        <v>819</v>
      </c>
      <c r="B820">
        <v>4</v>
      </c>
      <c r="C820">
        <v>4</v>
      </c>
      <c r="D820" s="1">
        <v>41575</v>
      </c>
      <c r="E820">
        <v>40</v>
      </c>
      <c r="F820">
        <f>VLOOKUP(ORDERS[[#This Row],[ProductID]],Products[],4,FALSE)</f>
        <v>30</v>
      </c>
      <c r="G820">
        <v>0</v>
      </c>
      <c r="H820">
        <f>(ORDERS[[#This Row],[UnitsOrdered]]*ORDERS[[#This Row],[unit price]])-(ORDERS[[#This Row],[UnitsOrdered]]*ORDERS[[#This Row],[unit price]]*ORDERS[[#This Row],[Discount]])</f>
        <v>1200</v>
      </c>
      <c r="I820" t="str">
        <f>VLOOKUP(ORDERS[[#This Row],[CustomerID]],customers[],2,FALSE)</f>
        <v>Tshirt Unlimited</v>
      </c>
      <c r="J820" s="2" t="str">
        <f>VLOOKUP(ORDERS[[#This Row],[CustomerID]],customers[],4,FALSE)</f>
        <v>Phoenix</v>
      </c>
      <c r="K820" s="2" t="str">
        <f>VLOOKUP(ORDERS[[#This Row],[ProductID]],Products[],3,FALSE)</f>
        <v>Both</v>
      </c>
      <c r="L820" s="2">
        <f>DAY(ORDERS[[#This Row],[OrderDate]])</f>
        <v>28</v>
      </c>
      <c r="M820" s="2">
        <f>YEAR(ORDERS[[#This Row],[OrderDate]])</f>
        <v>2013</v>
      </c>
    </row>
    <row r="821" spans="1:13" x14ac:dyDescent="0.3">
      <c r="A821">
        <v>820</v>
      </c>
      <c r="B821">
        <v>7</v>
      </c>
      <c r="C821">
        <v>8</v>
      </c>
      <c r="D821" s="1">
        <v>41575</v>
      </c>
      <c r="E821">
        <v>85</v>
      </c>
      <c r="F821">
        <f>VLOOKUP(ORDERS[[#This Row],[ProductID]],Products[],4,FALSE)</f>
        <v>27</v>
      </c>
      <c r="G821">
        <v>0</v>
      </c>
      <c r="H821">
        <f>(ORDERS[[#This Row],[UnitsOrdered]]*ORDERS[[#This Row],[unit price]])-(ORDERS[[#This Row],[UnitsOrdered]]*ORDERS[[#This Row],[unit price]]*ORDERS[[#This Row],[Discount]])</f>
        <v>2295</v>
      </c>
      <c r="I821" t="str">
        <f>VLOOKUP(ORDERS[[#This Row],[CustomerID]],customers[],2,FALSE)</f>
        <v>The Shirt on Your Back</v>
      </c>
      <c r="J821" s="2" t="str">
        <f>VLOOKUP(ORDERS[[#This Row],[CustomerID]],customers[],4,FALSE)</f>
        <v>Bonners Ferry</v>
      </c>
      <c r="K821" s="2" t="str">
        <f>VLOOKUP(ORDERS[[#This Row],[ProductID]],Products[],3,FALSE)</f>
        <v>Female</v>
      </c>
      <c r="L821" s="2">
        <f>DAY(ORDERS[[#This Row],[OrderDate]])</f>
        <v>28</v>
      </c>
      <c r="M821" s="2">
        <f>YEAR(ORDERS[[#This Row],[OrderDate]])</f>
        <v>2013</v>
      </c>
    </row>
    <row r="822" spans="1:13" x14ac:dyDescent="0.3">
      <c r="A822">
        <v>821</v>
      </c>
      <c r="B822">
        <v>5</v>
      </c>
      <c r="C822">
        <v>2</v>
      </c>
      <c r="D822" s="1">
        <v>41576</v>
      </c>
      <c r="E822">
        <v>31</v>
      </c>
      <c r="F822">
        <f>VLOOKUP(ORDERS[[#This Row],[ProductID]],Products[],4,FALSE)</f>
        <v>30</v>
      </c>
      <c r="G822">
        <v>0</v>
      </c>
      <c r="H822">
        <f>(ORDERS[[#This Row],[UnitsOrdered]]*ORDERS[[#This Row],[unit price]])-(ORDERS[[#This Row],[UnitsOrdered]]*ORDERS[[#This Row],[unit price]]*ORDERS[[#This Row],[Discount]])</f>
        <v>930</v>
      </c>
      <c r="I822" t="str">
        <f>VLOOKUP(ORDERS[[#This Row],[CustomerID]],customers[],2,FALSE)</f>
        <v>Rags to Riches</v>
      </c>
      <c r="J822" s="2" t="str">
        <f>VLOOKUP(ORDERS[[#This Row],[CustomerID]],customers[],4,FALSE)</f>
        <v>Las Vegas</v>
      </c>
      <c r="K822" s="2" t="str">
        <f>VLOOKUP(ORDERS[[#This Row],[ProductID]],Products[],3,FALSE)</f>
        <v>Both</v>
      </c>
      <c r="L822" s="2">
        <f>DAY(ORDERS[[#This Row],[OrderDate]])</f>
        <v>29</v>
      </c>
      <c r="M822" s="2">
        <f>YEAR(ORDERS[[#This Row],[OrderDate]])</f>
        <v>2013</v>
      </c>
    </row>
    <row r="823" spans="1:13" x14ac:dyDescent="0.3">
      <c r="A823">
        <v>822</v>
      </c>
      <c r="B823">
        <v>1</v>
      </c>
      <c r="C823">
        <v>3</v>
      </c>
      <c r="D823" s="1">
        <v>41577</v>
      </c>
      <c r="E823">
        <v>32</v>
      </c>
      <c r="F823">
        <f>VLOOKUP(ORDERS[[#This Row],[ProductID]],Products[],4,FALSE)</f>
        <v>22</v>
      </c>
      <c r="G823">
        <v>0</v>
      </c>
      <c r="H823">
        <f>(ORDERS[[#This Row],[UnitsOrdered]]*ORDERS[[#This Row],[unit price]])-(ORDERS[[#This Row],[UnitsOrdered]]*ORDERS[[#This Row],[unit price]]*ORDERS[[#This Row],[Discount]])</f>
        <v>704</v>
      </c>
      <c r="I823" t="str">
        <f>VLOOKUP(ORDERS[[#This Row],[CustomerID]],customers[],2,FALSE)</f>
        <v>Threads</v>
      </c>
      <c r="J823" s="2" t="str">
        <f>VLOOKUP(ORDERS[[#This Row],[CustomerID]],customers[],4,FALSE)</f>
        <v>Seattle</v>
      </c>
      <c r="K823" s="2" t="str">
        <f>VLOOKUP(ORDERS[[#This Row],[ProductID]],Products[],3,FALSE)</f>
        <v>Both</v>
      </c>
      <c r="L823" s="2">
        <f>DAY(ORDERS[[#This Row],[OrderDate]])</f>
        <v>30</v>
      </c>
      <c r="M823" s="2">
        <f>YEAR(ORDERS[[#This Row],[OrderDate]])</f>
        <v>2013</v>
      </c>
    </row>
    <row r="824" spans="1:13" x14ac:dyDescent="0.3">
      <c r="A824">
        <v>823</v>
      </c>
      <c r="B824">
        <v>1</v>
      </c>
      <c r="C824">
        <v>8</v>
      </c>
      <c r="D824" s="1">
        <v>41578</v>
      </c>
      <c r="E824">
        <v>85</v>
      </c>
      <c r="F824">
        <f>VLOOKUP(ORDERS[[#This Row],[ProductID]],Products[],4,FALSE)</f>
        <v>27</v>
      </c>
      <c r="G824">
        <v>0.10000000100000001</v>
      </c>
      <c r="H824">
        <f>(ORDERS[[#This Row],[UnitsOrdered]]*ORDERS[[#This Row],[unit price]])-(ORDERS[[#This Row],[UnitsOrdered]]*ORDERS[[#This Row],[unit price]]*ORDERS[[#This Row],[Discount]])</f>
        <v>2065.4999977050002</v>
      </c>
      <c r="I824" t="str">
        <f>VLOOKUP(ORDERS[[#This Row],[CustomerID]],customers[],2,FALSE)</f>
        <v>Threads</v>
      </c>
      <c r="J824" s="2" t="str">
        <f>VLOOKUP(ORDERS[[#This Row],[CustomerID]],customers[],4,FALSE)</f>
        <v>Seattle</v>
      </c>
      <c r="K824" s="2" t="str">
        <f>VLOOKUP(ORDERS[[#This Row],[ProductID]],Products[],3,FALSE)</f>
        <v>Female</v>
      </c>
      <c r="L824" s="2">
        <f>DAY(ORDERS[[#This Row],[OrderDate]])</f>
        <v>31</v>
      </c>
      <c r="M824" s="2">
        <f>YEAR(ORDERS[[#This Row],[OrderDate]])</f>
        <v>2013</v>
      </c>
    </row>
    <row r="825" spans="1:13" x14ac:dyDescent="0.3">
      <c r="A825">
        <v>824</v>
      </c>
      <c r="B825">
        <v>6</v>
      </c>
      <c r="C825">
        <v>3</v>
      </c>
      <c r="D825" s="1">
        <v>41578</v>
      </c>
      <c r="E825">
        <v>140</v>
      </c>
      <c r="F825">
        <f>VLOOKUP(ORDERS[[#This Row],[ProductID]],Products[],4,FALSE)</f>
        <v>22</v>
      </c>
      <c r="G825">
        <v>0</v>
      </c>
      <c r="H825">
        <f>(ORDERS[[#This Row],[UnitsOrdered]]*ORDERS[[#This Row],[unit price]])-(ORDERS[[#This Row],[UnitsOrdered]]*ORDERS[[#This Row],[unit price]]*ORDERS[[#This Row],[Discount]])</f>
        <v>3080</v>
      </c>
      <c r="I825" t="str">
        <f>VLOOKUP(ORDERS[[#This Row],[CustomerID]],customers[],2,FALSE)</f>
        <v>Abracadaba Ink</v>
      </c>
      <c r="J825" s="2" t="str">
        <f>VLOOKUP(ORDERS[[#This Row],[CustomerID]],customers[],4,FALSE)</f>
        <v>Salt Lake City</v>
      </c>
      <c r="K825" s="2" t="str">
        <f>VLOOKUP(ORDERS[[#This Row],[ProductID]],Products[],3,FALSE)</f>
        <v>Both</v>
      </c>
      <c r="L825" s="2">
        <f>DAY(ORDERS[[#This Row],[OrderDate]])</f>
        <v>31</v>
      </c>
      <c r="M825" s="2">
        <f>YEAR(ORDERS[[#This Row],[OrderDate]])</f>
        <v>2013</v>
      </c>
    </row>
    <row r="826" spans="1:13" x14ac:dyDescent="0.3">
      <c r="A826">
        <v>825</v>
      </c>
      <c r="B826">
        <v>6</v>
      </c>
      <c r="C826">
        <v>6</v>
      </c>
      <c r="D826" s="1">
        <v>41580</v>
      </c>
      <c r="E826">
        <v>98</v>
      </c>
      <c r="F826">
        <f>VLOOKUP(ORDERS[[#This Row],[ProductID]],Products[],4,FALSE)</f>
        <v>28</v>
      </c>
      <c r="G826">
        <v>0</v>
      </c>
      <c r="H826">
        <f>(ORDERS[[#This Row],[UnitsOrdered]]*ORDERS[[#This Row],[unit price]])-(ORDERS[[#This Row],[UnitsOrdered]]*ORDERS[[#This Row],[unit price]]*ORDERS[[#This Row],[Discount]])</f>
        <v>2744</v>
      </c>
      <c r="I826" t="str">
        <f>VLOOKUP(ORDERS[[#This Row],[CustomerID]],customers[],2,FALSE)</f>
        <v>Abracadaba Ink</v>
      </c>
      <c r="J826" s="2" t="str">
        <f>VLOOKUP(ORDERS[[#This Row],[CustomerID]],customers[],4,FALSE)</f>
        <v>Salt Lake City</v>
      </c>
      <c r="K826" s="2" t="str">
        <f>VLOOKUP(ORDERS[[#This Row],[ProductID]],Products[],3,FALSE)</f>
        <v>Female</v>
      </c>
      <c r="L826" s="2">
        <f>DAY(ORDERS[[#This Row],[OrderDate]])</f>
        <v>2</v>
      </c>
      <c r="M826" s="2">
        <f>YEAR(ORDERS[[#This Row],[OrderDate]])</f>
        <v>2013</v>
      </c>
    </row>
    <row r="827" spans="1:13" x14ac:dyDescent="0.3">
      <c r="A827">
        <v>826</v>
      </c>
      <c r="B827">
        <v>7</v>
      </c>
      <c r="C827">
        <v>8</v>
      </c>
      <c r="D827" s="1">
        <v>41582</v>
      </c>
      <c r="E827">
        <v>118</v>
      </c>
      <c r="F827">
        <f>VLOOKUP(ORDERS[[#This Row],[ProductID]],Products[],4,FALSE)</f>
        <v>27</v>
      </c>
      <c r="G827">
        <v>0</v>
      </c>
      <c r="H827">
        <f>(ORDERS[[#This Row],[UnitsOrdered]]*ORDERS[[#This Row],[unit price]])-(ORDERS[[#This Row],[UnitsOrdered]]*ORDERS[[#This Row],[unit price]]*ORDERS[[#This Row],[Discount]])</f>
        <v>3186</v>
      </c>
      <c r="I827" t="str">
        <f>VLOOKUP(ORDERS[[#This Row],[CustomerID]],customers[],2,FALSE)</f>
        <v>The Shirt on Your Back</v>
      </c>
      <c r="J827" s="2" t="str">
        <f>VLOOKUP(ORDERS[[#This Row],[CustomerID]],customers[],4,FALSE)</f>
        <v>Bonners Ferry</v>
      </c>
      <c r="K827" s="2" t="str">
        <f>VLOOKUP(ORDERS[[#This Row],[ProductID]],Products[],3,FALSE)</f>
        <v>Female</v>
      </c>
      <c r="L827" s="2">
        <f>DAY(ORDERS[[#This Row],[OrderDate]])</f>
        <v>4</v>
      </c>
      <c r="M827" s="2">
        <f>YEAR(ORDERS[[#This Row],[OrderDate]])</f>
        <v>2013</v>
      </c>
    </row>
    <row r="828" spans="1:13" x14ac:dyDescent="0.3">
      <c r="A828">
        <v>827</v>
      </c>
      <c r="B828">
        <v>4</v>
      </c>
      <c r="C828">
        <v>6</v>
      </c>
      <c r="D828" s="1">
        <v>41583</v>
      </c>
      <c r="E828">
        <v>136</v>
      </c>
      <c r="F828">
        <f>VLOOKUP(ORDERS[[#This Row],[ProductID]],Products[],4,FALSE)</f>
        <v>28</v>
      </c>
      <c r="G828">
        <v>0</v>
      </c>
      <c r="H828">
        <f>(ORDERS[[#This Row],[UnitsOrdered]]*ORDERS[[#This Row],[unit price]])-(ORDERS[[#This Row],[UnitsOrdered]]*ORDERS[[#This Row],[unit price]]*ORDERS[[#This Row],[Discount]])</f>
        <v>3808</v>
      </c>
      <c r="I828" t="str">
        <f>VLOOKUP(ORDERS[[#This Row],[CustomerID]],customers[],2,FALSE)</f>
        <v>Tshirt Unlimited</v>
      </c>
      <c r="J828" s="2" t="str">
        <f>VLOOKUP(ORDERS[[#This Row],[CustomerID]],customers[],4,FALSE)</f>
        <v>Phoenix</v>
      </c>
      <c r="K828" s="2" t="str">
        <f>VLOOKUP(ORDERS[[#This Row],[ProductID]],Products[],3,FALSE)</f>
        <v>Female</v>
      </c>
      <c r="L828" s="2">
        <f>DAY(ORDERS[[#This Row],[OrderDate]])</f>
        <v>5</v>
      </c>
      <c r="M828" s="2">
        <f>YEAR(ORDERS[[#This Row],[OrderDate]])</f>
        <v>2013</v>
      </c>
    </row>
    <row r="829" spans="1:13" x14ac:dyDescent="0.3">
      <c r="A829">
        <v>828</v>
      </c>
      <c r="B829">
        <v>4</v>
      </c>
      <c r="C829">
        <v>2</v>
      </c>
      <c r="D829" s="1">
        <v>41585</v>
      </c>
      <c r="E829">
        <v>56</v>
      </c>
      <c r="F829">
        <f>VLOOKUP(ORDERS[[#This Row],[ProductID]],Products[],4,FALSE)</f>
        <v>30</v>
      </c>
      <c r="G829">
        <v>0</v>
      </c>
      <c r="H829">
        <f>(ORDERS[[#This Row],[UnitsOrdered]]*ORDERS[[#This Row],[unit price]])-(ORDERS[[#This Row],[UnitsOrdered]]*ORDERS[[#This Row],[unit price]]*ORDERS[[#This Row],[Discount]])</f>
        <v>1680</v>
      </c>
      <c r="I829" t="str">
        <f>VLOOKUP(ORDERS[[#This Row],[CustomerID]],customers[],2,FALSE)</f>
        <v>Tshirt Unlimited</v>
      </c>
      <c r="J829" s="2" t="str">
        <f>VLOOKUP(ORDERS[[#This Row],[CustomerID]],customers[],4,FALSE)</f>
        <v>Phoenix</v>
      </c>
      <c r="K829" s="2" t="str">
        <f>VLOOKUP(ORDERS[[#This Row],[ProductID]],Products[],3,FALSE)</f>
        <v>Both</v>
      </c>
      <c r="L829" s="2">
        <f>DAY(ORDERS[[#This Row],[OrderDate]])</f>
        <v>7</v>
      </c>
      <c r="M829" s="2">
        <f>YEAR(ORDERS[[#This Row],[OrderDate]])</f>
        <v>2013</v>
      </c>
    </row>
    <row r="830" spans="1:13" x14ac:dyDescent="0.3">
      <c r="A830">
        <v>829</v>
      </c>
      <c r="B830">
        <v>6</v>
      </c>
      <c r="C830">
        <v>10</v>
      </c>
      <c r="D830" s="1">
        <v>41585</v>
      </c>
      <c r="E830">
        <v>78</v>
      </c>
      <c r="F830">
        <f>VLOOKUP(ORDERS[[#This Row],[ProductID]],Products[],4,FALSE)</f>
        <v>35</v>
      </c>
      <c r="G830">
        <v>0</v>
      </c>
      <c r="H830">
        <f>(ORDERS[[#This Row],[UnitsOrdered]]*ORDERS[[#This Row],[unit price]])-(ORDERS[[#This Row],[UnitsOrdered]]*ORDERS[[#This Row],[unit price]]*ORDERS[[#This Row],[Discount]])</f>
        <v>2730</v>
      </c>
      <c r="I830" t="str">
        <f>VLOOKUP(ORDERS[[#This Row],[CustomerID]],customers[],2,FALSE)</f>
        <v>Abracadaba Ink</v>
      </c>
      <c r="J830" s="2" t="str">
        <f>VLOOKUP(ORDERS[[#This Row],[CustomerID]],customers[],4,FALSE)</f>
        <v>Salt Lake City</v>
      </c>
      <c r="K830" s="2" t="str">
        <f>VLOOKUP(ORDERS[[#This Row],[ProductID]],Products[],3,FALSE)</f>
        <v>Male</v>
      </c>
      <c r="L830" s="2">
        <f>DAY(ORDERS[[#This Row],[OrderDate]])</f>
        <v>7</v>
      </c>
      <c r="M830" s="2">
        <f>YEAR(ORDERS[[#This Row],[OrderDate]])</f>
        <v>2013</v>
      </c>
    </row>
    <row r="831" spans="1:13" x14ac:dyDescent="0.3">
      <c r="A831">
        <v>830</v>
      </c>
      <c r="B831">
        <v>2</v>
      </c>
      <c r="C831">
        <v>7</v>
      </c>
      <c r="D831" s="1">
        <v>41587</v>
      </c>
      <c r="E831">
        <v>63</v>
      </c>
      <c r="F831">
        <f>VLOOKUP(ORDERS[[#This Row],[ProductID]],Products[],4,FALSE)</f>
        <v>38</v>
      </c>
      <c r="G831">
        <v>0</v>
      </c>
      <c r="H831">
        <f>(ORDERS[[#This Row],[UnitsOrdered]]*ORDERS[[#This Row],[unit price]])-(ORDERS[[#This Row],[UnitsOrdered]]*ORDERS[[#This Row],[unit price]]*ORDERS[[#This Row],[Discount]])</f>
        <v>2394</v>
      </c>
      <c r="I831" t="str">
        <f>VLOOKUP(ORDERS[[#This Row],[CustomerID]],customers[],2,FALSE)</f>
        <v>A Shirts Life</v>
      </c>
      <c r="J831" s="2" t="str">
        <f>VLOOKUP(ORDERS[[#This Row],[CustomerID]],customers[],4,FALSE)</f>
        <v>Portland</v>
      </c>
      <c r="K831" s="2" t="str">
        <f>VLOOKUP(ORDERS[[#This Row],[ProductID]],Products[],3,FALSE)</f>
        <v>Female</v>
      </c>
      <c r="L831" s="2">
        <f>DAY(ORDERS[[#This Row],[OrderDate]])</f>
        <v>9</v>
      </c>
      <c r="M831" s="2">
        <f>YEAR(ORDERS[[#This Row],[OrderDate]])</f>
        <v>2013</v>
      </c>
    </row>
    <row r="832" spans="1:13" x14ac:dyDescent="0.3">
      <c r="A832">
        <v>831</v>
      </c>
      <c r="B832">
        <v>3</v>
      </c>
      <c r="C832">
        <v>6</v>
      </c>
      <c r="D832" s="1">
        <v>41587</v>
      </c>
      <c r="E832">
        <v>87</v>
      </c>
      <c r="F832">
        <f>VLOOKUP(ORDERS[[#This Row],[ProductID]],Products[],4,FALSE)</f>
        <v>28</v>
      </c>
      <c r="G832">
        <v>5.0000001000000002E-2</v>
      </c>
      <c r="H832">
        <f>(ORDERS[[#This Row],[UnitsOrdered]]*ORDERS[[#This Row],[unit price]])-(ORDERS[[#This Row],[UnitsOrdered]]*ORDERS[[#This Row],[unit price]]*ORDERS[[#This Row],[Discount]])</f>
        <v>2314.1999975640001</v>
      </c>
      <c r="I832" t="str">
        <f>VLOOKUP(ORDERS[[#This Row],[CustomerID]],customers[],2,FALSE)</f>
        <v>Shirts R Us</v>
      </c>
      <c r="J832" s="2" t="str">
        <f>VLOOKUP(ORDERS[[#This Row],[CustomerID]],customers[],4,FALSE)</f>
        <v>Los Angeles</v>
      </c>
      <c r="K832" s="2" t="str">
        <f>VLOOKUP(ORDERS[[#This Row],[ProductID]],Products[],3,FALSE)</f>
        <v>Female</v>
      </c>
      <c r="L832" s="2">
        <f>DAY(ORDERS[[#This Row],[OrderDate]])</f>
        <v>9</v>
      </c>
      <c r="M832" s="2">
        <f>YEAR(ORDERS[[#This Row],[OrderDate]])</f>
        <v>2013</v>
      </c>
    </row>
    <row r="833" spans="1:13" x14ac:dyDescent="0.3">
      <c r="A833">
        <v>832</v>
      </c>
      <c r="B833">
        <v>1</v>
      </c>
      <c r="C833">
        <v>1</v>
      </c>
      <c r="D833" s="1">
        <v>41588</v>
      </c>
      <c r="E833">
        <v>90</v>
      </c>
      <c r="F833">
        <f>VLOOKUP(ORDERS[[#This Row],[ProductID]],Products[],4,FALSE)</f>
        <v>20</v>
      </c>
      <c r="G833">
        <v>0</v>
      </c>
      <c r="H833">
        <f>(ORDERS[[#This Row],[UnitsOrdered]]*ORDERS[[#This Row],[unit price]])-(ORDERS[[#This Row],[UnitsOrdered]]*ORDERS[[#This Row],[unit price]]*ORDERS[[#This Row],[Discount]])</f>
        <v>1800</v>
      </c>
      <c r="I833" t="str">
        <f>VLOOKUP(ORDERS[[#This Row],[CustomerID]],customers[],2,FALSE)</f>
        <v>Threads</v>
      </c>
      <c r="J833" s="2" t="str">
        <f>VLOOKUP(ORDERS[[#This Row],[CustomerID]],customers[],4,FALSE)</f>
        <v>Seattle</v>
      </c>
      <c r="K833" s="2" t="str">
        <f>VLOOKUP(ORDERS[[#This Row],[ProductID]],Products[],3,FALSE)</f>
        <v>Both</v>
      </c>
      <c r="L833" s="2">
        <f>DAY(ORDERS[[#This Row],[OrderDate]])</f>
        <v>10</v>
      </c>
      <c r="M833" s="2">
        <f>YEAR(ORDERS[[#This Row],[OrderDate]])</f>
        <v>2013</v>
      </c>
    </row>
    <row r="834" spans="1:13" x14ac:dyDescent="0.3">
      <c r="A834">
        <v>833</v>
      </c>
      <c r="B834">
        <v>4</v>
      </c>
      <c r="C834">
        <v>7</v>
      </c>
      <c r="D834" s="1">
        <v>41589</v>
      </c>
      <c r="E834">
        <v>128</v>
      </c>
      <c r="F834">
        <f>VLOOKUP(ORDERS[[#This Row],[ProductID]],Products[],4,FALSE)</f>
        <v>38</v>
      </c>
      <c r="G834">
        <v>0</v>
      </c>
      <c r="H834">
        <f>(ORDERS[[#This Row],[UnitsOrdered]]*ORDERS[[#This Row],[unit price]])-(ORDERS[[#This Row],[UnitsOrdered]]*ORDERS[[#This Row],[unit price]]*ORDERS[[#This Row],[Discount]])</f>
        <v>4864</v>
      </c>
      <c r="I834" t="str">
        <f>VLOOKUP(ORDERS[[#This Row],[CustomerID]],customers[],2,FALSE)</f>
        <v>Tshirt Unlimited</v>
      </c>
      <c r="J834" s="2" t="str">
        <f>VLOOKUP(ORDERS[[#This Row],[CustomerID]],customers[],4,FALSE)</f>
        <v>Phoenix</v>
      </c>
      <c r="K834" s="2" t="str">
        <f>VLOOKUP(ORDERS[[#This Row],[ProductID]],Products[],3,FALSE)</f>
        <v>Female</v>
      </c>
      <c r="L834" s="2">
        <f>DAY(ORDERS[[#This Row],[OrderDate]])</f>
        <v>11</v>
      </c>
      <c r="M834" s="2">
        <f>YEAR(ORDERS[[#This Row],[OrderDate]])</f>
        <v>2013</v>
      </c>
    </row>
    <row r="835" spans="1:13" x14ac:dyDescent="0.3">
      <c r="A835">
        <v>834</v>
      </c>
      <c r="B835">
        <v>4</v>
      </c>
      <c r="C835">
        <v>3</v>
      </c>
      <c r="D835" s="1">
        <v>41591</v>
      </c>
      <c r="E835">
        <v>53</v>
      </c>
      <c r="F835">
        <f>VLOOKUP(ORDERS[[#This Row],[ProductID]],Products[],4,FALSE)</f>
        <v>22</v>
      </c>
      <c r="G835">
        <v>0.10000000100000001</v>
      </c>
      <c r="H835">
        <f>(ORDERS[[#This Row],[UnitsOrdered]]*ORDERS[[#This Row],[unit price]])-(ORDERS[[#This Row],[UnitsOrdered]]*ORDERS[[#This Row],[unit price]]*ORDERS[[#This Row],[Discount]])</f>
        <v>1049.3999988339999</v>
      </c>
      <c r="I835" t="str">
        <f>VLOOKUP(ORDERS[[#This Row],[CustomerID]],customers[],2,FALSE)</f>
        <v>Tshirt Unlimited</v>
      </c>
      <c r="J835" s="2" t="str">
        <f>VLOOKUP(ORDERS[[#This Row],[CustomerID]],customers[],4,FALSE)</f>
        <v>Phoenix</v>
      </c>
      <c r="K835" s="2" t="str">
        <f>VLOOKUP(ORDERS[[#This Row],[ProductID]],Products[],3,FALSE)</f>
        <v>Both</v>
      </c>
      <c r="L835" s="2">
        <f>DAY(ORDERS[[#This Row],[OrderDate]])</f>
        <v>13</v>
      </c>
      <c r="M835" s="2">
        <f>YEAR(ORDERS[[#This Row],[OrderDate]])</f>
        <v>2013</v>
      </c>
    </row>
    <row r="836" spans="1:13" x14ac:dyDescent="0.3">
      <c r="A836">
        <v>835</v>
      </c>
      <c r="B836">
        <v>5</v>
      </c>
      <c r="C836">
        <v>6</v>
      </c>
      <c r="D836" s="1">
        <v>41591</v>
      </c>
      <c r="E836">
        <v>77</v>
      </c>
      <c r="F836">
        <f>VLOOKUP(ORDERS[[#This Row],[ProductID]],Products[],4,FALSE)</f>
        <v>28</v>
      </c>
      <c r="G836">
        <v>5.0000001000000002E-2</v>
      </c>
      <c r="H836">
        <f>(ORDERS[[#This Row],[UnitsOrdered]]*ORDERS[[#This Row],[unit price]])-(ORDERS[[#This Row],[UnitsOrdered]]*ORDERS[[#This Row],[unit price]]*ORDERS[[#This Row],[Discount]])</f>
        <v>2048.1999978439999</v>
      </c>
      <c r="I836" t="str">
        <f>VLOOKUP(ORDERS[[#This Row],[CustomerID]],customers[],2,FALSE)</f>
        <v>Rags to Riches</v>
      </c>
      <c r="J836" s="2" t="str">
        <f>VLOOKUP(ORDERS[[#This Row],[CustomerID]],customers[],4,FALSE)</f>
        <v>Las Vegas</v>
      </c>
      <c r="K836" s="2" t="str">
        <f>VLOOKUP(ORDERS[[#This Row],[ProductID]],Products[],3,FALSE)</f>
        <v>Female</v>
      </c>
      <c r="L836" s="2">
        <f>DAY(ORDERS[[#This Row],[OrderDate]])</f>
        <v>13</v>
      </c>
      <c r="M836" s="2">
        <f>YEAR(ORDERS[[#This Row],[OrderDate]])</f>
        <v>2013</v>
      </c>
    </row>
    <row r="837" spans="1:13" x14ac:dyDescent="0.3">
      <c r="A837">
        <v>836</v>
      </c>
      <c r="B837">
        <v>5</v>
      </c>
      <c r="C837">
        <v>10</v>
      </c>
      <c r="D837" s="1">
        <v>41591</v>
      </c>
      <c r="E837">
        <v>91</v>
      </c>
      <c r="F837">
        <f>VLOOKUP(ORDERS[[#This Row],[ProductID]],Products[],4,FALSE)</f>
        <v>35</v>
      </c>
      <c r="G837">
        <v>0</v>
      </c>
      <c r="H837">
        <f>(ORDERS[[#This Row],[UnitsOrdered]]*ORDERS[[#This Row],[unit price]])-(ORDERS[[#This Row],[UnitsOrdered]]*ORDERS[[#This Row],[unit price]]*ORDERS[[#This Row],[Discount]])</f>
        <v>3185</v>
      </c>
      <c r="I837" t="str">
        <f>VLOOKUP(ORDERS[[#This Row],[CustomerID]],customers[],2,FALSE)</f>
        <v>Rags to Riches</v>
      </c>
      <c r="J837" s="2" t="str">
        <f>VLOOKUP(ORDERS[[#This Row],[CustomerID]],customers[],4,FALSE)</f>
        <v>Las Vegas</v>
      </c>
      <c r="K837" s="2" t="str">
        <f>VLOOKUP(ORDERS[[#This Row],[ProductID]],Products[],3,FALSE)</f>
        <v>Male</v>
      </c>
      <c r="L837" s="2">
        <f>DAY(ORDERS[[#This Row],[OrderDate]])</f>
        <v>13</v>
      </c>
      <c r="M837" s="2">
        <f>YEAR(ORDERS[[#This Row],[OrderDate]])</f>
        <v>2013</v>
      </c>
    </row>
    <row r="838" spans="1:13" x14ac:dyDescent="0.3">
      <c r="A838">
        <v>837</v>
      </c>
      <c r="B838">
        <v>2</v>
      </c>
      <c r="C838">
        <v>1</v>
      </c>
      <c r="D838" s="1">
        <v>41592</v>
      </c>
      <c r="E838">
        <v>75</v>
      </c>
      <c r="F838">
        <f>VLOOKUP(ORDERS[[#This Row],[ProductID]],Products[],4,FALSE)</f>
        <v>20</v>
      </c>
      <c r="G838">
        <v>5.0000001000000002E-2</v>
      </c>
      <c r="H838">
        <f>(ORDERS[[#This Row],[UnitsOrdered]]*ORDERS[[#This Row],[unit price]])-(ORDERS[[#This Row],[UnitsOrdered]]*ORDERS[[#This Row],[unit price]]*ORDERS[[#This Row],[Discount]])</f>
        <v>1424.9999984999999</v>
      </c>
      <c r="I838" t="str">
        <f>VLOOKUP(ORDERS[[#This Row],[CustomerID]],customers[],2,FALSE)</f>
        <v>A Shirts Life</v>
      </c>
      <c r="J838" s="2" t="str">
        <f>VLOOKUP(ORDERS[[#This Row],[CustomerID]],customers[],4,FALSE)</f>
        <v>Portland</v>
      </c>
      <c r="K838" s="2" t="str">
        <f>VLOOKUP(ORDERS[[#This Row],[ProductID]],Products[],3,FALSE)</f>
        <v>Both</v>
      </c>
      <c r="L838" s="2">
        <f>DAY(ORDERS[[#This Row],[OrderDate]])</f>
        <v>14</v>
      </c>
      <c r="M838" s="2">
        <f>YEAR(ORDERS[[#This Row],[OrderDate]])</f>
        <v>2013</v>
      </c>
    </row>
    <row r="839" spans="1:13" x14ac:dyDescent="0.3">
      <c r="A839">
        <v>838</v>
      </c>
      <c r="B839">
        <v>2</v>
      </c>
      <c r="C839">
        <v>4</v>
      </c>
      <c r="D839" s="1">
        <v>41592</v>
      </c>
      <c r="E839">
        <v>108</v>
      </c>
      <c r="F839">
        <f>VLOOKUP(ORDERS[[#This Row],[ProductID]],Products[],4,FALSE)</f>
        <v>30</v>
      </c>
      <c r="G839">
        <v>0</v>
      </c>
      <c r="H839">
        <f>(ORDERS[[#This Row],[UnitsOrdered]]*ORDERS[[#This Row],[unit price]])-(ORDERS[[#This Row],[UnitsOrdered]]*ORDERS[[#This Row],[unit price]]*ORDERS[[#This Row],[Discount]])</f>
        <v>3240</v>
      </c>
      <c r="I839" t="str">
        <f>VLOOKUP(ORDERS[[#This Row],[CustomerID]],customers[],2,FALSE)</f>
        <v>A Shirts Life</v>
      </c>
      <c r="J839" s="2" t="str">
        <f>VLOOKUP(ORDERS[[#This Row],[CustomerID]],customers[],4,FALSE)</f>
        <v>Portland</v>
      </c>
      <c r="K839" s="2" t="str">
        <f>VLOOKUP(ORDERS[[#This Row],[ProductID]],Products[],3,FALSE)</f>
        <v>Both</v>
      </c>
      <c r="L839" s="2">
        <f>DAY(ORDERS[[#This Row],[OrderDate]])</f>
        <v>14</v>
      </c>
      <c r="M839" s="2">
        <f>YEAR(ORDERS[[#This Row],[OrderDate]])</f>
        <v>2013</v>
      </c>
    </row>
    <row r="840" spans="1:13" x14ac:dyDescent="0.3">
      <c r="A840">
        <v>839</v>
      </c>
      <c r="B840">
        <v>1</v>
      </c>
      <c r="C840">
        <v>7</v>
      </c>
      <c r="D840" s="1">
        <v>41593</v>
      </c>
      <c r="E840">
        <v>139</v>
      </c>
      <c r="F840">
        <f>VLOOKUP(ORDERS[[#This Row],[ProductID]],Products[],4,FALSE)</f>
        <v>38</v>
      </c>
      <c r="G840">
        <v>0</v>
      </c>
      <c r="H840">
        <f>(ORDERS[[#This Row],[UnitsOrdered]]*ORDERS[[#This Row],[unit price]])-(ORDERS[[#This Row],[UnitsOrdered]]*ORDERS[[#This Row],[unit price]]*ORDERS[[#This Row],[Discount]])</f>
        <v>5282</v>
      </c>
      <c r="I840" t="str">
        <f>VLOOKUP(ORDERS[[#This Row],[CustomerID]],customers[],2,FALSE)</f>
        <v>Threads</v>
      </c>
      <c r="J840" s="2" t="str">
        <f>VLOOKUP(ORDERS[[#This Row],[CustomerID]],customers[],4,FALSE)</f>
        <v>Seattle</v>
      </c>
      <c r="K840" s="2" t="str">
        <f>VLOOKUP(ORDERS[[#This Row],[ProductID]],Products[],3,FALSE)</f>
        <v>Female</v>
      </c>
      <c r="L840" s="2">
        <f>DAY(ORDERS[[#This Row],[OrderDate]])</f>
        <v>15</v>
      </c>
      <c r="M840" s="2">
        <f>YEAR(ORDERS[[#This Row],[OrderDate]])</f>
        <v>2013</v>
      </c>
    </row>
    <row r="841" spans="1:13" x14ac:dyDescent="0.3">
      <c r="A841">
        <v>840</v>
      </c>
      <c r="B841">
        <v>3</v>
      </c>
      <c r="C841">
        <v>8</v>
      </c>
      <c r="D841" s="1">
        <v>41593</v>
      </c>
      <c r="E841">
        <v>26</v>
      </c>
      <c r="F841">
        <f>VLOOKUP(ORDERS[[#This Row],[ProductID]],Products[],4,FALSE)</f>
        <v>27</v>
      </c>
      <c r="G841">
        <v>0</v>
      </c>
      <c r="H841">
        <f>(ORDERS[[#This Row],[UnitsOrdered]]*ORDERS[[#This Row],[unit price]])-(ORDERS[[#This Row],[UnitsOrdered]]*ORDERS[[#This Row],[unit price]]*ORDERS[[#This Row],[Discount]])</f>
        <v>702</v>
      </c>
      <c r="I841" t="str">
        <f>VLOOKUP(ORDERS[[#This Row],[CustomerID]],customers[],2,FALSE)</f>
        <v>Shirts R Us</v>
      </c>
      <c r="J841" s="2" t="str">
        <f>VLOOKUP(ORDERS[[#This Row],[CustomerID]],customers[],4,FALSE)</f>
        <v>Los Angeles</v>
      </c>
      <c r="K841" s="2" t="str">
        <f>VLOOKUP(ORDERS[[#This Row],[ProductID]],Products[],3,FALSE)</f>
        <v>Female</v>
      </c>
      <c r="L841" s="2">
        <f>DAY(ORDERS[[#This Row],[OrderDate]])</f>
        <v>15</v>
      </c>
      <c r="M841" s="2">
        <f>YEAR(ORDERS[[#This Row],[OrderDate]])</f>
        <v>2013</v>
      </c>
    </row>
    <row r="842" spans="1:13" x14ac:dyDescent="0.3">
      <c r="A842">
        <v>841</v>
      </c>
      <c r="B842">
        <v>3</v>
      </c>
      <c r="C842">
        <v>8</v>
      </c>
      <c r="D842" s="1">
        <v>41594</v>
      </c>
      <c r="E842">
        <v>40</v>
      </c>
      <c r="F842">
        <f>VLOOKUP(ORDERS[[#This Row],[ProductID]],Products[],4,FALSE)</f>
        <v>27</v>
      </c>
      <c r="G842">
        <v>0</v>
      </c>
      <c r="H842">
        <f>(ORDERS[[#This Row],[UnitsOrdered]]*ORDERS[[#This Row],[unit price]])-(ORDERS[[#This Row],[UnitsOrdered]]*ORDERS[[#This Row],[unit price]]*ORDERS[[#This Row],[Discount]])</f>
        <v>1080</v>
      </c>
      <c r="I842" t="str">
        <f>VLOOKUP(ORDERS[[#This Row],[CustomerID]],customers[],2,FALSE)</f>
        <v>Shirts R Us</v>
      </c>
      <c r="J842" s="2" t="str">
        <f>VLOOKUP(ORDERS[[#This Row],[CustomerID]],customers[],4,FALSE)</f>
        <v>Los Angeles</v>
      </c>
      <c r="K842" s="2" t="str">
        <f>VLOOKUP(ORDERS[[#This Row],[ProductID]],Products[],3,FALSE)</f>
        <v>Female</v>
      </c>
      <c r="L842" s="2">
        <f>DAY(ORDERS[[#This Row],[OrderDate]])</f>
        <v>16</v>
      </c>
      <c r="M842" s="2">
        <f>YEAR(ORDERS[[#This Row],[OrderDate]])</f>
        <v>2013</v>
      </c>
    </row>
    <row r="843" spans="1:13" x14ac:dyDescent="0.3">
      <c r="A843">
        <v>842</v>
      </c>
      <c r="B843">
        <v>2</v>
      </c>
      <c r="C843">
        <v>7</v>
      </c>
      <c r="D843" s="1">
        <v>41595</v>
      </c>
      <c r="E843">
        <v>35</v>
      </c>
      <c r="F843">
        <f>VLOOKUP(ORDERS[[#This Row],[ProductID]],Products[],4,FALSE)</f>
        <v>38</v>
      </c>
      <c r="G843">
        <v>0</v>
      </c>
      <c r="H843">
        <f>(ORDERS[[#This Row],[UnitsOrdered]]*ORDERS[[#This Row],[unit price]])-(ORDERS[[#This Row],[UnitsOrdered]]*ORDERS[[#This Row],[unit price]]*ORDERS[[#This Row],[Discount]])</f>
        <v>1330</v>
      </c>
      <c r="I843" t="str">
        <f>VLOOKUP(ORDERS[[#This Row],[CustomerID]],customers[],2,FALSE)</f>
        <v>A Shirts Life</v>
      </c>
      <c r="J843" s="2" t="str">
        <f>VLOOKUP(ORDERS[[#This Row],[CustomerID]],customers[],4,FALSE)</f>
        <v>Portland</v>
      </c>
      <c r="K843" s="2" t="str">
        <f>VLOOKUP(ORDERS[[#This Row],[ProductID]],Products[],3,FALSE)</f>
        <v>Female</v>
      </c>
      <c r="L843" s="2">
        <f>DAY(ORDERS[[#This Row],[OrderDate]])</f>
        <v>17</v>
      </c>
      <c r="M843" s="2">
        <f>YEAR(ORDERS[[#This Row],[OrderDate]])</f>
        <v>2013</v>
      </c>
    </row>
    <row r="844" spans="1:13" x14ac:dyDescent="0.3">
      <c r="A844">
        <v>843</v>
      </c>
      <c r="B844">
        <v>5</v>
      </c>
      <c r="C844">
        <v>4</v>
      </c>
      <c r="D844" s="1">
        <v>41595</v>
      </c>
      <c r="E844">
        <v>81</v>
      </c>
      <c r="F844">
        <f>VLOOKUP(ORDERS[[#This Row],[ProductID]],Products[],4,FALSE)</f>
        <v>30</v>
      </c>
      <c r="G844">
        <v>0</v>
      </c>
      <c r="H844">
        <f>(ORDERS[[#This Row],[UnitsOrdered]]*ORDERS[[#This Row],[unit price]])-(ORDERS[[#This Row],[UnitsOrdered]]*ORDERS[[#This Row],[unit price]]*ORDERS[[#This Row],[Discount]])</f>
        <v>2430</v>
      </c>
      <c r="I844" t="str">
        <f>VLOOKUP(ORDERS[[#This Row],[CustomerID]],customers[],2,FALSE)</f>
        <v>Rags to Riches</v>
      </c>
      <c r="J844" s="2" t="str">
        <f>VLOOKUP(ORDERS[[#This Row],[CustomerID]],customers[],4,FALSE)</f>
        <v>Las Vegas</v>
      </c>
      <c r="K844" s="2" t="str">
        <f>VLOOKUP(ORDERS[[#This Row],[ProductID]],Products[],3,FALSE)</f>
        <v>Both</v>
      </c>
      <c r="L844" s="2">
        <f>DAY(ORDERS[[#This Row],[OrderDate]])</f>
        <v>17</v>
      </c>
      <c r="M844" s="2">
        <f>YEAR(ORDERS[[#This Row],[OrderDate]])</f>
        <v>2013</v>
      </c>
    </row>
    <row r="845" spans="1:13" x14ac:dyDescent="0.3">
      <c r="A845">
        <v>844</v>
      </c>
      <c r="B845">
        <v>4</v>
      </c>
      <c r="C845">
        <v>4</v>
      </c>
      <c r="D845" s="1">
        <v>41596</v>
      </c>
      <c r="E845">
        <v>119</v>
      </c>
      <c r="F845">
        <f>VLOOKUP(ORDERS[[#This Row],[ProductID]],Products[],4,FALSE)</f>
        <v>30</v>
      </c>
      <c r="G845">
        <v>0</v>
      </c>
      <c r="H845">
        <f>(ORDERS[[#This Row],[UnitsOrdered]]*ORDERS[[#This Row],[unit price]])-(ORDERS[[#This Row],[UnitsOrdered]]*ORDERS[[#This Row],[unit price]]*ORDERS[[#This Row],[Discount]])</f>
        <v>3570</v>
      </c>
      <c r="I845" t="str">
        <f>VLOOKUP(ORDERS[[#This Row],[CustomerID]],customers[],2,FALSE)</f>
        <v>Tshirt Unlimited</v>
      </c>
      <c r="J845" s="2" t="str">
        <f>VLOOKUP(ORDERS[[#This Row],[CustomerID]],customers[],4,FALSE)</f>
        <v>Phoenix</v>
      </c>
      <c r="K845" s="2" t="str">
        <f>VLOOKUP(ORDERS[[#This Row],[ProductID]],Products[],3,FALSE)</f>
        <v>Both</v>
      </c>
      <c r="L845" s="2">
        <f>DAY(ORDERS[[#This Row],[OrderDate]])</f>
        <v>18</v>
      </c>
      <c r="M845" s="2">
        <f>YEAR(ORDERS[[#This Row],[OrderDate]])</f>
        <v>2013</v>
      </c>
    </row>
    <row r="846" spans="1:13" x14ac:dyDescent="0.3">
      <c r="A846">
        <v>845</v>
      </c>
      <c r="B846">
        <v>5</v>
      </c>
      <c r="C846">
        <v>2</v>
      </c>
      <c r="D846" s="1">
        <v>41596</v>
      </c>
      <c r="E846">
        <v>134</v>
      </c>
      <c r="F846">
        <f>VLOOKUP(ORDERS[[#This Row],[ProductID]],Products[],4,FALSE)</f>
        <v>30</v>
      </c>
      <c r="G846">
        <v>0</v>
      </c>
      <c r="H846">
        <f>(ORDERS[[#This Row],[UnitsOrdered]]*ORDERS[[#This Row],[unit price]])-(ORDERS[[#This Row],[UnitsOrdered]]*ORDERS[[#This Row],[unit price]]*ORDERS[[#This Row],[Discount]])</f>
        <v>4020</v>
      </c>
      <c r="I846" t="str">
        <f>VLOOKUP(ORDERS[[#This Row],[CustomerID]],customers[],2,FALSE)</f>
        <v>Rags to Riches</v>
      </c>
      <c r="J846" s="2" t="str">
        <f>VLOOKUP(ORDERS[[#This Row],[CustomerID]],customers[],4,FALSE)</f>
        <v>Las Vegas</v>
      </c>
      <c r="K846" s="2" t="str">
        <f>VLOOKUP(ORDERS[[#This Row],[ProductID]],Products[],3,FALSE)</f>
        <v>Both</v>
      </c>
      <c r="L846" s="2">
        <f>DAY(ORDERS[[#This Row],[OrderDate]])</f>
        <v>18</v>
      </c>
      <c r="M846" s="2">
        <f>YEAR(ORDERS[[#This Row],[OrderDate]])</f>
        <v>2013</v>
      </c>
    </row>
    <row r="847" spans="1:13" x14ac:dyDescent="0.3">
      <c r="A847">
        <v>846</v>
      </c>
      <c r="B847">
        <v>5</v>
      </c>
      <c r="C847">
        <v>4</v>
      </c>
      <c r="D847" s="1">
        <v>41596</v>
      </c>
      <c r="E847">
        <v>78</v>
      </c>
      <c r="F847">
        <f>VLOOKUP(ORDERS[[#This Row],[ProductID]],Products[],4,FALSE)</f>
        <v>30</v>
      </c>
      <c r="G847">
        <v>0</v>
      </c>
      <c r="H847">
        <f>(ORDERS[[#This Row],[UnitsOrdered]]*ORDERS[[#This Row],[unit price]])-(ORDERS[[#This Row],[UnitsOrdered]]*ORDERS[[#This Row],[unit price]]*ORDERS[[#This Row],[Discount]])</f>
        <v>2340</v>
      </c>
      <c r="I847" t="str">
        <f>VLOOKUP(ORDERS[[#This Row],[CustomerID]],customers[],2,FALSE)</f>
        <v>Rags to Riches</v>
      </c>
      <c r="J847" s="2" t="str">
        <f>VLOOKUP(ORDERS[[#This Row],[CustomerID]],customers[],4,FALSE)</f>
        <v>Las Vegas</v>
      </c>
      <c r="K847" s="2" t="str">
        <f>VLOOKUP(ORDERS[[#This Row],[ProductID]],Products[],3,FALSE)</f>
        <v>Both</v>
      </c>
      <c r="L847" s="2">
        <f>DAY(ORDERS[[#This Row],[OrderDate]])</f>
        <v>18</v>
      </c>
      <c r="M847" s="2">
        <f>YEAR(ORDERS[[#This Row],[OrderDate]])</f>
        <v>2013</v>
      </c>
    </row>
    <row r="848" spans="1:13" x14ac:dyDescent="0.3">
      <c r="A848">
        <v>847</v>
      </c>
      <c r="B848">
        <v>5</v>
      </c>
      <c r="C848">
        <v>6</v>
      </c>
      <c r="D848" s="1">
        <v>41596</v>
      </c>
      <c r="E848">
        <v>130</v>
      </c>
      <c r="F848">
        <f>VLOOKUP(ORDERS[[#This Row],[ProductID]],Products[],4,FALSE)</f>
        <v>28</v>
      </c>
      <c r="G848">
        <v>0</v>
      </c>
      <c r="H848">
        <f>(ORDERS[[#This Row],[UnitsOrdered]]*ORDERS[[#This Row],[unit price]])-(ORDERS[[#This Row],[UnitsOrdered]]*ORDERS[[#This Row],[unit price]]*ORDERS[[#This Row],[Discount]])</f>
        <v>3640</v>
      </c>
      <c r="I848" t="str">
        <f>VLOOKUP(ORDERS[[#This Row],[CustomerID]],customers[],2,FALSE)</f>
        <v>Rags to Riches</v>
      </c>
      <c r="J848" s="2" t="str">
        <f>VLOOKUP(ORDERS[[#This Row],[CustomerID]],customers[],4,FALSE)</f>
        <v>Las Vegas</v>
      </c>
      <c r="K848" s="2" t="str">
        <f>VLOOKUP(ORDERS[[#This Row],[ProductID]],Products[],3,FALSE)</f>
        <v>Female</v>
      </c>
      <c r="L848" s="2">
        <f>DAY(ORDERS[[#This Row],[OrderDate]])</f>
        <v>18</v>
      </c>
      <c r="M848" s="2">
        <f>YEAR(ORDERS[[#This Row],[OrderDate]])</f>
        <v>2013</v>
      </c>
    </row>
    <row r="849" spans="1:13" x14ac:dyDescent="0.3">
      <c r="A849">
        <v>848</v>
      </c>
      <c r="B849">
        <v>1</v>
      </c>
      <c r="C849">
        <v>9</v>
      </c>
      <c r="D849" s="1">
        <v>41597</v>
      </c>
      <c r="E849">
        <v>104</v>
      </c>
      <c r="F849">
        <f>VLOOKUP(ORDERS[[#This Row],[ProductID]],Products[],4,FALSE)</f>
        <v>25</v>
      </c>
      <c r="G849">
        <v>5.0000001000000002E-2</v>
      </c>
      <c r="H849">
        <f>(ORDERS[[#This Row],[UnitsOrdered]]*ORDERS[[#This Row],[unit price]])-(ORDERS[[#This Row],[UnitsOrdered]]*ORDERS[[#This Row],[unit price]]*ORDERS[[#This Row],[Discount]])</f>
        <v>2469.9999974000002</v>
      </c>
      <c r="I849" t="str">
        <f>VLOOKUP(ORDERS[[#This Row],[CustomerID]],customers[],2,FALSE)</f>
        <v>Threads</v>
      </c>
      <c r="J849" s="2" t="str">
        <f>VLOOKUP(ORDERS[[#This Row],[CustomerID]],customers[],4,FALSE)</f>
        <v>Seattle</v>
      </c>
      <c r="K849" s="2" t="str">
        <f>VLOOKUP(ORDERS[[#This Row],[ProductID]],Products[],3,FALSE)</f>
        <v>Male</v>
      </c>
      <c r="L849" s="2">
        <f>DAY(ORDERS[[#This Row],[OrderDate]])</f>
        <v>19</v>
      </c>
      <c r="M849" s="2">
        <f>YEAR(ORDERS[[#This Row],[OrderDate]])</f>
        <v>2013</v>
      </c>
    </row>
    <row r="850" spans="1:13" x14ac:dyDescent="0.3">
      <c r="A850">
        <v>849</v>
      </c>
      <c r="B850">
        <v>6</v>
      </c>
      <c r="C850">
        <v>6</v>
      </c>
      <c r="D850" s="1">
        <v>41597</v>
      </c>
      <c r="E850">
        <v>132</v>
      </c>
      <c r="F850">
        <f>VLOOKUP(ORDERS[[#This Row],[ProductID]],Products[],4,FALSE)</f>
        <v>28</v>
      </c>
      <c r="G850">
        <v>0</v>
      </c>
      <c r="H850">
        <f>(ORDERS[[#This Row],[UnitsOrdered]]*ORDERS[[#This Row],[unit price]])-(ORDERS[[#This Row],[UnitsOrdered]]*ORDERS[[#This Row],[unit price]]*ORDERS[[#This Row],[Discount]])</f>
        <v>3696</v>
      </c>
      <c r="I850" t="str">
        <f>VLOOKUP(ORDERS[[#This Row],[CustomerID]],customers[],2,FALSE)</f>
        <v>Abracadaba Ink</v>
      </c>
      <c r="J850" s="2" t="str">
        <f>VLOOKUP(ORDERS[[#This Row],[CustomerID]],customers[],4,FALSE)</f>
        <v>Salt Lake City</v>
      </c>
      <c r="K850" s="2" t="str">
        <f>VLOOKUP(ORDERS[[#This Row],[ProductID]],Products[],3,FALSE)</f>
        <v>Female</v>
      </c>
      <c r="L850" s="2">
        <f>DAY(ORDERS[[#This Row],[OrderDate]])</f>
        <v>19</v>
      </c>
      <c r="M850" s="2">
        <f>YEAR(ORDERS[[#This Row],[OrderDate]])</f>
        <v>2013</v>
      </c>
    </row>
    <row r="851" spans="1:13" x14ac:dyDescent="0.3">
      <c r="A851">
        <v>850</v>
      </c>
      <c r="B851">
        <v>7</v>
      </c>
      <c r="C851">
        <v>8</v>
      </c>
      <c r="D851" s="1">
        <v>41597</v>
      </c>
      <c r="E851">
        <v>67</v>
      </c>
      <c r="F851">
        <f>VLOOKUP(ORDERS[[#This Row],[ProductID]],Products[],4,FALSE)</f>
        <v>27</v>
      </c>
      <c r="G851">
        <v>0</v>
      </c>
      <c r="H851">
        <f>(ORDERS[[#This Row],[UnitsOrdered]]*ORDERS[[#This Row],[unit price]])-(ORDERS[[#This Row],[UnitsOrdered]]*ORDERS[[#This Row],[unit price]]*ORDERS[[#This Row],[Discount]])</f>
        <v>1809</v>
      </c>
      <c r="I851" t="str">
        <f>VLOOKUP(ORDERS[[#This Row],[CustomerID]],customers[],2,FALSE)</f>
        <v>The Shirt on Your Back</v>
      </c>
      <c r="J851" s="2" t="str">
        <f>VLOOKUP(ORDERS[[#This Row],[CustomerID]],customers[],4,FALSE)</f>
        <v>Bonners Ferry</v>
      </c>
      <c r="K851" s="2" t="str">
        <f>VLOOKUP(ORDERS[[#This Row],[ProductID]],Products[],3,FALSE)</f>
        <v>Female</v>
      </c>
      <c r="L851" s="2">
        <f>DAY(ORDERS[[#This Row],[OrderDate]])</f>
        <v>19</v>
      </c>
      <c r="M851" s="2">
        <f>YEAR(ORDERS[[#This Row],[OrderDate]])</f>
        <v>2013</v>
      </c>
    </row>
    <row r="852" spans="1:13" x14ac:dyDescent="0.3">
      <c r="A852">
        <v>851</v>
      </c>
      <c r="B852">
        <v>3</v>
      </c>
      <c r="C852">
        <v>8</v>
      </c>
      <c r="D852" s="1">
        <v>41598</v>
      </c>
      <c r="E852">
        <v>93</v>
      </c>
      <c r="F852">
        <f>VLOOKUP(ORDERS[[#This Row],[ProductID]],Products[],4,FALSE)</f>
        <v>27</v>
      </c>
      <c r="G852">
        <v>5.0000001000000002E-2</v>
      </c>
      <c r="H852">
        <f>(ORDERS[[#This Row],[UnitsOrdered]]*ORDERS[[#This Row],[unit price]])-(ORDERS[[#This Row],[UnitsOrdered]]*ORDERS[[#This Row],[unit price]]*ORDERS[[#This Row],[Discount]])</f>
        <v>2385.449997489</v>
      </c>
      <c r="I852" t="str">
        <f>VLOOKUP(ORDERS[[#This Row],[CustomerID]],customers[],2,FALSE)</f>
        <v>Shirts R Us</v>
      </c>
      <c r="J852" s="2" t="str">
        <f>VLOOKUP(ORDERS[[#This Row],[CustomerID]],customers[],4,FALSE)</f>
        <v>Los Angeles</v>
      </c>
      <c r="K852" s="2" t="str">
        <f>VLOOKUP(ORDERS[[#This Row],[ProductID]],Products[],3,FALSE)</f>
        <v>Female</v>
      </c>
      <c r="L852" s="2">
        <f>DAY(ORDERS[[#This Row],[OrderDate]])</f>
        <v>20</v>
      </c>
      <c r="M852" s="2">
        <f>YEAR(ORDERS[[#This Row],[OrderDate]])</f>
        <v>2013</v>
      </c>
    </row>
    <row r="853" spans="1:13" x14ac:dyDescent="0.3">
      <c r="A853">
        <v>852</v>
      </c>
      <c r="B853">
        <v>6</v>
      </c>
      <c r="C853">
        <v>8</v>
      </c>
      <c r="D853" s="1">
        <v>41598</v>
      </c>
      <c r="E853">
        <v>147</v>
      </c>
      <c r="F853">
        <f>VLOOKUP(ORDERS[[#This Row],[ProductID]],Products[],4,FALSE)</f>
        <v>27</v>
      </c>
      <c r="G853">
        <v>5.0000001000000002E-2</v>
      </c>
      <c r="H853">
        <f>(ORDERS[[#This Row],[UnitsOrdered]]*ORDERS[[#This Row],[unit price]])-(ORDERS[[#This Row],[UnitsOrdered]]*ORDERS[[#This Row],[unit price]]*ORDERS[[#This Row],[Discount]])</f>
        <v>3770.5499960309999</v>
      </c>
      <c r="I853" t="str">
        <f>VLOOKUP(ORDERS[[#This Row],[CustomerID]],customers[],2,FALSE)</f>
        <v>Abracadaba Ink</v>
      </c>
      <c r="J853" s="2" t="str">
        <f>VLOOKUP(ORDERS[[#This Row],[CustomerID]],customers[],4,FALSE)</f>
        <v>Salt Lake City</v>
      </c>
      <c r="K853" s="2" t="str">
        <f>VLOOKUP(ORDERS[[#This Row],[ProductID]],Products[],3,FALSE)</f>
        <v>Female</v>
      </c>
      <c r="L853" s="2">
        <f>DAY(ORDERS[[#This Row],[OrderDate]])</f>
        <v>20</v>
      </c>
      <c r="M853" s="2">
        <f>YEAR(ORDERS[[#This Row],[OrderDate]])</f>
        <v>2013</v>
      </c>
    </row>
    <row r="854" spans="1:13" x14ac:dyDescent="0.3">
      <c r="A854">
        <v>853</v>
      </c>
      <c r="B854">
        <v>6</v>
      </c>
      <c r="C854">
        <v>6</v>
      </c>
      <c r="D854" s="1">
        <v>41600</v>
      </c>
      <c r="E854">
        <v>136</v>
      </c>
      <c r="F854">
        <f>VLOOKUP(ORDERS[[#This Row],[ProductID]],Products[],4,FALSE)</f>
        <v>28</v>
      </c>
      <c r="G854">
        <v>0</v>
      </c>
      <c r="H854">
        <f>(ORDERS[[#This Row],[UnitsOrdered]]*ORDERS[[#This Row],[unit price]])-(ORDERS[[#This Row],[UnitsOrdered]]*ORDERS[[#This Row],[unit price]]*ORDERS[[#This Row],[Discount]])</f>
        <v>3808</v>
      </c>
      <c r="I854" t="str">
        <f>VLOOKUP(ORDERS[[#This Row],[CustomerID]],customers[],2,FALSE)</f>
        <v>Abracadaba Ink</v>
      </c>
      <c r="J854" s="2" t="str">
        <f>VLOOKUP(ORDERS[[#This Row],[CustomerID]],customers[],4,FALSE)</f>
        <v>Salt Lake City</v>
      </c>
      <c r="K854" s="2" t="str">
        <f>VLOOKUP(ORDERS[[#This Row],[ProductID]],Products[],3,FALSE)</f>
        <v>Female</v>
      </c>
      <c r="L854" s="2">
        <f>DAY(ORDERS[[#This Row],[OrderDate]])</f>
        <v>22</v>
      </c>
      <c r="M854" s="2">
        <f>YEAR(ORDERS[[#This Row],[OrderDate]])</f>
        <v>2013</v>
      </c>
    </row>
    <row r="855" spans="1:13" x14ac:dyDescent="0.3">
      <c r="A855">
        <v>854</v>
      </c>
      <c r="B855">
        <v>6</v>
      </c>
      <c r="C855">
        <v>10</v>
      </c>
      <c r="D855" s="1">
        <v>41601</v>
      </c>
      <c r="E855">
        <v>111</v>
      </c>
      <c r="F855">
        <f>VLOOKUP(ORDERS[[#This Row],[ProductID]],Products[],4,FALSE)</f>
        <v>35</v>
      </c>
      <c r="G855">
        <v>0</v>
      </c>
      <c r="H855">
        <f>(ORDERS[[#This Row],[UnitsOrdered]]*ORDERS[[#This Row],[unit price]])-(ORDERS[[#This Row],[UnitsOrdered]]*ORDERS[[#This Row],[unit price]]*ORDERS[[#This Row],[Discount]])</f>
        <v>3885</v>
      </c>
      <c r="I855" t="str">
        <f>VLOOKUP(ORDERS[[#This Row],[CustomerID]],customers[],2,FALSE)</f>
        <v>Abracadaba Ink</v>
      </c>
      <c r="J855" s="2" t="str">
        <f>VLOOKUP(ORDERS[[#This Row],[CustomerID]],customers[],4,FALSE)</f>
        <v>Salt Lake City</v>
      </c>
      <c r="K855" s="2" t="str">
        <f>VLOOKUP(ORDERS[[#This Row],[ProductID]],Products[],3,FALSE)</f>
        <v>Male</v>
      </c>
      <c r="L855" s="2">
        <f>DAY(ORDERS[[#This Row],[OrderDate]])</f>
        <v>23</v>
      </c>
      <c r="M855" s="2">
        <f>YEAR(ORDERS[[#This Row],[OrderDate]])</f>
        <v>2013</v>
      </c>
    </row>
    <row r="856" spans="1:13" x14ac:dyDescent="0.3">
      <c r="A856">
        <v>855</v>
      </c>
      <c r="B856">
        <v>2</v>
      </c>
      <c r="C856">
        <v>2</v>
      </c>
      <c r="D856" s="1">
        <v>41602</v>
      </c>
      <c r="E856">
        <v>64</v>
      </c>
      <c r="F856">
        <f>VLOOKUP(ORDERS[[#This Row],[ProductID]],Products[],4,FALSE)</f>
        <v>30</v>
      </c>
      <c r="G856">
        <v>0.15000000599999999</v>
      </c>
      <c r="H856">
        <f>(ORDERS[[#This Row],[UnitsOrdered]]*ORDERS[[#This Row],[unit price]])-(ORDERS[[#This Row],[UnitsOrdered]]*ORDERS[[#This Row],[unit price]]*ORDERS[[#This Row],[Discount]])</f>
        <v>1631.99998848</v>
      </c>
      <c r="I856" t="str">
        <f>VLOOKUP(ORDERS[[#This Row],[CustomerID]],customers[],2,FALSE)</f>
        <v>A Shirts Life</v>
      </c>
      <c r="J856" s="2" t="str">
        <f>VLOOKUP(ORDERS[[#This Row],[CustomerID]],customers[],4,FALSE)</f>
        <v>Portland</v>
      </c>
      <c r="K856" s="2" t="str">
        <f>VLOOKUP(ORDERS[[#This Row],[ProductID]],Products[],3,FALSE)</f>
        <v>Both</v>
      </c>
      <c r="L856" s="2">
        <f>DAY(ORDERS[[#This Row],[OrderDate]])</f>
        <v>24</v>
      </c>
      <c r="M856" s="2">
        <f>YEAR(ORDERS[[#This Row],[OrderDate]])</f>
        <v>2013</v>
      </c>
    </row>
    <row r="857" spans="1:13" x14ac:dyDescent="0.3">
      <c r="A857">
        <v>856</v>
      </c>
      <c r="B857">
        <v>2</v>
      </c>
      <c r="C857">
        <v>3</v>
      </c>
      <c r="D857" s="1">
        <v>41605</v>
      </c>
      <c r="E857">
        <v>45</v>
      </c>
      <c r="F857">
        <f>VLOOKUP(ORDERS[[#This Row],[ProductID]],Products[],4,FALSE)</f>
        <v>22</v>
      </c>
      <c r="G857">
        <v>0</v>
      </c>
      <c r="H857">
        <f>(ORDERS[[#This Row],[UnitsOrdered]]*ORDERS[[#This Row],[unit price]])-(ORDERS[[#This Row],[UnitsOrdered]]*ORDERS[[#This Row],[unit price]]*ORDERS[[#This Row],[Discount]])</f>
        <v>990</v>
      </c>
      <c r="I857" t="str">
        <f>VLOOKUP(ORDERS[[#This Row],[CustomerID]],customers[],2,FALSE)</f>
        <v>A Shirts Life</v>
      </c>
      <c r="J857" s="2" t="str">
        <f>VLOOKUP(ORDERS[[#This Row],[CustomerID]],customers[],4,FALSE)</f>
        <v>Portland</v>
      </c>
      <c r="K857" s="2" t="str">
        <f>VLOOKUP(ORDERS[[#This Row],[ProductID]],Products[],3,FALSE)</f>
        <v>Both</v>
      </c>
      <c r="L857" s="2">
        <f>DAY(ORDERS[[#This Row],[OrderDate]])</f>
        <v>27</v>
      </c>
      <c r="M857" s="2">
        <f>YEAR(ORDERS[[#This Row],[OrderDate]])</f>
        <v>2013</v>
      </c>
    </row>
    <row r="858" spans="1:13" x14ac:dyDescent="0.3">
      <c r="A858">
        <v>857</v>
      </c>
      <c r="B858">
        <v>6</v>
      </c>
      <c r="C858">
        <v>9</v>
      </c>
      <c r="D858" s="1">
        <v>41605</v>
      </c>
      <c r="E858">
        <v>79</v>
      </c>
      <c r="F858">
        <f>VLOOKUP(ORDERS[[#This Row],[ProductID]],Products[],4,FALSE)</f>
        <v>25</v>
      </c>
      <c r="G858">
        <v>0</v>
      </c>
      <c r="H858">
        <f>(ORDERS[[#This Row],[UnitsOrdered]]*ORDERS[[#This Row],[unit price]])-(ORDERS[[#This Row],[UnitsOrdered]]*ORDERS[[#This Row],[unit price]]*ORDERS[[#This Row],[Discount]])</f>
        <v>1975</v>
      </c>
      <c r="I858" t="str">
        <f>VLOOKUP(ORDERS[[#This Row],[CustomerID]],customers[],2,FALSE)</f>
        <v>Abracadaba Ink</v>
      </c>
      <c r="J858" s="2" t="str">
        <f>VLOOKUP(ORDERS[[#This Row],[CustomerID]],customers[],4,FALSE)</f>
        <v>Salt Lake City</v>
      </c>
      <c r="K858" s="2" t="str">
        <f>VLOOKUP(ORDERS[[#This Row],[ProductID]],Products[],3,FALSE)</f>
        <v>Male</v>
      </c>
      <c r="L858" s="2">
        <f>DAY(ORDERS[[#This Row],[OrderDate]])</f>
        <v>27</v>
      </c>
      <c r="M858" s="2">
        <f>YEAR(ORDERS[[#This Row],[OrderDate]])</f>
        <v>2013</v>
      </c>
    </row>
    <row r="859" spans="1:13" x14ac:dyDescent="0.3">
      <c r="A859">
        <v>858</v>
      </c>
      <c r="B859">
        <v>5</v>
      </c>
      <c r="C859">
        <v>6</v>
      </c>
      <c r="D859" s="1">
        <v>41606</v>
      </c>
      <c r="E859">
        <v>94</v>
      </c>
      <c r="F859">
        <f>VLOOKUP(ORDERS[[#This Row],[ProductID]],Products[],4,FALSE)</f>
        <v>28</v>
      </c>
      <c r="G859">
        <v>0</v>
      </c>
      <c r="H859">
        <f>(ORDERS[[#This Row],[UnitsOrdered]]*ORDERS[[#This Row],[unit price]])-(ORDERS[[#This Row],[UnitsOrdered]]*ORDERS[[#This Row],[unit price]]*ORDERS[[#This Row],[Discount]])</f>
        <v>2632</v>
      </c>
      <c r="I859" t="str">
        <f>VLOOKUP(ORDERS[[#This Row],[CustomerID]],customers[],2,FALSE)</f>
        <v>Rags to Riches</v>
      </c>
      <c r="J859" s="2" t="str">
        <f>VLOOKUP(ORDERS[[#This Row],[CustomerID]],customers[],4,FALSE)</f>
        <v>Las Vegas</v>
      </c>
      <c r="K859" s="2" t="str">
        <f>VLOOKUP(ORDERS[[#This Row],[ProductID]],Products[],3,FALSE)</f>
        <v>Female</v>
      </c>
      <c r="L859" s="2">
        <f>DAY(ORDERS[[#This Row],[OrderDate]])</f>
        <v>28</v>
      </c>
      <c r="M859" s="2">
        <f>YEAR(ORDERS[[#This Row],[OrderDate]])</f>
        <v>2013</v>
      </c>
    </row>
    <row r="860" spans="1:13" x14ac:dyDescent="0.3">
      <c r="A860">
        <v>859</v>
      </c>
      <c r="B860">
        <v>7</v>
      </c>
      <c r="C860">
        <v>2</v>
      </c>
      <c r="D860" s="1">
        <v>41607</v>
      </c>
      <c r="E860">
        <v>38</v>
      </c>
      <c r="F860">
        <f>VLOOKUP(ORDERS[[#This Row],[ProductID]],Products[],4,FALSE)</f>
        <v>30</v>
      </c>
      <c r="G860">
        <v>0</v>
      </c>
      <c r="H860">
        <f>(ORDERS[[#This Row],[UnitsOrdered]]*ORDERS[[#This Row],[unit price]])-(ORDERS[[#This Row],[UnitsOrdered]]*ORDERS[[#This Row],[unit price]]*ORDERS[[#This Row],[Discount]])</f>
        <v>1140</v>
      </c>
      <c r="I860" t="str">
        <f>VLOOKUP(ORDERS[[#This Row],[CustomerID]],customers[],2,FALSE)</f>
        <v>The Shirt on Your Back</v>
      </c>
      <c r="J860" s="2" t="str">
        <f>VLOOKUP(ORDERS[[#This Row],[CustomerID]],customers[],4,FALSE)</f>
        <v>Bonners Ferry</v>
      </c>
      <c r="K860" s="2" t="str">
        <f>VLOOKUP(ORDERS[[#This Row],[ProductID]],Products[],3,FALSE)</f>
        <v>Both</v>
      </c>
      <c r="L860" s="2">
        <f>DAY(ORDERS[[#This Row],[OrderDate]])</f>
        <v>29</v>
      </c>
      <c r="M860" s="2">
        <f>YEAR(ORDERS[[#This Row],[OrderDate]])</f>
        <v>2013</v>
      </c>
    </row>
    <row r="861" spans="1:13" x14ac:dyDescent="0.3">
      <c r="A861">
        <v>860</v>
      </c>
      <c r="B861">
        <v>2</v>
      </c>
      <c r="C861">
        <v>3</v>
      </c>
      <c r="D861" s="1">
        <v>41608</v>
      </c>
      <c r="E861">
        <v>69</v>
      </c>
      <c r="F861">
        <f>VLOOKUP(ORDERS[[#This Row],[ProductID]],Products[],4,FALSE)</f>
        <v>22</v>
      </c>
      <c r="G861">
        <v>0</v>
      </c>
      <c r="H861">
        <f>(ORDERS[[#This Row],[UnitsOrdered]]*ORDERS[[#This Row],[unit price]])-(ORDERS[[#This Row],[UnitsOrdered]]*ORDERS[[#This Row],[unit price]]*ORDERS[[#This Row],[Discount]])</f>
        <v>1518</v>
      </c>
      <c r="I861" t="str">
        <f>VLOOKUP(ORDERS[[#This Row],[CustomerID]],customers[],2,FALSE)</f>
        <v>A Shirts Life</v>
      </c>
      <c r="J861" s="2" t="str">
        <f>VLOOKUP(ORDERS[[#This Row],[CustomerID]],customers[],4,FALSE)</f>
        <v>Portland</v>
      </c>
      <c r="K861" s="2" t="str">
        <f>VLOOKUP(ORDERS[[#This Row],[ProductID]],Products[],3,FALSE)</f>
        <v>Both</v>
      </c>
      <c r="L861" s="2">
        <f>DAY(ORDERS[[#This Row],[OrderDate]])</f>
        <v>30</v>
      </c>
      <c r="M861" s="2">
        <f>YEAR(ORDERS[[#This Row],[OrderDate]])</f>
        <v>2013</v>
      </c>
    </row>
    <row r="862" spans="1:13" x14ac:dyDescent="0.3">
      <c r="A862">
        <v>861</v>
      </c>
      <c r="B862">
        <v>4</v>
      </c>
      <c r="C862">
        <v>9</v>
      </c>
      <c r="D862" s="1">
        <v>41608</v>
      </c>
      <c r="E862">
        <v>147</v>
      </c>
      <c r="F862">
        <f>VLOOKUP(ORDERS[[#This Row],[ProductID]],Products[],4,FALSE)</f>
        <v>25</v>
      </c>
      <c r="G862">
        <v>0</v>
      </c>
      <c r="H862">
        <f>(ORDERS[[#This Row],[UnitsOrdered]]*ORDERS[[#This Row],[unit price]])-(ORDERS[[#This Row],[UnitsOrdered]]*ORDERS[[#This Row],[unit price]]*ORDERS[[#This Row],[Discount]])</f>
        <v>3675</v>
      </c>
      <c r="I862" t="str">
        <f>VLOOKUP(ORDERS[[#This Row],[CustomerID]],customers[],2,FALSE)</f>
        <v>Tshirt Unlimited</v>
      </c>
      <c r="J862" s="2" t="str">
        <f>VLOOKUP(ORDERS[[#This Row],[CustomerID]],customers[],4,FALSE)</f>
        <v>Phoenix</v>
      </c>
      <c r="K862" s="2" t="str">
        <f>VLOOKUP(ORDERS[[#This Row],[ProductID]],Products[],3,FALSE)</f>
        <v>Male</v>
      </c>
      <c r="L862" s="2">
        <f>DAY(ORDERS[[#This Row],[OrderDate]])</f>
        <v>30</v>
      </c>
      <c r="M862" s="2">
        <f>YEAR(ORDERS[[#This Row],[OrderDate]])</f>
        <v>2013</v>
      </c>
    </row>
    <row r="863" spans="1:13" x14ac:dyDescent="0.3">
      <c r="A863">
        <v>862</v>
      </c>
      <c r="B863">
        <v>7</v>
      </c>
      <c r="C863">
        <v>4</v>
      </c>
      <c r="D863" s="1">
        <v>41609</v>
      </c>
      <c r="E863">
        <v>62</v>
      </c>
      <c r="F863">
        <f>VLOOKUP(ORDERS[[#This Row],[ProductID]],Products[],4,FALSE)</f>
        <v>30</v>
      </c>
      <c r="G863">
        <v>0.10000000100000001</v>
      </c>
      <c r="H863">
        <f>(ORDERS[[#This Row],[UnitsOrdered]]*ORDERS[[#This Row],[unit price]])-(ORDERS[[#This Row],[UnitsOrdered]]*ORDERS[[#This Row],[unit price]]*ORDERS[[#This Row],[Discount]])</f>
        <v>1673.9999981400001</v>
      </c>
      <c r="I863" t="str">
        <f>VLOOKUP(ORDERS[[#This Row],[CustomerID]],customers[],2,FALSE)</f>
        <v>The Shirt on Your Back</v>
      </c>
      <c r="J863" s="2" t="str">
        <f>VLOOKUP(ORDERS[[#This Row],[CustomerID]],customers[],4,FALSE)</f>
        <v>Bonners Ferry</v>
      </c>
      <c r="K863" s="2" t="str">
        <f>VLOOKUP(ORDERS[[#This Row],[ProductID]],Products[],3,FALSE)</f>
        <v>Both</v>
      </c>
      <c r="L863" s="2">
        <f>DAY(ORDERS[[#This Row],[OrderDate]])</f>
        <v>1</v>
      </c>
      <c r="M863" s="2">
        <f>YEAR(ORDERS[[#This Row],[OrderDate]])</f>
        <v>2013</v>
      </c>
    </row>
    <row r="864" spans="1:13" x14ac:dyDescent="0.3">
      <c r="A864">
        <v>863</v>
      </c>
      <c r="B864">
        <v>5</v>
      </c>
      <c r="C864">
        <v>2</v>
      </c>
      <c r="D864" s="1">
        <v>41610</v>
      </c>
      <c r="E864">
        <v>49</v>
      </c>
      <c r="F864">
        <f>VLOOKUP(ORDERS[[#This Row],[ProductID]],Products[],4,FALSE)</f>
        <v>30</v>
      </c>
      <c r="G864">
        <v>0.10000000100000001</v>
      </c>
      <c r="H864">
        <f>(ORDERS[[#This Row],[UnitsOrdered]]*ORDERS[[#This Row],[unit price]])-(ORDERS[[#This Row],[UnitsOrdered]]*ORDERS[[#This Row],[unit price]]*ORDERS[[#This Row],[Discount]])</f>
        <v>1322.9999985300001</v>
      </c>
      <c r="I864" t="str">
        <f>VLOOKUP(ORDERS[[#This Row],[CustomerID]],customers[],2,FALSE)</f>
        <v>Rags to Riches</v>
      </c>
      <c r="J864" s="2" t="str">
        <f>VLOOKUP(ORDERS[[#This Row],[CustomerID]],customers[],4,FALSE)</f>
        <v>Las Vegas</v>
      </c>
      <c r="K864" s="2" t="str">
        <f>VLOOKUP(ORDERS[[#This Row],[ProductID]],Products[],3,FALSE)</f>
        <v>Both</v>
      </c>
      <c r="L864" s="2">
        <f>DAY(ORDERS[[#This Row],[OrderDate]])</f>
        <v>2</v>
      </c>
      <c r="M864" s="2">
        <f>YEAR(ORDERS[[#This Row],[OrderDate]])</f>
        <v>2013</v>
      </c>
    </row>
    <row r="865" spans="1:13" x14ac:dyDescent="0.3">
      <c r="A865">
        <v>864</v>
      </c>
      <c r="B865">
        <v>5</v>
      </c>
      <c r="C865">
        <v>1</v>
      </c>
      <c r="D865" s="1">
        <v>41611</v>
      </c>
      <c r="E865">
        <v>139</v>
      </c>
      <c r="F865">
        <f>VLOOKUP(ORDERS[[#This Row],[ProductID]],Products[],4,FALSE)</f>
        <v>20</v>
      </c>
      <c r="G865">
        <v>0</v>
      </c>
      <c r="H865">
        <f>(ORDERS[[#This Row],[UnitsOrdered]]*ORDERS[[#This Row],[unit price]])-(ORDERS[[#This Row],[UnitsOrdered]]*ORDERS[[#This Row],[unit price]]*ORDERS[[#This Row],[Discount]])</f>
        <v>2780</v>
      </c>
      <c r="I865" t="str">
        <f>VLOOKUP(ORDERS[[#This Row],[CustomerID]],customers[],2,FALSE)</f>
        <v>Rags to Riches</v>
      </c>
      <c r="J865" s="2" t="str">
        <f>VLOOKUP(ORDERS[[#This Row],[CustomerID]],customers[],4,FALSE)</f>
        <v>Las Vegas</v>
      </c>
      <c r="K865" s="2" t="str">
        <f>VLOOKUP(ORDERS[[#This Row],[ProductID]],Products[],3,FALSE)</f>
        <v>Both</v>
      </c>
      <c r="L865" s="2">
        <f>DAY(ORDERS[[#This Row],[OrderDate]])</f>
        <v>3</v>
      </c>
      <c r="M865" s="2">
        <f>YEAR(ORDERS[[#This Row],[OrderDate]])</f>
        <v>2013</v>
      </c>
    </row>
    <row r="866" spans="1:13" x14ac:dyDescent="0.3">
      <c r="A866">
        <v>865</v>
      </c>
      <c r="B866">
        <v>7</v>
      </c>
      <c r="C866">
        <v>10</v>
      </c>
      <c r="D866" s="1">
        <v>41613</v>
      </c>
      <c r="E866">
        <v>77</v>
      </c>
      <c r="F866">
        <f>VLOOKUP(ORDERS[[#This Row],[ProductID]],Products[],4,FALSE)</f>
        <v>35</v>
      </c>
      <c r="G866">
        <v>0</v>
      </c>
      <c r="H866">
        <f>(ORDERS[[#This Row],[UnitsOrdered]]*ORDERS[[#This Row],[unit price]])-(ORDERS[[#This Row],[UnitsOrdered]]*ORDERS[[#This Row],[unit price]]*ORDERS[[#This Row],[Discount]])</f>
        <v>2695</v>
      </c>
      <c r="I866" t="str">
        <f>VLOOKUP(ORDERS[[#This Row],[CustomerID]],customers[],2,FALSE)</f>
        <v>The Shirt on Your Back</v>
      </c>
      <c r="J866" s="2" t="str">
        <f>VLOOKUP(ORDERS[[#This Row],[CustomerID]],customers[],4,FALSE)</f>
        <v>Bonners Ferry</v>
      </c>
      <c r="K866" s="2" t="str">
        <f>VLOOKUP(ORDERS[[#This Row],[ProductID]],Products[],3,FALSE)</f>
        <v>Male</v>
      </c>
      <c r="L866" s="2">
        <f>DAY(ORDERS[[#This Row],[OrderDate]])</f>
        <v>5</v>
      </c>
      <c r="M866" s="2">
        <f>YEAR(ORDERS[[#This Row],[OrderDate]])</f>
        <v>2013</v>
      </c>
    </row>
    <row r="867" spans="1:13" x14ac:dyDescent="0.3">
      <c r="A867">
        <v>866</v>
      </c>
      <c r="B867">
        <v>3</v>
      </c>
      <c r="C867">
        <v>6</v>
      </c>
      <c r="D867" s="1">
        <v>41615</v>
      </c>
      <c r="E867">
        <v>54</v>
      </c>
      <c r="F867">
        <f>VLOOKUP(ORDERS[[#This Row],[ProductID]],Products[],4,FALSE)</f>
        <v>28</v>
      </c>
      <c r="G867">
        <v>0</v>
      </c>
      <c r="H867">
        <f>(ORDERS[[#This Row],[UnitsOrdered]]*ORDERS[[#This Row],[unit price]])-(ORDERS[[#This Row],[UnitsOrdered]]*ORDERS[[#This Row],[unit price]]*ORDERS[[#This Row],[Discount]])</f>
        <v>1512</v>
      </c>
      <c r="I867" t="str">
        <f>VLOOKUP(ORDERS[[#This Row],[CustomerID]],customers[],2,FALSE)</f>
        <v>Shirts R Us</v>
      </c>
      <c r="J867" s="2" t="str">
        <f>VLOOKUP(ORDERS[[#This Row],[CustomerID]],customers[],4,FALSE)</f>
        <v>Los Angeles</v>
      </c>
      <c r="K867" s="2" t="str">
        <f>VLOOKUP(ORDERS[[#This Row],[ProductID]],Products[],3,FALSE)</f>
        <v>Female</v>
      </c>
      <c r="L867" s="2">
        <f>DAY(ORDERS[[#This Row],[OrderDate]])</f>
        <v>7</v>
      </c>
      <c r="M867" s="2">
        <f>YEAR(ORDERS[[#This Row],[OrderDate]])</f>
        <v>2013</v>
      </c>
    </row>
    <row r="868" spans="1:13" x14ac:dyDescent="0.3">
      <c r="A868">
        <v>867</v>
      </c>
      <c r="B868">
        <v>7</v>
      </c>
      <c r="C868">
        <v>3</v>
      </c>
      <c r="D868" s="1">
        <v>41617</v>
      </c>
      <c r="E868">
        <v>79</v>
      </c>
      <c r="F868">
        <f>VLOOKUP(ORDERS[[#This Row],[ProductID]],Products[],4,FALSE)</f>
        <v>22</v>
      </c>
      <c r="G868">
        <v>0</v>
      </c>
      <c r="H868">
        <f>(ORDERS[[#This Row],[UnitsOrdered]]*ORDERS[[#This Row],[unit price]])-(ORDERS[[#This Row],[UnitsOrdered]]*ORDERS[[#This Row],[unit price]]*ORDERS[[#This Row],[Discount]])</f>
        <v>1738</v>
      </c>
      <c r="I868" t="str">
        <f>VLOOKUP(ORDERS[[#This Row],[CustomerID]],customers[],2,FALSE)</f>
        <v>The Shirt on Your Back</v>
      </c>
      <c r="J868" s="2" t="str">
        <f>VLOOKUP(ORDERS[[#This Row],[CustomerID]],customers[],4,FALSE)</f>
        <v>Bonners Ferry</v>
      </c>
      <c r="K868" s="2" t="str">
        <f>VLOOKUP(ORDERS[[#This Row],[ProductID]],Products[],3,FALSE)</f>
        <v>Both</v>
      </c>
      <c r="L868" s="2">
        <f>DAY(ORDERS[[#This Row],[OrderDate]])</f>
        <v>9</v>
      </c>
      <c r="M868" s="2">
        <f>YEAR(ORDERS[[#This Row],[OrderDate]])</f>
        <v>2013</v>
      </c>
    </row>
    <row r="869" spans="1:13" x14ac:dyDescent="0.3">
      <c r="A869">
        <v>868</v>
      </c>
      <c r="B869">
        <v>4</v>
      </c>
      <c r="C869">
        <v>3</v>
      </c>
      <c r="D869" s="1">
        <v>41618</v>
      </c>
      <c r="E869">
        <v>101</v>
      </c>
      <c r="F869">
        <f>VLOOKUP(ORDERS[[#This Row],[ProductID]],Products[],4,FALSE)</f>
        <v>22</v>
      </c>
      <c r="G869">
        <v>0</v>
      </c>
      <c r="H869">
        <f>(ORDERS[[#This Row],[UnitsOrdered]]*ORDERS[[#This Row],[unit price]])-(ORDERS[[#This Row],[UnitsOrdered]]*ORDERS[[#This Row],[unit price]]*ORDERS[[#This Row],[Discount]])</f>
        <v>2222</v>
      </c>
      <c r="I869" t="str">
        <f>VLOOKUP(ORDERS[[#This Row],[CustomerID]],customers[],2,FALSE)</f>
        <v>Tshirt Unlimited</v>
      </c>
      <c r="J869" s="2" t="str">
        <f>VLOOKUP(ORDERS[[#This Row],[CustomerID]],customers[],4,FALSE)</f>
        <v>Phoenix</v>
      </c>
      <c r="K869" s="2" t="str">
        <f>VLOOKUP(ORDERS[[#This Row],[ProductID]],Products[],3,FALSE)</f>
        <v>Both</v>
      </c>
      <c r="L869" s="2">
        <f>DAY(ORDERS[[#This Row],[OrderDate]])</f>
        <v>10</v>
      </c>
      <c r="M869" s="2">
        <f>YEAR(ORDERS[[#This Row],[OrderDate]])</f>
        <v>2013</v>
      </c>
    </row>
    <row r="870" spans="1:13" x14ac:dyDescent="0.3">
      <c r="A870">
        <v>869</v>
      </c>
      <c r="B870">
        <v>5</v>
      </c>
      <c r="C870">
        <v>10</v>
      </c>
      <c r="D870" s="1">
        <v>41620</v>
      </c>
      <c r="E870">
        <v>57</v>
      </c>
      <c r="F870">
        <f>VLOOKUP(ORDERS[[#This Row],[ProductID]],Products[],4,FALSE)</f>
        <v>35</v>
      </c>
      <c r="G870">
        <v>0</v>
      </c>
      <c r="H870">
        <f>(ORDERS[[#This Row],[UnitsOrdered]]*ORDERS[[#This Row],[unit price]])-(ORDERS[[#This Row],[UnitsOrdered]]*ORDERS[[#This Row],[unit price]]*ORDERS[[#This Row],[Discount]])</f>
        <v>1995</v>
      </c>
      <c r="I870" t="str">
        <f>VLOOKUP(ORDERS[[#This Row],[CustomerID]],customers[],2,FALSE)</f>
        <v>Rags to Riches</v>
      </c>
      <c r="J870" s="2" t="str">
        <f>VLOOKUP(ORDERS[[#This Row],[CustomerID]],customers[],4,FALSE)</f>
        <v>Las Vegas</v>
      </c>
      <c r="K870" s="2" t="str">
        <f>VLOOKUP(ORDERS[[#This Row],[ProductID]],Products[],3,FALSE)</f>
        <v>Male</v>
      </c>
      <c r="L870" s="2">
        <f>DAY(ORDERS[[#This Row],[OrderDate]])</f>
        <v>12</v>
      </c>
      <c r="M870" s="2">
        <f>YEAR(ORDERS[[#This Row],[OrderDate]])</f>
        <v>2013</v>
      </c>
    </row>
    <row r="871" spans="1:13" x14ac:dyDescent="0.3">
      <c r="A871">
        <v>870</v>
      </c>
      <c r="B871">
        <v>2</v>
      </c>
      <c r="C871">
        <v>1</v>
      </c>
      <c r="D871" s="1">
        <v>41621</v>
      </c>
      <c r="E871">
        <v>140</v>
      </c>
      <c r="F871">
        <f>VLOOKUP(ORDERS[[#This Row],[ProductID]],Products[],4,FALSE)</f>
        <v>20</v>
      </c>
      <c r="G871">
        <v>0</v>
      </c>
      <c r="H871">
        <f>(ORDERS[[#This Row],[UnitsOrdered]]*ORDERS[[#This Row],[unit price]])-(ORDERS[[#This Row],[UnitsOrdered]]*ORDERS[[#This Row],[unit price]]*ORDERS[[#This Row],[Discount]])</f>
        <v>2800</v>
      </c>
      <c r="I871" t="str">
        <f>VLOOKUP(ORDERS[[#This Row],[CustomerID]],customers[],2,FALSE)</f>
        <v>A Shirts Life</v>
      </c>
      <c r="J871" s="2" t="str">
        <f>VLOOKUP(ORDERS[[#This Row],[CustomerID]],customers[],4,FALSE)</f>
        <v>Portland</v>
      </c>
      <c r="K871" s="2" t="str">
        <f>VLOOKUP(ORDERS[[#This Row],[ProductID]],Products[],3,FALSE)</f>
        <v>Both</v>
      </c>
      <c r="L871" s="2">
        <f>DAY(ORDERS[[#This Row],[OrderDate]])</f>
        <v>13</v>
      </c>
      <c r="M871" s="2">
        <f>YEAR(ORDERS[[#This Row],[OrderDate]])</f>
        <v>2013</v>
      </c>
    </row>
    <row r="872" spans="1:13" x14ac:dyDescent="0.3">
      <c r="A872">
        <v>871</v>
      </c>
      <c r="B872">
        <v>3</v>
      </c>
      <c r="C872">
        <v>10</v>
      </c>
      <c r="D872" s="1">
        <v>41622</v>
      </c>
      <c r="E872">
        <v>40</v>
      </c>
      <c r="F872">
        <f>VLOOKUP(ORDERS[[#This Row],[ProductID]],Products[],4,FALSE)</f>
        <v>35</v>
      </c>
      <c r="G872">
        <v>0</v>
      </c>
      <c r="H872">
        <f>(ORDERS[[#This Row],[UnitsOrdered]]*ORDERS[[#This Row],[unit price]])-(ORDERS[[#This Row],[UnitsOrdered]]*ORDERS[[#This Row],[unit price]]*ORDERS[[#This Row],[Discount]])</f>
        <v>1400</v>
      </c>
      <c r="I872" t="str">
        <f>VLOOKUP(ORDERS[[#This Row],[CustomerID]],customers[],2,FALSE)</f>
        <v>Shirts R Us</v>
      </c>
      <c r="J872" s="2" t="str">
        <f>VLOOKUP(ORDERS[[#This Row],[CustomerID]],customers[],4,FALSE)</f>
        <v>Los Angeles</v>
      </c>
      <c r="K872" s="2" t="str">
        <f>VLOOKUP(ORDERS[[#This Row],[ProductID]],Products[],3,FALSE)</f>
        <v>Male</v>
      </c>
      <c r="L872" s="2">
        <f>DAY(ORDERS[[#This Row],[OrderDate]])</f>
        <v>14</v>
      </c>
      <c r="M872" s="2">
        <f>YEAR(ORDERS[[#This Row],[OrderDate]])</f>
        <v>2013</v>
      </c>
    </row>
    <row r="873" spans="1:13" x14ac:dyDescent="0.3">
      <c r="A873">
        <v>872</v>
      </c>
      <c r="B873">
        <v>1</v>
      </c>
      <c r="C873">
        <v>2</v>
      </c>
      <c r="D873" s="1">
        <v>41623</v>
      </c>
      <c r="E873">
        <v>49</v>
      </c>
      <c r="F873">
        <f>VLOOKUP(ORDERS[[#This Row],[ProductID]],Products[],4,FALSE)</f>
        <v>30</v>
      </c>
      <c r="G873">
        <v>0</v>
      </c>
      <c r="H873">
        <f>(ORDERS[[#This Row],[UnitsOrdered]]*ORDERS[[#This Row],[unit price]])-(ORDERS[[#This Row],[UnitsOrdered]]*ORDERS[[#This Row],[unit price]]*ORDERS[[#This Row],[Discount]])</f>
        <v>1470</v>
      </c>
      <c r="I873" t="str">
        <f>VLOOKUP(ORDERS[[#This Row],[CustomerID]],customers[],2,FALSE)</f>
        <v>Threads</v>
      </c>
      <c r="J873" s="2" t="str">
        <f>VLOOKUP(ORDERS[[#This Row],[CustomerID]],customers[],4,FALSE)</f>
        <v>Seattle</v>
      </c>
      <c r="K873" s="2" t="str">
        <f>VLOOKUP(ORDERS[[#This Row],[ProductID]],Products[],3,FALSE)</f>
        <v>Both</v>
      </c>
      <c r="L873" s="2">
        <f>DAY(ORDERS[[#This Row],[OrderDate]])</f>
        <v>15</v>
      </c>
      <c r="M873" s="2">
        <f>YEAR(ORDERS[[#This Row],[OrderDate]])</f>
        <v>2013</v>
      </c>
    </row>
    <row r="874" spans="1:13" x14ac:dyDescent="0.3">
      <c r="A874">
        <v>873</v>
      </c>
      <c r="B874">
        <v>1</v>
      </c>
      <c r="C874">
        <v>8</v>
      </c>
      <c r="D874" s="1">
        <v>41623</v>
      </c>
      <c r="E874">
        <v>124</v>
      </c>
      <c r="F874">
        <f>VLOOKUP(ORDERS[[#This Row],[ProductID]],Products[],4,FALSE)</f>
        <v>27</v>
      </c>
      <c r="G874">
        <v>0</v>
      </c>
      <c r="H874">
        <f>(ORDERS[[#This Row],[UnitsOrdered]]*ORDERS[[#This Row],[unit price]])-(ORDERS[[#This Row],[UnitsOrdered]]*ORDERS[[#This Row],[unit price]]*ORDERS[[#This Row],[Discount]])</f>
        <v>3348</v>
      </c>
      <c r="I874" t="str">
        <f>VLOOKUP(ORDERS[[#This Row],[CustomerID]],customers[],2,FALSE)</f>
        <v>Threads</v>
      </c>
      <c r="J874" s="2" t="str">
        <f>VLOOKUP(ORDERS[[#This Row],[CustomerID]],customers[],4,FALSE)</f>
        <v>Seattle</v>
      </c>
      <c r="K874" s="2" t="str">
        <f>VLOOKUP(ORDERS[[#This Row],[ProductID]],Products[],3,FALSE)</f>
        <v>Female</v>
      </c>
      <c r="L874" s="2">
        <f>DAY(ORDERS[[#This Row],[OrderDate]])</f>
        <v>15</v>
      </c>
      <c r="M874" s="2">
        <f>YEAR(ORDERS[[#This Row],[OrderDate]])</f>
        <v>2013</v>
      </c>
    </row>
    <row r="875" spans="1:13" x14ac:dyDescent="0.3">
      <c r="A875">
        <v>874</v>
      </c>
      <c r="B875">
        <v>4</v>
      </c>
      <c r="C875">
        <v>3</v>
      </c>
      <c r="D875" s="1">
        <v>41625</v>
      </c>
      <c r="E875">
        <v>86</v>
      </c>
      <c r="F875">
        <f>VLOOKUP(ORDERS[[#This Row],[ProductID]],Products[],4,FALSE)</f>
        <v>22</v>
      </c>
      <c r="G875">
        <v>0</v>
      </c>
      <c r="H875">
        <f>(ORDERS[[#This Row],[UnitsOrdered]]*ORDERS[[#This Row],[unit price]])-(ORDERS[[#This Row],[UnitsOrdered]]*ORDERS[[#This Row],[unit price]]*ORDERS[[#This Row],[Discount]])</f>
        <v>1892</v>
      </c>
      <c r="I875" t="str">
        <f>VLOOKUP(ORDERS[[#This Row],[CustomerID]],customers[],2,FALSE)</f>
        <v>Tshirt Unlimited</v>
      </c>
      <c r="J875" s="2" t="str">
        <f>VLOOKUP(ORDERS[[#This Row],[CustomerID]],customers[],4,FALSE)</f>
        <v>Phoenix</v>
      </c>
      <c r="K875" s="2" t="str">
        <f>VLOOKUP(ORDERS[[#This Row],[ProductID]],Products[],3,FALSE)</f>
        <v>Both</v>
      </c>
      <c r="L875" s="2">
        <f>DAY(ORDERS[[#This Row],[OrderDate]])</f>
        <v>17</v>
      </c>
      <c r="M875" s="2">
        <f>YEAR(ORDERS[[#This Row],[OrderDate]])</f>
        <v>2013</v>
      </c>
    </row>
    <row r="876" spans="1:13" x14ac:dyDescent="0.3">
      <c r="A876">
        <v>875</v>
      </c>
      <c r="B876">
        <v>4</v>
      </c>
      <c r="C876">
        <v>4</v>
      </c>
      <c r="D876" s="1">
        <v>41625</v>
      </c>
      <c r="E876">
        <v>56</v>
      </c>
      <c r="F876">
        <f>VLOOKUP(ORDERS[[#This Row],[ProductID]],Products[],4,FALSE)</f>
        <v>30</v>
      </c>
      <c r="G876">
        <v>0</v>
      </c>
      <c r="H876">
        <f>(ORDERS[[#This Row],[UnitsOrdered]]*ORDERS[[#This Row],[unit price]])-(ORDERS[[#This Row],[UnitsOrdered]]*ORDERS[[#This Row],[unit price]]*ORDERS[[#This Row],[Discount]])</f>
        <v>1680</v>
      </c>
      <c r="I876" t="str">
        <f>VLOOKUP(ORDERS[[#This Row],[CustomerID]],customers[],2,FALSE)</f>
        <v>Tshirt Unlimited</v>
      </c>
      <c r="J876" s="2" t="str">
        <f>VLOOKUP(ORDERS[[#This Row],[CustomerID]],customers[],4,FALSE)</f>
        <v>Phoenix</v>
      </c>
      <c r="K876" s="2" t="str">
        <f>VLOOKUP(ORDERS[[#This Row],[ProductID]],Products[],3,FALSE)</f>
        <v>Both</v>
      </c>
      <c r="L876" s="2">
        <f>DAY(ORDERS[[#This Row],[OrderDate]])</f>
        <v>17</v>
      </c>
      <c r="M876" s="2">
        <f>YEAR(ORDERS[[#This Row],[OrderDate]])</f>
        <v>2013</v>
      </c>
    </row>
    <row r="877" spans="1:13" x14ac:dyDescent="0.3">
      <c r="A877">
        <v>876</v>
      </c>
      <c r="B877">
        <v>3</v>
      </c>
      <c r="C877">
        <v>2</v>
      </c>
      <c r="D877" s="1">
        <v>41626</v>
      </c>
      <c r="E877">
        <v>130</v>
      </c>
      <c r="F877">
        <f>VLOOKUP(ORDERS[[#This Row],[ProductID]],Products[],4,FALSE)</f>
        <v>30</v>
      </c>
      <c r="G877">
        <v>0</v>
      </c>
      <c r="H877">
        <f>(ORDERS[[#This Row],[UnitsOrdered]]*ORDERS[[#This Row],[unit price]])-(ORDERS[[#This Row],[UnitsOrdered]]*ORDERS[[#This Row],[unit price]]*ORDERS[[#This Row],[Discount]])</f>
        <v>3900</v>
      </c>
      <c r="I877" t="str">
        <f>VLOOKUP(ORDERS[[#This Row],[CustomerID]],customers[],2,FALSE)</f>
        <v>Shirts R Us</v>
      </c>
      <c r="J877" s="2" t="str">
        <f>VLOOKUP(ORDERS[[#This Row],[CustomerID]],customers[],4,FALSE)</f>
        <v>Los Angeles</v>
      </c>
      <c r="K877" s="2" t="str">
        <f>VLOOKUP(ORDERS[[#This Row],[ProductID]],Products[],3,FALSE)</f>
        <v>Both</v>
      </c>
      <c r="L877" s="2">
        <f>DAY(ORDERS[[#This Row],[OrderDate]])</f>
        <v>18</v>
      </c>
      <c r="M877" s="2">
        <f>YEAR(ORDERS[[#This Row],[OrderDate]])</f>
        <v>2013</v>
      </c>
    </row>
    <row r="878" spans="1:13" x14ac:dyDescent="0.3">
      <c r="A878">
        <v>877</v>
      </c>
      <c r="B878">
        <v>6</v>
      </c>
      <c r="C878">
        <v>10</v>
      </c>
      <c r="D878" s="1">
        <v>41626</v>
      </c>
      <c r="E878">
        <v>82</v>
      </c>
      <c r="F878">
        <f>VLOOKUP(ORDERS[[#This Row],[ProductID]],Products[],4,FALSE)</f>
        <v>35</v>
      </c>
      <c r="G878">
        <v>0</v>
      </c>
      <c r="H878">
        <f>(ORDERS[[#This Row],[UnitsOrdered]]*ORDERS[[#This Row],[unit price]])-(ORDERS[[#This Row],[UnitsOrdered]]*ORDERS[[#This Row],[unit price]]*ORDERS[[#This Row],[Discount]])</f>
        <v>2870</v>
      </c>
      <c r="I878" t="str">
        <f>VLOOKUP(ORDERS[[#This Row],[CustomerID]],customers[],2,FALSE)</f>
        <v>Abracadaba Ink</v>
      </c>
      <c r="J878" s="2" t="str">
        <f>VLOOKUP(ORDERS[[#This Row],[CustomerID]],customers[],4,FALSE)</f>
        <v>Salt Lake City</v>
      </c>
      <c r="K878" s="2" t="str">
        <f>VLOOKUP(ORDERS[[#This Row],[ProductID]],Products[],3,FALSE)</f>
        <v>Male</v>
      </c>
      <c r="L878" s="2">
        <f>DAY(ORDERS[[#This Row],[OrderDate]])</f>
        <v>18</v>
      </c>
      <c r="M878" s="2">
        <f>YEAR(ORDERS[[#This Row],[OrderDate]])</f>
        <v>2013</v>
      </c>
    </row>
    <row r="879" spans="1:13" x14ac:dyDescent="0.3">
      <c r="A879">
        <v>878</v>
      </c>
      <c r="B879">
        <v>2</v>
      </c>
      <c r="C879">
        <v>4</v>
      </c>
      <c r="D879" s="1">
        <v>41627</v>
      </c>
      <c r="E879">
        <v>45</v>
      </c>
      <c r="F879">
        <f>VLOOKUP(ORDERS[[#This Row],[ProductID]],Products[],4,FALSE)</f>
        <v>30</v>
      </c>
      <c r="G879">
        <v>0</v>
      </c>
      <c r="H879">
        <f>(ORDERS[[#This Row],[UnitsOrdered]]*ORDERS[[#This Row],[unit price]])-(ORDERS[[#This Row],[UnitsOrdered]]*ORDERS[[#This Row],[unit price]]*ORDERS[[#This Row],[Discount]])</f>
        <v>1350</v>
      </c>
      <c r="I879" t="str">
        <f>VLOOKUP(ORDERS[[#This Row],[CustomerID]],customers[],2,FALSE)</f>
        <v>A Shirts Life</v>
      </c>
      <c r="J879" s="2" t="str">
        <f>VLOOKUP(ORDERS[[#This Row],[CustomerID]],customers[],4,FALSE)</f>
        <v>Portland</v>
      </c>
      <c r="K879" s="2" t="str">
        <f>VLOOKUP(ORDERS[[#This Row],[ProductID]],Products[],3,FALSE)</f>
        <v>Both</v>
      </c>
      <c r="L879" s="2">
        <f>DAY(ORDERS[[#This Row],[OrderDate]])</f>
        <v>19</v>
      </c>
      <c r="M879" s="2">
        <f>YEAR(ORDERS[[#This Row],[OrderDate]])</f>
        <v>2013</v>
      </c>
    </row>
    <row r="880" spans="1:13" x14ac:dyDescent="0.3">
      <c r="A880">
        <v>879</v>
      </c>
      <c r="B880">
        <v>6</v>
      </c>
      <c r="C880">
        <v>2</v>
      </c>
      <c r="D880" s="1">
        <v>41627</v>
      </c>
      <c r="E880">
        <v>123</v>
      </c>
      <c r="F880">
        <f>VLOOKUP(ORDERS[[#This Row],[ProductID]],Products[],4,FALSE)</f>
        <v>30</v>
      </c>
      <c r="G880">
        <v>0</v>
      </c>
      <c r="H880">
        <f>(ORDERS[[#This Row],[UnitsOrdered]]*ORDERS[[#This Row],[unit price]])-(ORDERS[[#This Row],[UnitsOrdered]]*ORDERS[[#This Row],[unit price]]*ORDERS[[#This Row],[Discount]])</f>
        <v>3690</v>
      </c>
      <c r="I880" t="str">
        <f>VLOOKUP(ORDERS[[#This Row],[CustomerID]],customers[],2,FALSE)</f>
        <v>Abracadaba Ink</v>
      </c>
      <c r="J880" s="2" t="str">
        <f>VLOOKUP(ORDERS[[#This Row],[CustomerID]],customers[],4,FALSE)</f>
        <v>Salt Lake City</v>
      </c>
      <c r="K880" s="2" t="str">
        <f>VLOOKUP(ORDERS[[#This Row],[ProductID]],Products[],3,FALSE)</f>
        <v>Both</v>
      </c>
      <c r="L880" s="2">
        <f>DAY(ORDERS[[#This Row],[OrderDate]])</f>
        <v>19</v>
      </c>
      <c r="M880" s="2">
        <f>YEAR(ORDERS[[#This Row],[OrderDate]])</f>
        <v>2013</v>
      </c>
    </row>
    <row r="881" spans="1:13" x14ac:dyDescent="0.3">
      <c r="A881">
        <v>880</v>
      </c>
      <c r="B881">
        <v>2</v>
      </c>
      <c r="C881">
        <v>9</v>
      </c>
      <c r="D881" s="1">
        <v>41628</v>
      </c>
      <c r="E881">
        <v>141</v>
      </c>
      <c r="F881">
        <f>VLOOKUP(ORDERS[[#This Row],[ProductID]],Products[],4,FALSE)</f>
        <v>25</v>
      </c>
      <c r="G881">
        <v>0</v>
      </c>
      <c r="H881">
        <f>(ORDERS[[#This Row],[UnitsOrdered]]*ORDERS[[#This Row],[unit price]])-(ORDERS[[#This Row],[UnitsOrdered]]*ORDERS[[#This Row],[unit price]]*ORDERS[[#This Row],[Discount]])</f>
        <v>3525</v>
      </c>
      <c r="I881" t="str">
        <f>VLOOKUP(ORDERS[[#This Row],[CustomerID]],customers[],2,FALSE)</f>
        <v>A Shirts Life</v>
      </c>
      <c r="J881" s="2" t="str">
        <f>VLOOKUP(ORDERS[[#This Row],[CustomerID]],customers[],4,FALSE)</f>
        <v>Portland</v>
      </c>
      <c r="K881" s="2" t="str">
        <f>VLOOKUP(ORDERS[[#This Row],[ProductID]],Products[],3,FALSE)</f>
        <v>Male</v>
      </c>
      <c r="L881" s="2">
        <f>DAY(ORDERS[[#This Row],[OrderDate]])</f>
        <v>20</v>
      </c>
      <c r="M881" s="2">
        <f>YEAR(ORDERS[[#This Row],[OrderDate]])</f>
        <v>2013</v>
      </c>
    </row>
    <row r="882" spans="1:13" x14ac:dyDescent="0.3">
      <c r="A882">
        <v>881</v>
      </c>
      <c r="B882">
        <v>3</v>
      </c>
      <c r="C882">
        <v>1</v>
      </c>
      <c r="D882" s="1">
        <v>41629</v>
      </c>
      <c r="E882">
        <v>53</v>
      </c>
      <c r="F882">
        <f>VLOOKUP(ORDERS[[#This Row],[ProductID]],Products[],4,FALSE)</f>
        <v>20</v>
      </c>
      <c r="G882">
        <v>0</v>
      </c>
      <c r="H882">
        <f>(ORDERS[[#This Row],[UnitsOrdered]]*ORDERS[[#This Row],[unit price]])-(ORDERS[[#This Row],[UnitsOrdered]]*ORDERS[[#This Row],[unit price]]*ORDERS[[#This Row],[Discount]])</f>
        <v>1060</v>
      </c>
      <c r="I882" t="str">
        <f>VLOOKUP(ORDERS[[#This Row],[CustomerID]],customers[],2,FALSE)</f>
        <v>Shirts R Us</v>
      </c>
      <c r="J882" s="2" t="str">
        <f>VLOOKUP(ORDERS[[#This Row],[CustomerID]],customers[],4,FALSE)</f>
        <v>Los Angeles</v>
      </c>
      <c r="K882" s="2" t="str">
        <f>VLOOKUP(ORDERS[[#This Row],[ProductID]],Products[],3,FALSE)</f>
        <v>Both</v>
      </c>
      <c r="L882" s="2">
        <f>DAY(ORDERS[[#This Row],[OrderDate]])</f>
        <v>21</v>
      </c>
      <c r="M882" s="2">
        <f>YEAR(ORDERS[[#This Row],[OrderDate]])</f>
        <v>2013</v>
      </c>
    </row>
    <row r="883" spans="1:13" x14ac:dyDescent="0.3">
      <c r="A883">
        <v>882</v>
      </c>
      <c r="B883">
        <v>4</v>
      </c>
      <c r="C883">
        <v>8</v>
      </c>
      <c r="D883" s="1">
        <v>41629</v>
      </c>
      <c r="E883">
        <v>94</v>
      </c>
      <c r="F883">
        <f>VLOOKUP(ORDERS[[#This Row],[ProductID]],Products[],4,FALSE)</f>
        <v>27</v>
      </c>
      <c r="G883">
        <v>5.0000001000000002E-2</v>
      </c>
      <c r="H883">
        <f>(ORDERS[[#This Row],[UnitsOrdered]]*ORDERS[[#This Row],[unit price]])-(ORDERS[[#This Row],[UnitsOrdered]]*ORDERS[[#This Row],[unit price]]*ORDERS[[#This Row],[Discount]])</f>
        <v>2411.0999974619999</v>
      </c>
      <c r="I883" t="str">
        <f>VLOOKUP(ORDERS[[#This Row],[CustomerID]],customers[],2,FALSE)</f>
        <v>Tshirt Unlimited</v>
      </c>
      <c r="J883" s="2" t="str">
        <f>VLOOKUP(ORDERS[[#This Row],[CustomerID]],customers[],4,FALSE)</f>
        <v>Phoenix</v>
      </c>
      <c r="K883" s="2" t="str">
        <f>VLOOKUP(ORDERS[[#This Row],[ProductID]],Products[],3,FALSE)</f>
        <v>Female</v>
      </c>
      <c r="L883" s="2">
        <f>DAY(ORDERS[[#This Row],[OrderDate]])</f>
        <v>21</v>
      </c>
      <c r="M883" s="2">
        <f>YEAR(ORDERS[[#This Row],[OrderDate]])</f>
        <v>2013</v>
      </c>
    </row>
    <row r="884" spans="1:13" x14ac:dyDescent="0.3">
      <c r="A884">
        <v>883</v>
      </c>
      <c r="B884">
        <v>4</v>
      </c>
      <c r="C884">
        <v>9</v>
      </c>
      <c r="D884" s="1">
        <v>41629</v>
      </c>
      <c r="E884">
        <v>106</v>
      </c>
      <c r="F884">
        <f>VLOOKUP(ORDERS[[#This Row],[ProductID]],Products[],4,FALSE)</f>
        <v>25</v>
      </c>
      <c r="G884">
        <v>5.0000001000000002E-2</v>
      </c>
      <c r="H884">
        <f>(ORDERS[[#This Row],[UnitsOrdered]]*ORDERS[[#This Row],[unit price]])-(ORDERS[[#This Row],[UnitsOrdered]]*ORDERS[[#This Row],[unit price]]*ORDERS[[#This Row],[Discount]])</f>
        <v>2517.4999973499998</v>
      </c>
      <c r="I884" t="str">
        <f>VLOOKUP(ORDERS[[#This Row],[CustomerID]],customers[],2,FALSE)</f>
        <v>Tshirt Unlimited</v>
      </c>
      <c r="J884" s="2" t="str">
        <f>VLOOKUP(ORDERS[[#This Row],[CustomerID]],customers[],4,FALSE)</f>
        <v>Phoenix</v>
      </c>
      <c r="K884" s="2" t="str">
        <f>VLOOKUP(ORDERS[[#This Row],[ProductID]],Products[],3,FALSE)</f>
        <v>Male</v>
      </c>
      <c r="L884" s="2">
        <f>DAY(ORDERS[[#This Row],[OrderDate]])</f>
        <v>21</v>
      </c>
      <c r="M884" s="2">
        <f>YEAR(ORDERS[[#This Row],[OrderDate]])</f>
        <v>2013</v>
      </c>
    </row>
    <row r="885" spans="1:13" x14ac:dyDescent="0.3">
      <c r="A885">
        <v>884</v>
      </c>
      <c r="B885">
        <v>6</v>
      </c>
      <c r="C885">
        <v>2</v>
      </c>
      <c r="D885" s="1">
        <v>41629</v>
      </c>
      <c r="E885">
        <v>29</v>
      </c>
      <c r="F885">
        <f>VLOOKUP(ORDERS[[#This Row],[ProductID]],Products[],4,FALSE)</f>
        <v>30</v>
      </c>
      <c r="G885">
        <v>0</v>
      </c>
      <c r="H885">
        <f>(ORDERS[[#This Row],[UnitsOrdered]]*ORDERS[[#This Row],[unit price]])-(ORDERS[[#This Row],[UnitsOrdered]]*ORDERS[[#This Row],[unit price]]*ORDERS[[#This Row],[Discount]])</f>
        <v>870</v>
      </c>
      <c r="I885" t="str">
        <f>VLOOKUP(ORDERS[[#This Row],[CustomerID]],customers[],2,FALSE)</f>
        <v>Abracadaba Ink</v>
      </c>
      <c r="J885" s="2" t="str">
        <f>VLOOKUP(ORDERS[[#This Row],[CustomerID]],customers[],4,FALSE)</f>
        <v>Salt Lake City</v>
      </c>
      <c r="K885" s="2" t="str">
        <f>VLOOKUP(ORDERS[[#This Row],[ProductID]],Products[],3,FALSE)</f>
        <v>Both</v>
      </c>
      <c r="L885" s="2">
        <f>DAY(ORDERS[[#This Row],[OrderDate]])</f>
        <v>21</v>
      </c>
      <c r="M885" s="2">
        <f>YEAR(ORDERS[[#This Row],[OrderDate]])</f>
        <v>2013</v>
      </c>
    </row>
    <row r="886" spans="1:13" x14ac:dyDescent="0.3">
      <c r="A886">
        <v>885</v>
      </c>
      <c r="B886">
        <v>2</v>
      </c>
      <c r="C886">
        <v>6</v>
      </c>
      <c r="D886" s="1">
        <v>41632</v>
      </c>
      <c r="E886">
        <v>78</v>
      </c>
      <c r="F886">
        <f>VLOOKUP(ORDERS[[#This Row],[ProductID]],Products[],4,FALSE)</f>
        <v>28</v>
      </c>
      <c r="G886">
        <v>0</v>
      </c>
      <c r="H886">
        <f>(ORDERS[[#This Row],[UnitsOrdered]]*ORDERS[[#This Row],[unit price]])-(ORDERS[[#This Row],[UnitsOrdered]]*ORDERS[[#This Row],[unit price]]*ORDERS[[#This Row],[Discount]])</f>
        <v>2184</v>
      </c>
      <c r="I886" t="str">
        <f>VLOOKUP(ORDERS[[#This Row],[CustomerID]],customers[],2,FALSE)</f>
        <v>A Shirts Life</v>
      </c>
      <c r="J886" s="2" t="str">
        <f>VLOOKUP(ORDERS[[#This Row],[CustomerID]],customers[],4,FALSE)</f>
        <v>Portland</v>
      </c>
      <c r="K886" s="2" t="str">
        <f>VLOOKUP(ORDERS[[#This Row],[ProductID]],Products[],3,FALSE)</f>
        <v>Female</v>
      </c>
      <c r="L886" s="2">
        <f>DAY(ORDERS[[#This Row],[OrderDate]])</f>
        <v>24</v>
      </c>
      <c r="M886" s="2">
        <f>YEAR(ORDERS[[#This Row],[OrderDate]])</f>
        <v>2013</v>
      </c>
    </row>
    <row r="887" spans="1:13" x14ac:dyDescent="0.3">
      <c r="A887">
        <v>886</v>
      </c>
      <c r="B887">
        <v>4</v>
      </c>
      <c r="C887">
        <v>9</v>
      </c>
      <c r="D887" s="1">
        <v>41632</v>
      </c>
      <c r="E887">
        <v>31</v>
      </c>
      <c r="F887">
        <f>VLOOKUP(ORDERS[[#This Row],[ProductID]],Products[],4,FALSE)</f>
        <v>25</v>
      </c>
      <c r="G887">
        <v>0.15000000599999999</v>
      </c>
      <c r="H887">
        <f>(ORDERS[[#This Row],[UnitsOrdered]]*ORDERS[[#This Row],[unit price]])-(ORDERS[[#This Row],[UnitsOrdered]]*ORDERS[[#This Row],[unit price]]*ORDERS[[#This Row],[Discount]])</f>
        <v>658.74999535000006</v>
      </c>
      <c r="I887" t="str">
        <f>VLOOKUP(ORDERS[[#This Row],[CustomerID]],customers[],2,FALSE)</f>
        <v>Tshirt Unlimited</v>
      </c>
      <c r="J887" s="2" t="str">
        <f>VLOOKUP(ORDERS[[#This Row],[CustomerID]],customers[],4,FALSE)</f>
        <v>Phoenix</v>
      </c>
      <c r="K887" s="2" t="str">
        <f>VLOOKUP(ORDERS[[#This Row],[ProductID]],Products[],3,FALSE)</f>
        <v>Male</v>
      </c>
      <c r="L887" s="2">
        <f>DAY(ORDERS[[#This Row],[OrderDate]])</f>
        <v>24</v>
      </c>
      <c r="M887" s="2">
        <f>YEAR(ORDERS[[#This Row],[OrderDate]])</f>
        <v>2013</v>
      </c>
    </row>
    <row r="888" spans="1:13" x14ac:dyDescent="0.3">
      <c r="A888">
        <v>887</v>
      </c>
      <c r="B888">
        <v>7</v>
      </c>
      <c r="C888">
        <v>2</v>
      </c>
      <c r="D888" s="1">
        <v>41633</v>
      </c>
      <c r="E888">
        <v>30</v>
      </c>
      <c r="F888">
        <f>VLOOKUP(ORDERS[[#This Row],[ProductID]],Products[],4,FALSE)</f>
        <v>30</v>
      </c>
      <c r="G888">
        <v>0</v>
      </c>
      <c r="H888">
        <f>(ORDERS[[#This Row],[UnitsOrdered]]*ORDERS[[#This Row],[unit price]])-(ORDERS[[#This Row],[UnitsOrdered]]*ORDERS[[#This Row],[unit price]]*ORDERS[[#This Row],[Discount]])</f>
        <v>900</v>
      </c>
      <c r="I888" t="str">
        <f>VLOOKUP(ORDERS[[#This Row],[CustomerID]],customers[],2,FALSE)</f>
        <v>The Shirt on Your Back</v>
      </c>
      <c r="J888" s="2" t="str">
        <f>VLOOKUP(ORDERS[[#This Row],[CustomerID]],customers[],4,FALSE)</f>
        <v>Bonners Ferry</v>
      </c>
      <c r="K888" s="2" t="str">
        <f>VLOOKUP(ORDERS[[#This Row],[ProductID]],Products[],3,FALSE)</f>
        <v>Both</v>
      </c>
      <c r="L888" s="2">
        <f>DAY(ORDERS[[#This Row],[OrderDate]])</f>
        <v>25</v>
      </c>
      <c r="M888" s="2">
        <f>YEAR(ORDERS[[#This Row],[OrderDate]])</f>
        <v>2013</v>
      </c>
    </row>
    <row r="889" spans="1:13" x14ac:dyDescent="0.3">
      <c r="A889">
        <v>888</v>
      </c>
      <c r="B889">
        <v>1</v>
      </c>
      <c r="C889">
        <v>2</v>
      </c>
      <c r="D889" s="1">
        <v>41635</v>
      </c>
      <c r="E889">
        <v>126</v>
      </c>
      <c r="F889">
        <f>VLOOKUP(ORDERS[[#This Row],[ProductID]],Products[],4,FALSE)</f>
        <v>30</v>
      </c>
      <c r="G889">
        <v>0.15000000599999999</v>
      </c>
      <c r="H889">
        <f>(ORDERS[[#This Row],[UnitsOrdered]]*ORDERS[[#This Row],[unit price]])-(ORDERS[[#This Row],[UnitsOrdered]]*ORDERS[[#This Row],[unit price]]*ORDERS[[#This Row],[Discount]])</f>
        <v>3212.9999773200002</v>
      </c>
      <c r="I889" t="str">
        <f>VLOOKUP(ORDERS[[#This Row],[CustomerID]],customers[],2,FALSE)</f>
        <v>Threads</v>
      </c>
      <c r="J889" s="2" t="str">
        <f>VLOOKUP(ORDERS[[#This Row],[CustomerID]],customers[],4,FALSE)</f>
        <v>Seattle</v>
      </c>
      <c r="K889" s="2" t="str">
        <f>VLOOKUP(ORDERS[[#This Row],[ProductID]],Products[],3,FALSE)</f>
        <v>Both</v>
      </c>
      <c r="L889" s="2">
        <f>DAY(ORDERS[[#This Row],[OrderDate]])</f>
        <v>27</v>
      </c>
      <c r="M889" s="2">
        <f>YEAR(ORDERS[[#This Row],[OrderDate]])</f>
        <v>2013</v>
      </c>
    </row>
    <row r="890" spans="1:13" x14ac:dyDescent="0.3">
      <c r="A890">
        <v>889</v>
      </c>
      <c r="B890">
        <v>5</v>
      </c>
      <c r="C890">
        <v>7</v>
      </c>
      <c r="D890" s="1">
        <v>41635</v>
      </c>
      <c r="E890">
        <v>124</v>
      </c>
      <c r="F890">
        <f>VLOOKUP(ORDERS[[#This Row],[ProductID]],Products[],4,FALSE)</f>
        <v>38</v>
      </c>
      <c r="G890">
        <v>0</v>
      </c>
      <c r="H890">
        <f>(ORDERS[[#This Row],[UnitsOrdered]]*ORDERS[[#This Row],[unit price]])-(ORDERS[[#This Row],[UnitsOrdered]]*ORDERS[[#This Row],[unit price]]*ORDERS[[#This Row],[Discount]])</f>
        <v>4712</v>
      </c>
      <c r="I890" t="str">
        <f>VLOOKUP(ORDERS[[#This Row],[CustomerID]],customers[],2,FALSE)</f>
        <v>Rags to Riches</v>
      </c>
      <c r="J890" s="2" t="str">
        <f>VLOOKUP(ORDERS[[#This Row],[CustomerID]],customers[],4,FALSE)</f>
        <v>Las Vegas</v>
      </c>
      <c r="K890" s="2" t="str">
        <f>VLOOKUP(ORDERS[[#This Row],[ProductID]],Products[],3,FALSE)</f>
        <v>Female</v>
      </c>
      <c r="L890" s="2">
        <f>DAY(ORDERS[[#This Row],[OrderDate]])</f>
        <v>27</v>
      </c>
      <c r="M890" s="2">
        <f>YEAR(ORDERS[[#This Row],[OrderDate]])</f>
        <v>2013</v>
      </c>
    </row>
    <row r="891" spans="1:13" x14ac:dyDescent="0.3">
      <c r="A891">
        <v>890</v>
      </c>
      <c r="B891">
        <v>5</v>
      </c>
      <c r="C891">
        <v>10</v>
      </c>
      <c r="D891" s="1">
        <v>41635</v>
      </c>
      <c r="E891">
        <v>90</v>
      </c>
      <c r="F891">
        <f>VLOOKUP(ORDERS[[#This Row],[ProductID]],Products[],4,FALSE)</f>
        <v>35</v>
      </c>
      <c r="G891">
        <v>0</v>
      </c>
      <c r="H891">
        <f>(ORDERS[[#This Row],[UnitsOrdered]]*ORDERS[[#This Row],[unit price]])-(ORDERS[[#This Row],[UnitsOrdered]]*ORDERS[[#This Row],[unit price]]*ORDERS[[#This Row],[Discount]])</f>
        <v>3150</v>
      </c>
      <c r="I891" t="str">
        <f>VLOOKUP(ORDERS[[#This Row],[CustomerID]],customers[],2,FALSE)</f>
        <v>Rags to Riches</v>
      </c>
      <c r="J891" s="2" t="str">
        <f>VLOOKUP(ORDERS[[#This Row],[CustomerID]],customers[],4,FALSE)</f>
        <v>Las Vegas</v>
      </c>
      <c r="K891" s="2" t="str">
        <f>VLOOKUP(ORDERS[[#This Row],[ProductID]],Products[],3,FALSE)</f>
        <v>Male</v>
      </c>
      <c r="L891" s="2">
        <f>DAY(ORDERS[[#This Row],[OrderDate]])</f>
        <v>27</v>
      </c>
      <c r="M891" s="2">
        <f>YEAR(ORDERS[[#This Row],[OrderDate]])</f>
        <v>2013</v>
      </c>
    </row>
    <row r="892" spans="1:13" x14ac:dyDescent="0.3">
      <c r="A892">
        <v>891</v>
      </c>
      <c r="B892">
        <v>5</v>
      </c>
      <c r="C892">
        <v>2</v>
      </c>
      <c r="D892" s="1">
        <v>41636</v>
      </c>
      <c r="E892">
        <v>54</v>
      </c>
      <c r="F892">
        <f>VLOOKUP(ORDERS[[#This Row],[ProductID]],Products[],4,FALSE)</f>
        <v>30</v>
      </c>
      <c r="G892">
        <v>0</v>
      </c>
      <c r="H892">
        <f>(ORDERS[[#This Row],[UnitsOrdered]]*ORDERS[[#This Row],[unit price]])-(ORDERS[[#This Row],[UnitsOrdered]]*ORDERS[[#This Row],[unit price]]*ORDERS[[#This Row],[Discount]])</f>
        <v>1620</v>
      </c>
      <c r="I892" t="str">
        <f>VLOOKUP(ORDERS[[#This Row],[CustomerID]],customers[],2,FALSE)</f>
        <v>Rags to Riches</v>
      </c>
      <c r="J892" s="2" t="str">
        <f>VLOOKUP(ORDERS[[#This Row],[CustomerID]],customers[],4,FALSE)</f>
        <v>Las Vegas</v>
      </c>
      <c r="K892" s="2" t="str">
        <f>VLOOKUP(ORDERS[[#This Row],[ProductID]],Products[],3,FALSE)</f>
        <v>Both</v>
      </c>
      <c r="L892" s="2">
        <f>DAY(ORDERS[[#This Row],[OrderDate]])</f>
        <v>28</v>
      </c>
      <c r="M892" s="2">
        <f>YEAR(ORDERS[[#This Row],[OrderDate]])</f>
        <v>2013</v>
      </c>
    </row>
    <row r="893" spans="1:13" x14ac:dyDescent="0.3">
      <c r="A893">
        <v>892</v>
      </c>
      <c r="B893">
        <v>5</v>
      </c>
      <c r="C893">
        <v>5</v>
      </c>
      <c r="D893" s="1">
        <v>41636</v>
      </c>
      <c r="E893">
        <v>63</v>
      </c>
      <c r="F893">
        <f>VLOOKUP(ORDERS[[#This Row],[ProductID]],Products[],4,FALSE)</f>
        <v>16</v>
      </c>
      <c r="G893">
        <v>0</v>
      </c>
      <c r="H893">
        <f>(ORDERS[[#This Row],[UnitsOrdered]]*ORDERS[[#This Row],[unit price]])-(ORDERS[[#This Row],[UnitsOrdered]]*ORDERS[[#This Row],[unit price]]*ORDERS[[#This Row],[Discount]])</f>
        <v>1008</v>
      </c>
      <c r="I893" t="str">
        <f>VLOOKUP(ORDERS[[#This Row],[CustomerID]],customers[],2,FALSE)</f>
        <v>Rags to Riches</v>
      </c>
      <c r="J893" s="2" t="str">
        <f>VLOOKUP(ORDERS[[#This Row],[CustomerID]],customers[],4,FALSE)</f>
        <v>Las Vegas</v>
      </c>
      <c r="K893" s="2" t="str">
        <f>VLOOKUP(ORDERS[[#This Row],[ProductID]],Products[],3,FALSE)</f>
        <v>Female</v>
      </c>
      <c r="L893" s="2">
        <f>DAY(ORDERS[[#This Row],[OrderDate]])</f>
        <v>28</v>
      </c>
      <c r="M893" s="2">
        <f>YEAR(ORDERS[[#This Row],[OrderDate]])</f>
        <v>2013</v>
      </c>
    </row>
    <row r="894" spans="1:13" x14ac:dyDescent="0.3">
      <c r="A894">
        <v>893</v>
      </c>
      <c r="B894">
        <v>7</v>
      </c>
      <c r="C894">
        <v>3</v>
      </c>
      <c r="D894" s="1">
        <v>41636</v>
      </c>
      <c r="E894">
        <v>92</v>
      </c>
      <c r="F894">
        <f>VLOOKUP(ORDERS[[#This Row],[ProductID]],Products[],4,FALSE)</f>
        <v>22</v>
      </c>
      <c r="G894">
        <v>0</v>
      </c>
      <c r="H894">
        <f>(ORDERS[[#This Row],[UnitsOrdered]]*ORDERS[[#This Row],[unit price]])-(ORDERS[[#This Row],[UnitsOrdered]]*ORDERS[[#This Row],[unit price]]*ORDERS[[#This Row],[Discount]])</f>
        <v>2024</v>
      </c>
      <c r="I894" t="str">
        <f>VLOOKUP(ORDERS[[#This Row],[CustomerID]],customers[],2,FALSE)</f>
        <v>The Shirt on Your Back</v>
      </c>
      <c r="J894" s="2" t="str">
        <f>VLOOKUP(ORDERS[[#This Row],[CustomerID]],customers[],4,FALSE)</f>
        <v>Bonners Ferry</v>
      </c>
      <c r="K894" s="2" t="str">
        <f>VLOOKUP(ORDERS[[#This Row],[ProductID]],Products[],3,FALSE)</f>
        <v>Both</v>
      </c>
      <c r="L894" s="2">
        <f>DAY(ORDERS[[#This Row],[OrderDate]])</f>
        <v>28</v>
      </c>
      <c r="M894" s="2">
        <f>YEAR(ORDERS[[#This Row],[OrderDate]])</f>
        <v>2013</v>
      </c>
    </row>
    <row r="895" spans="1:13" x14ac:dyDescent="0.3">
      <c r="A895">
        <v>894</v>
      </c>
      <c r="B895">
        <v>2</v>
      </c>
      <c r="C895">
        <v>1</v>
      </c>
      <c r="D895" s="1">
        <v>41639</v>
      </c>
      <c r="E895">
        <v>83</v>
      </c>
      <c r="F895">
        <f>VLOOKUP(ORDERS[[#This Row],[ProductID]],Products[],4,FALSE)</f>
        <v>20</v>
      </c>
      <c r="G895">
        <v>5.0000001000000002E-2</v>
      </c>
      <c r="H895">
        <f>(ORDERS[[#This Row],[UnitsOrdered]]*ORDERS[[#This Row],[unit price]])-(ORDERS[[#This Row],[UnitsOrdered]]*ORDERS[[#This Row],[unit price]]*ORDERS[[#This Row],[Discount]])</f>
        <v>1576.99999834</v>
      </c>
      <c r="I895" t="str">
        <f>VLOOKUP(ORDERS[[#This Row],[CustomerID]],customers[],2,FALSE)</f>
        <v>A Shirts Life</v>
      </c>
      <c r="J895" s="2" t="str">
        <f>VLOOKUP(ORDERS[[#This Row],[CustomerID]],customers[],4,FALSE)</f>
        <v>Portland</v>
      </c>
      <c r="K895" s="2" t="str">
        <f>VLOOKUP(ORDERS[[#This Row],[ProductID]],Products[],3,FALSE)</f>
        <v>Both</v>
      </c>
      <c r="L895" s="2">
        <f>DAY(ORDERS[[#This Row],[OrderDate]])</f>
        <v>31</v>
      </c>
      <c r="M895" s="2">
        <f>YEAR(ORDERS[[#This Row],[OrderDate]])</f>
        <v>2013</v>
      </c>
    </row>
    <row r="896" spans="1:13" x14ac:dyDescent="0.3">
      <c r="A896">
        <v>895</v>
      </c>
      <c r="B896">
        <v>3</v>
      </c>
      <c r="C896">
        <v>2</v>
      </c>
      <c r="D896" s="1">
        <v>41639</v>
      </c>
      <c r="E896">
        <v>123</v>
      </c>
      <c r="F896">
        <f>VLOOKUP(ORDERS[[#This Row],[ProductID]],Products[],4,FALSE)</f>
        <v>30</v>
      </c>
      <c r="G896">
        <v>0</v>
      </c>
      <c r="H896">
        <f>(ORDERS[[#This Row],[UnitsOrdered]]*ORDERS[[#This Row],[unit price]])-(ORDERS[[#This Row],[UnitsOrdered]]*ORDERS[[#This Row],[unit price]]*ORDERS[[#This Row],[Discount]])</f>
        <v>3690</v>
      </c>
      <c r="I896" t="str">
        <f>VLOOKUP(ORDERS[[#This Row],[CustomerID]],customers[],2,FALSE)</f>
        <v>Shirts R Us</v>
      </c>
      <c r="J896" s="2" t="str">
        <f>VLOOKUP(ORDERS[[#This Row],[CustomerID]],customers[],4,FALSE)</f>
        <v>Los Angeles</v>
      </c>
      <c r="K896" s="2" t="str">
        <f>VLOOKUP(ORDERS[[#This Row],[ProductID]],Products[],3,FALSE)</f>
        <v>Both</v>
      </c>
      <c r="L896" s="2">
        <f>DAY(ORDERS[[#This Row],[OrderDate]])</f>
        <v>31</v>
      </c>
      <c r="M896" s="2">
        <f>YEAR(ORDERS[[#This Row],[OrderDate]])</f>
        <v>2013</v>
      </c>
    </row>
    <row r="897" spans="1:13" x14ac:dyDescent="0.3">
      <c r="A897">
        <v>896</v>
      </c>
      <c r="B897">
        <v>3</v>
      </c>
      <c r="C897">
        <v>4</v>
      </c>
      <c r="D897" s="1">
        <v>41639</v>
      </c>
      <c r="E897">
        <v>88</v>
      </c>
      <c r="F897">
        <f>VLOOKUP(ORDERS[[#This Row],[ProductID]],Products[],4,FALSE)</f>
        <v>30</v>
      </c>
      <c r="G897">
        <v>0</v>
      </c>
      <c r="H897">
        <f>(ORDERS[[#This Row],[UnitsOrdered]]*ORDERS[[#This Row],[unit price]])-(ORDERS[[#This Row],[UnitsOrdered]]*ORDERS[[#This Row],[unit price]]*ORDERS[[#This Row],[Discount]])</f>
        <v>2640</v>
      </c>
      <c r="I897" t="str">
        <f>VLOOKUP(ORDERS[[#This Row],[CustomerID]],customers[],2,FALSE)</f>
        <v>Shirts R Us</v>
      </c>
      <c r="J897" s="2" t="str">
        <f>VLOOKUP(ORDERS[[#This Row],[CustomerID]],customers[],4,FALSE)</f>
        <v>Los Angeles</v>
      </c>
      <c r="K897" s="2" t="str">
        <f>VLOOKUP(ORDERS[[#This Row],[ProductID]],Products[],3,FALSE)</f>
        <v>Both</v>
      </c>
      <c r="L897" s="2">
        <f>DAY(ORDERS[[#This Row],[OrderDate]])</f>
        <v>31</v>
      </c>
      <c r="M897" s="2">
        <f>YEAR(ORDERS[[#This Row],[OrderDate]])</f>
        <v>2013</v>
      </c>
    </row>
    <row r="898" spans="1:13" x14ac:dyDescent="0.3">
      <c r="A898">
        <v>897</v>
      </c>
      <c r="B898">
        <v>5</v>
      </c>
      <c r="C898">
        <v>10</v>
      </c>
      <c r="D898" s="1">
        <v>41640</v>
      </c>
      <c r="E898">
        <v>72</v>
      </c>
      <c r="F898">
        <f>VLOOKUP(ORDERS[[#This Row],[ProductID]],Products[],4,FALSE)</f>
        <v>35</v>
      </c>
      <c r="G898">
        <v>0.10000000100000001</v>
      </c>
      <c r="H898">
        <f>(ORDERS[[#This Row],[UnitsOrdered]]*ORDERS[[#This Row],[unit price]])-(ORDERS[[#This Row],[UnitsOrdered]]*ORDERS[[#This Row],[unit price]]*ORDERS[[#This Row],[Discount]])</f>
        <v>2267.9999974799998</v>
      </c>
      <c r="I898" t="str">
        <f>VLOOKUP(ORDERS[[#This Row],[CustomerID]],customers[],2,FALSE)</f>
        <v>Rags to Riches</v>
      </c>
      <c r="J898" s="2" t="str">
        <f>VLOOKUP(ORDERS[[#This Row],[CustomerID]],customers[],4,FALSE)</f>
        <v>Las Vegas</v>
      </c>
      <c r="K898" s="2" t="str">
        <f>VLOOKUP(ORDERS[[#This Row],[ProductID]],Products[],3,FALSE)</f>
        <v>Male</v>
      </c>
      <c r="L898" s="2">
        <f>DAY(ORDERS[[#This Row],[OrderDate]])</f>
        <v>1</v>
      </c>
      <c r="M898" s="2">
        <f>YEAR(ORDERS[[#This Row],[OrderDate]])</f>
        <v>2014</v>
      </c>
    </row>
    <row r="899" spans="1:13" x14ac:dyDescent="0.3">
      <c r="A899">
        <v>898</v>
      </c>
      <c r="B899">
        <v>6</v>
      </c>
      <c r="C899">
        <v>3</v>
      </c>
      <c r="D899" s="1">
        <v>41640</v>
      </c>
      <c r="E899">
        <v>94</v>
      </c>
      <c r="F899">
        <f>VLOOKUP(ORDERS[[#This Row],[ProductID]],Products[],4,FALSE)</f>
        <v>22</v>
      </c>
      <c r="G899">
        <v>0</v>
      </c>
      <c r="H899">
        <f>(ORDERS[[#This Row],[UnitsOrdered]]*ORDERS[[#This Row],[unit price]])-(ORDERS[[#This Row],[UnitsOrdered]]*ORDERS[[#This Row],[unit price]]*ORDERS[[#This Row],[Discount]])</f>
        <v>2068</v>
      </c>
      <c r="I899" t="str">
        <f>VLOOKUP(ORDERS[[#This Row],[CustomerID]],customers[],2,FALSE)</f>
        <v>Abracadaba Ink</v>
      </c>
      <c r="J899" s="2" t="str">
        <f>VLOOKUP(ORDERS[[#This Row],[CustomerID]],customers[],4,FALSE)</f>
        <v>Salt Lake City</v>
      </c>
      <c r="K899" s="2" t="str">
        <f>VLOOKUP(ORDERS[[#This Row],[ProductID]],Products[],3,FALSE)</f>
        <v>Both</v>
      </c>
      <c r="L899" s="2">
        <f>DAY(ORDERS[[#This Row],[OrderDate]])</f>
        <v>1</v>
      </c>
      <c r="M899" s="2">
        <f>YEAR(ORDERS[[#This Row],[OrderDate]])</f>
        <v>2014</v>
      </c>
    </row>
    <row r="900" spans="1:13" x14ac:dyDescent="0.3">
      <c r="A900">
        <v>899</v>
      </c>
      <c r="B900">
        <v>3</v>
      </c>
      <c r="C900">
        <v>1</v>
      </c>
      <c r="D900" s="1">
        <v>41641</v>
      </c>
      <c r="E900">
        <v>70</v>
      </c>
      <c r="F900">
        <f>VLOOKUP(ORDERS[[#This Row],[ProductID]],Products[],4,FALSE)</f>
        <v>20</v>
      </c>
      <c r="G900">
        <v>0</v>
      </c>
      <c r="H900">
        <f>(ORDERS[[#This Row],[UnitsOrdered]]*ORDERS[[#This Row],[unit price]])-(ORDERS[[#This Row],[UnitsOrdered]]*ORDERS[[#This Row],[unit price]]*ORDERS[[#This Row],[Discount]])</f>
        <v>1400</v>
      </c>
      <c r="I900" t="str">
        <f>VLOOKUP(ORDERS[[#This Row],[CustomerID]],customers[],2,FALSE)</f>
        <v>Shirts R Us</v>
      </c>
      <c r="J900" s="2" t="str">
        <f>VLOOKUP(ORDERS[[#This Row],[CustomerID]],customers[],4,FALSE)</f>
        <v>Los Angeles</v>
      </c>
      <c r="K900" s="2" t="str">
        <f>VLOOKUP(ORDERS[[#This Row],[ProductID]],Products[],3,FALSE)</f>
        <v>Both</v>
      </c>
      <c r="L900" s="2">
        <f>DAY(ORDERS[[#This Row],[OrderDate]])</f>
        <v>2</v>
      </c>
      <c r="M900" s="2">
        <f>YEAR(ORDERS[[#This Row],[OrderDate]])</f>
        <v>2014</v>
      </c>
    </row>
    <row r="901" spans="1:13" x14ac:dyDescent="0.3">
      <c r="A901">
        <v>900</v>
      </c>
      <c r="B901">
        <v>5</v>
      </c>
      <c r="C901">
        <v>6</v>
      </c>
      <c r="D901" s="1">
        <v>41641</v>
      </c>
      <c r="E901">
        <v>50</v>
      </c>
      <c r="F901">
        <f>VLOOKUP(ORDERS[[#This Row],[ProductID]],Products[],4,FALSE)</f>
        <v>28</v>
      </c>
      <c r="G901">
        <v>5.0000001000000002E-2</v>
      </c>
      <c r="H901">
        <f>(ORDERS[[#This Row],[UnitsOrdered]]*ORDERS[[#This Row],[unit price]])-(ORDERS[[#This Row],[UnitsOrdered]]*ORDERS[[#This Row],[unit price]]*ORDERS[[#This Row],[Discount]])</f>
        <v>1329.9999986</v>
      </c>
      <c r="I901" t="str">
        <f>VLOOKUP(ORDERS[[#This Row],[CustomerID]],customers[],2,FALSE)</f>
        <v>Rags to Riches</v>
      </c>
      <c r="J901" s="2" t="str">
        <f>VLOOKUP(ORDERS[[#This Row],[CustomerID]],customers[],4,FALSE)</f>
        <v>Las Vegas</v>
      </c>
      <c r="K901" s="2" t="str">
        <f>VLOOKUP(ORDERS[[#This Row],[ProductID]],Products[],3,FALSE)</f>
        <v>Female</v>
      </c>
      <c r="L901" s="2">
        <f>DAY(ORDERS[[#This Row],[OrderDate]])</f>
        <v>2</v>
      </c>
      <c r="M901" s="2">
        <f>YEAR(ORDERS[[#This Row],[OrderDate]])</f>
        <v>2014</v>
      </c>
    </row>
    <row r="902" spans="1:13" x14ac:dyDescent="0.3">
      <c r="A902">
        <v>901</v>
      </c>
      <c r="B902">
        <v>6</v>
      </c>
      <c r="C902">
        <v>3</v>
      </c>
      <c r="D902" s="1">
        <v>41641</v>
      </c>
      <c r="E902">
        <v>67</v>
      </c>
      <c r="F902">
        <f>VLOOKUP(ORDERS[[#This Row],[ProductID]],Products[],4,FALSE)</f>
        <v>22</v>
      </c>
      <c r="G902">
        <v>0</v>
      </c>
      <c r="H902">
        <f>(ORDERS[[#This Row],[UnitsOrdered]]*ORDERS[[#This Row],[unit price]])-(ORDERS[[#This Row],[UnitsOrdered]]*ORDERS[[#This Row],[unit price]]*ORDERS[[#This Row],[Discount]])</f>
        <v>1474</v>
      </c>
      <c r="I902" t="str">
        <f>VLOOKUP(ORDERS[[#This Row],[CustomerID]],customers[],2,FALSE)</f>
        <v>Abracadaba Ink</v>
      </c>
      <c r="J902" s="2" t="str">
        <f>VLOOKUP(ORDERS[[#This Row],[CustomerID]],customers[],4,FALSE)</f>
        <v>Salt Lake City</v>
      </c>
      <c r="K902" s="2" t="str">
        <f>VLOOKUP(ORDERS[[#This Row],[ProductID]],Products[],3,FALSE)</f>
        <v>Both</v>
      </c>
      <c r="L902" s="2">
        <f>DAY(ORDERS[[#This Row],[OrderDate]])</f>
        <v>2</v>
      </c>
      <c r="M902" s="2">
        <f>YEAR(ORDERS[[#This Row],[OrderDate]])</f>
        <v>2014</v>
      </c>
    </row>
    <row r="903" spans="1:13" x14ac:dyDescent="0.3">
      <c r="A903">
        <v>902</v>
      </c>
      <c r="B903">
        <v>3</v>
      </c>
      <c r="C903">
        <v>5</v>
      </c>
      <c r="D903" s="1">
        <v>41642</v>
      </c>
      <c r="E903">
        <v>56</v>
      </c>
      <c r="F903">
        <f>VLOOKUP(ORDERS[[#This Row],[ProductID]],Products[],4,FALSE)</f>
        <v>16</v>
      </c>
      <c r="G903">
        <v>0</v>
      </c>
      <c r="H903">
        <f>(ORDERS[[#This Row],[UnitsOrdered]]*ORDERS[[#This Row],[unit price]])-(ORDERS[[#This Row],[UnitsOrdered]]*ORDERS[[#This Row],[unit price]]*ORDERS[[#This Row],[Discount]])</f>
        <v>896</v>
      </c>
      <c r="I903" t="str">
        <f>VLOOKUP(ORDERS[[#This Row],[CustomerID]],customers[],2,FALSE)</f>
        <v>Shirts R Us</v>
      </c>
      <c r="J903" s="2" t="str">
        <f>VLOOKUP(ORDERS[[#This Row],[CustomerID]],customers[],4,FALSE)</f>
        <v>Los Angeles</v>
      </c>
      <c r="K903" s="2" t="str">
        <f>VLOOKUP(ORDERS[[#This Row],[ProductID]],Products[],3,FALSE)</f>
        <v>Female</v>
      </c>
      <c r="L903" s="2">
        <f>DAY(ORDERS[[#This Row],[OrderDate]])</f>
        <v>3</v>
      </c>
      <c r="M903" s="2">
        <f>YEAR(ORDERS[[#This Row],[OrderDate]])</f>
        <v>2014</v>
      </c>
    </row>
    <row r="904" spans="1:13" x14ac:dyDescent="0.3">
      <c r="A904">
        <v>903</v>
      </c>
      <c r="B904">
        <v>1</v>
      </c>
      <c r="C904">
        <v>10</v>
      </c>
      <c r="D904" s="1">
        <v>41643</v>
      </c>
      <c r="E904">
        <v>50</v>
      </c>
      <c r="F904">
        <f>VLOOKUP(ORDERS[[#This Row],[ProductID]],Products[],4,FALSE)</f>
        <v>35</v>
      </c>
      <c r="G904">
        <v>0</v>
      </c>
      <c r="H904">
        <f>(ORDERS[[#This Row],[UnitsOrdered]]*ORDERS[[#This Row],[unit price]])-(ORDERS[[#This Row],[UnitsOrdered]]*ORDERS[[#This Row],[unit price]]*ORDERS[[#This Row],[Discount]])</f>
        <v>1750</v>
      </c>
      <c r="I904" t="str">
        <f>VLOOKUP(ORDERS[[#This Row],[CustomerID]],customers[],2,FALSE)</f>
        <v>Threads</v>
      </c>
      <c r="J904" s="2" t="str">
        <f>VLOOKUP(ORDERS[[#This Row],[CustomerID]],customers[],4,FALSE)</f>
        <v>Seattle</v>
      </c>
      <c r="K904" s="2" t="str">
        <f>VLOOKUP(ORDERS[[#This Row],[ProductID]],Products[],3,FALSE)</f>
        <v>Male</v>
      </c>
      <c r="L904" s="2">
        <f>DAY(ORDERS[[#This Row],[OrderDate]])</f>
        <v>4</v>
      </c>
      <c r="M904" s="2">
        <f>YEAR(ORDERS[[#This Row],[OrderDate]])</f>
        <v>2014</v>
      </c>
    </row>
    <row r="905" spans="1:13" x14ac:dyDescent="0.3">
      <c r="A905">
        <v>904</v>
      </c>
      <c r="B905">
        <v>3</v>
      </c>
      <c r="C905">
        <v>1</v>
      </c>
      <c r="D905" s="1">
        <v>41644</v>
      </c>
      <c r="E905">
        <v>64</v>
      </c>
      <c r="F905">
        <f>VLOOKUP(ORDERS[[#This Row],[ProductID]],Products[],4,FALSE)</f>
        <v>20</v>
      </c>
      <c r="G905">
        <v>0</v>
      </c>
      <c r="H905">
        <f>(ORDERS[[#This Row],[UnitsOrdered]]*ORDERS[[#This Row],[unit price]])-(ORDERS[[#This Row],[UnitsOrdered]]*ORDERS[[#This Row],[unit price]]*ORDERS[[#This Row],[Discount]])</f>
        <v>1280</v>
      </c>
      <c r="I905" t="str">
        <f>VLOOKUP(ORDERS[[#This Row],[CustomerID]],customers[],2,FALSE)</f>
        <v>Shirts R Us</v>
      </c>
      <c r="J905" s="2" t="str">
        <f>VLOOKUP(ORDERS[[#This Row],[CustomerID]],customers[],4,FALSE)</f>
        <v>Los Angeles</v>
      </c>
      <c r="K905" s="2" t="str">
        <f>VLOOKUP(ORDERS[[#This Row],[ProductID]],Products[],3,FALSE)</f>
        <v>Both</v>
      </c>
      <c r="L905" s="2">
        <f>DAY(ORDERS[[#This Row],[OrderDate]])</f>
        <v>5</v>
      </c>
      <c r="M905" s="2">
        <f>YEAR(ORDERS[[#This Row],[OrderDate]])</f>
        <v>2014</v>
      </c>
    </row>
    <row r="906" spans="1:13" x14ac:dyDescent="0.3">
      <c r="A906">
        <v>905</v>
      </c>
      <c r="B906">
        <v>4</v>
      </c>
      <c r="C906">
        <v>2</v>
      </c>
      <c r="D906" s="1">
        <v>41644</v>
      </c>
      <c r="E906">
        <v>62</v>
      </c>
      <c r="F906">
        <f>VLOOKUP(ORDERS[[#This Row],[ProductID]],Products[],4,FALSE)</f>
        <v>30</v>
      </c>
      <c r="G906">
        <v>0</v>
      </c>
      <c r="H906">
        <f>(ORDERS[[#This Row],[UnitsOrdered]]*ORDERS[[#This Row],[unit price]])-(ORDERS[[#This Row],[UnitsOrdered]]*ORDERS[[#This Row],[unit price]]*ORDERS[[#This Row],[Discount]])</f>
        <v>1860</v>
      </c>
      <c r="I906" t="str">
        <f>VLOOKUP(ORDERS[[#This Row],[CustomerID]],customers[],2,FALSE)</f>
        <v>Tshirt Unlimited</v>
      </c>
      <c r="J906" s="2" t="str">
        <f>VLOOKUP(ORDERS[[#This Row],[CustomerID]],customers[],4,FALSE)</f>
        <v>Phoenix</v>
      </c>
      <c r="K906" s="2" t="str">
        <f>VLOOKUP(ORDERS[[#This Row],[ProductID]],Products[],3,FALSE)</f>
        <v>Both</v>
      </c>
      <c r="L906" s="2">
        <f>DAY(ORDERS[[#This Row],[OrderDate]])</f>
        <v>5</v>
      </c>
      <c r="M906" s="2">
        <f>YEAR(ORDERS[[#This Row],[OrderDate]])</f>
        <v>2014</v>
      </c>
    </row>
    <row r="907" spans="1:13" x14ac:dyDescent="0.3">
      <c r="A907">
        <v>906</v>
      </c>
      <c r="B907">
        <v>4</v>
      </c>
      <c r="C907">
        <v>1</v>
      </c>
      <c r="D907" s="1">
        <v>41646</v>
      </c>
      <c r="E907">
        <v>63</v>
      </c>
      <c r="F907">
        <f>VLOOKUP(ORDERS[[#This Row],[ProductID]],Products[],4,FALSE)</f>
        <v>20</v>
      </c>
      <c r="G907">
        <v>0</v>
      </c>
      <c r="H907">
        <f>(ORDERS[[#This Row],[UnitsOrdered]]*ORDERS[[#This Row],[unit price]])-(ORDERS[[#This Row],[UnitsOrdered]]*ORDERS[[#This Row],[unit price]]*ORDERS[[#This Row],[Discount]])</f>
        <v>1260</v>
      </c>
      <c r="I907" t="str">
        <f>VLOOKUP(ORDERS[[#This Row],[CustomerID]],customers[],2,FALSE)</f>
        <v>Tshirt Unlimited</v>
      </c>
      <c r="J907" s="2" t="str">
        <f>VLOOKUP(ORDERS[[#This Row],[CustomerID]],customers[],4,FALSE)</f>
        <v>Phoenix</v>
      </c>
      <c r="K907" s="2" t="str">
        <f>VLOOKUP(ORDERS[[#This Row],[ProductID]],Products[],3,FALSE)</f>
        <v>Both</v>
      </c>
      <c r="L907" s="2">
        <f>DAY(ORDERS[[#This Row],[OrderDate]])</f>
        <v>7</v>
      </c>
      <c r="M907" s="2">
        <f>YEAR(ORDERS[[#This Row],[OrderDate]])</f>
        <v>2014</v>
      </c>
    </row>
    <row r="908" spans="1:13" x14ac:dyDescent="0.3">
      <c r="A908">
        <v>907</v>
      </c>
      <c r="B908">
        <v>6</v>
      </c>
      <c r="C908">
        <v>5</v>
      </c>
      <c r="D908" s="1">
        <v>41647</v>
      </c>
      <c r="E908">
        <v>64</v>
      </c>
      <c r="F908">
        <f>VLOOKUP(ORDERS[[#This Row],[ProductID]],Products[],4,FALSE)</f>
        <v>16</v>
      </c>
      <c r="G908">
        <v>0</v>
      </c>
      <c r="H908">
        <f>(ORDERS[[#This Row],[UnitsOrdered]]*ORDERS[[#This Row],[unit price]])-(ORDERS[[#This Row],[UnitsOrdered]]*ORDERS[[#This Row],[unit price]]*ORDERS[[#This Row],[Discount]])</f>
        <v>1024</v>
      </c>
      <c r="I908" t="str">
        <f>VLOOKUP(ORDERS[[#This Row],[CustomerID]],customers[],2,FALSE)</f>
        <v>Abracadaba Ink</v>
      </c>
      <c r="J908" s="2" t="str">
        <f>VLOOKUP(ORDERS[[#This Row],[CustomerID]],customers[],4,FALSE)</f>
        <v>Salt Lake City</v>
      </c>
      <c r="K908" s="2" t="str">
        <f>VLOOKUP(ORDERS[[#This Row],[ProductID]],Products[],3,FALSE)</f>
        <v>Female</v>
      </c>
      <c r="L908" s="2">
        <f>DAY(ORDERS[[#This Row],[OrderDate]])</f>
        <v>8</v>
      </c>
      <c r="M908" s="2">
        <f>YEAR(ORDERS[[#This Row],[OrderDate]])</f>
        <v>2014</v>
      </c>
    </row>
    <row r="909" spans="1:13" x14ac:dyDescent="0.3">
      <c r="A909">
        <v>908</v>
      </c>
      <c r="B909">
        <v>6</v>
      </c>
      <c r="C909">
        <v>7</v>
      </c>
      <c r="D909" s="1">
        <v>41647</v>
      </c>
      <c r="E909">
        <v>144</v>
      </c>
      <c r="F909">
        <f>VLOOKUP(ORDERS[[#This Row],[ProductID]],Products[],4,FALSE)</f>
        <v>38</v>
      </c>
      <c r="G909">
        <v>0</v>
      </c>
      <c r="H909">
        <f>(ORDERS[[#This Row],[UnitsOrdered]]*ORDERS[[#This Row],[unit price]])-(ORDERS[[#This Row],[UnitsOrdered]]*ORDERS[[#This Row],[unit price]]*ORDERS[[#This Row],[Discount]])</f>
        <v>5472</v>
      </c>
      <c r="I909" t="str">
        <f>VLOOKUP(ORDERS[[#This Row],[CustomerID]],customers[],2,FALSE)</f>
        <v>Abracadaba Ink</v>
      </c>
      <c r="J909" s="2" t="str">
        <f>VLOOKUP(ORDERS[[#This Row],[CustomerID]],customers[],4,FALSE)</f>
        <v>Salt Lake City</v>
      </c>
      <c r="K909" s="2" t="str">
        <f>VLOOKUP(ORDERS[[#This Row],[ProductID]],Products[],3,FALSE)</f>
        <v>Female</v>
      </c>
      <c r="L909" s="2">
        <f>DAY(ORDERS[[#This Row],[OrderDate]])</f>
        <v>8</v>
      </c>
      <c r="M909" s="2">
        <f>YEAR(ORDERS[[#This Row],[OrderDate]])</f>
        <v>2014</v>
      </c>
    </row>
    <row r="910" spans="1:13" x14ac:dyDescent="0.3">
      <c r="A910">
        <v>909</v>
      </c>
      <c r="B910">
        <v>6</v>
      </c>
      <c r="C910">
        <v>10</v>
      </c>
      <c r="D910" s="1">
        <v>41647</v>
      </c>
      <c r="E910">
        <v>149</v>
      </c>
      <c r="F910">
        <f>VLOOKUP(ORDERS[[#This Row],[ProductID]],Products[],4,FALSE)</f>
        <v>35</v>
      </c>
      <c r="G910">
        <v>0</v>
      </c>
      <c r="H910">
        <f>(ORDERS[[#This Row],[UnitsOrdered]]*ORDERS[[#This Row],[unit price]])-(ORDERS[[#This Row],[UnitsOrdered]]*ORDERS[[#This Row],[unit price]]*ORDERS[[#This Row],[Discount]])</f>
        <v>5215</v>
      </c>
      <c r="I910" t="str">
        <f>VLOOKUP(ORDERS[[#This Row],[CustomerID]],customers[],2,FALSE)</f>
        <v>Abracadaba Ink</v>
      </c>
      <c r="J910" s="2" t="str">
        <f>VLOOKUP(ORDERS[[#This Row],[CustomerID]],customers[],4,FALSE)</f>
        <v>Salt Lake City</v>
      </c>
      <c r="K910" s="2" t="str">
        <f>VLOOKUP(ORDERS[[#This Row],[ProductID]],Products[],3,FALSE)</f>
        <v>Male</v>
      </c>
      <c r="L910" s="2">
        <f>DAY(ORDERS[[#This Row],[OrderDate]])</f>
        <v>8</v>
      </c>
      <c r="M910" s="2">
        <f>YEAR(ORDERS[[#This Row],[OrderDate]])</f>
        <v>2014</v>
      </c>
    </row>
    <row r="911" spans="1:13" x14ac:dyDescent="0.3">
      <c r="A911">
        <v>910</v>
      </c>
      <c r="B911">
        <v>4</v>
      </c>
      <c r="C911">
        <v>8</v>
      </c>
      <c r="D911" s="1">
        <v>41648</v>
      </c>
      <c r="E911">
        <v>126</v>
      </c>
      <c r="F911">
        <f>VLOOKUP(ORDERS[[#This Row],[ProductID]],Products[],4,FALSE)</f>
        <v>27</v>
      </c>
      <c r="G911">
        <v>0</v>
      </c>
      <c r="H911">
        <f>(ORDERS[[#This Row],[UnitsOrdered]]*ORDERS[[#This Row],[unit price]])-(ORDERS[[#This Row],[UnitsOrdered]]*ORDERS[[#This Row],[unit price]]*ORDERS[[#This Row],[Discount]])</f>
        <v>3402</v>
      </c>
      <c r="I911" t="str">
        <f>VLOOKUP(ORDERS[[#This Row],[CustomerID]],customers[],2,FALSE)</f>
        <v>Tshirt Unlimited</v>
      </c>
      <c r="J911" s="2" t="str">
        <f>VLOOKUP(ORDERS[[#This Row],[CustomerID]],customers[],4,FALSE)</f>
        <v>Phoenix</v>
      </c>
      <c r="K911" s="2" t="str">
        <f>VLOOKUP(ORDERS[[#This Row],[ProductID]],Products[],3,FALSE)</f>
        <v>Female</v>
      </c>
      <c r="L911" s="2">
        <f>DAY(ORDERS[[#This Row],[OrderDate]])</f>
        <v>9</v>
      </c>
      <c r="M911" s="2">
        <f>YEAR(ORDERS[[#This Row],[OrderDate]])</f>
        <v>2014</v>
      </c>
    </row>
    <row r="912" spans="1:13" x14ac:dyDescent="0.3">
      <c r="A912">
        <v>911</v>
      </c>
      <c r="B912">
        <v>6</v>
      </c>
      <c r="C912">
        <v>9</v>
      </c>
      <c r="D912" s="1">
        <v>41648</v>
      </c>
      <c r="E912">
        <v>59</v>
      </c>
      <c r="F912">
        <f>VLOOKUP(ORDERS[[#This Row],[ProductID]],Products[],4,FALSE)</f>
        <v>25</v>
      </c>
      <c r="G912">
        <v>0</v>
      </c>
      <c r="H912">
        <f>(ORDERS[[#This Row],[UnitsOrdered]]*ORDERS[[#This Row],[unit price]])-(ORDERS[[#This Row],[UnitsOrdered]]*ORDERS[[#This Row],[unit price]]*ORDERS[[#This Row],[Discount]])</f>
        <v>1475</v>
      </c>
      <c r="I912" t="str">
        <f>VLOOKUP(ORDERS[[#This Row],[CustomerID]],customers[],2,FALSE)</f>
        <v>Abracadaba Ink</v>
      </c>
      <c r="J912" s="2" t="str">
        <f>VLOOKUP(ORDERS[[#This Row],[CustomerID]],customers[],4,FALSE)</f>
        <v>Salt Lake City</v>
      </c>
      <c r="K912" s="2" t="str">
        <f>VLOOKUP(ORDERS[[#This Row],[ProductID]],Products[],3,FALSE)</f>
        <v>Male</v>
      </c>
      <c r="L912" s="2">
        <f>DAY(ORDERS[[#This Row],[OrderDate]])</f>
        <v>9</v>
      </c>
      <c r="M912" s="2">
        <f>YEAR(ORDERS[[#This Row],[OrderDate]])</f>
        <v>2014</v>
      </c>
    </row>
    <row r="913" spans="1:13" x14ac:dyDescent="0.3">
      <c r="A913">
        <v>912</v>
      </c>
      <c r="B913">
        <v>2</v>
      </c>
      <c r="C913">
        <v>1</v>
      </c>
      <c r="D913" s="1">
        <v>41650</v>
      </c>
      <c r="E913">
        <v>37</v>
      </c>
      <c r="F913">
        <f>VLOOKUP(ORDERS[[#This Row],[ProductID]],Products[],4,FALSE)</f>
        <v>20</v>
      </c>
      <c r="G913">
        <v>0.10000000100000001</v>
      </c>
      <c r="H913">
        <f>(ORDERS[[#This Row],[UnitsOrdered]]*ORDERS[[#This Row],[unit price]])-(ORDERS[[#This Row],[UnitsOrdered]]*ORDERS[[#This Row],[unit price]]*ORDERS[[#This Row],[Discount]])</f>
        <v>665.99999925999998</v>
      </c>
      <c r="I913" t="str">
        <f>VLOOKUP(ORDERS[[#This Row],[CustomerID]],customers[],2,FALSE)</f>
        <v>A Shirts Life</v>
      </c>
      <c r="J913" s="2" t="str">
        <f>VLOOKUP(ORDERS[[#This Row],[CustomerID]],customers[],4,FALSE)</f>
        <v>Portland</v>
      </c>
      <c r="K913" s="2" t="str">
        <f>VLOOKUP(ORDERS[[#This Row],[ProductID]],Products[],3,FALSE)</f>
        <v>Both</v>
      </c>
      <c r="L913" s="2">
        <f>DAY(ORDERS[[#This Row],[OrderDate]])</f>
        <v>11</v>
      </c>
      <c r="M913" s="2">
        <f>YEAR(ORDERS[[#This Row],[OrderDate]])</f>
        <v>2014</v>
      </c>
    </row>
    <row r="914" spans="1:13" x14ac:dyDescent="0.3">
      <c r="A914">
        <v>913</v>
      </c>
      <c r="B914">
        <v>2</v>
      </c>
      <c r="C914">
        <v>2</v>
      </c>
      <c r="D914" s="1">
        <v>41650</v>
      </c>
      <c r="E914">
        <v>111</v>
      </c>
      <c r="F914">
        <f>VLOOKUP(ORDERS[[#This Row],[ProductID]],Products[],4,FALSE)</f>
        <v>30</v>
      </c>
      <c r="G914">
        <v>0</v>
      </c>
      <c r="H914">
        <f>(ORDERS[[#This Row],[UnitsOrdered]]*ORDERS[[#This Row],[unit price]])-(ORDERS[[#This Row],[UnitsOrdered]]*ORDERS[[#This Row],[unit price]]*ORDERS[[#This Row],[Discount]])</f>
        <v>3330</v>
      </c>
      <c r="I914" t="str">
        <f>VLOOKUP(ORDERS[[#This Row],[CustomerID]],customers[],2,FALSE)</f>
        <v>A Shirts Life</v>
      </c>
      <c r="J914" s="2" t="str">
        <f>VLOOKUP(ORDERS[[#This Row],[CustomerID]],customers[],4,FALSE)</f>
        <v>Portland</v>
      </c>
      <c r="K914" s="2" t="str">
        <f>VLOOKUP(ORDERS[[#This Row],[ProductID]],Products[],3,FALSE)</f>
        <v>Both</v>
      </c>
      <c r="L914" s="2">
        <f>DAY(ORDERS[[#This Row],[OrderDate]])</f>
        <v>11</v>
      </c>
      <c r="M914" s="2">
        <f>YEAR(ORDERS[[#This Row],[OrderDate]])</f>
        <v>2014</v>
      </c>
    </row>
    <row r="915" spans="1:13" x14ac:dyDescent="0.3">
      <c r="A915">
        <v>914</v>
      </c>
      <c r="B915">
        <v>7</v>
      </c>
      <c r="C915">
        <v>9</v>
      </c>
      <c r="D915" s="1">
        <v>41650</v>
      </c>
      <c r="E915">
        <v>123</v>
      </c>
      <c r="F915">
        <f>VLOOKUP(ORDERS[[#This Row],[ProductID]],Products[],4,FALSE)</f>
        <v>25</v>
      </c>
      <c r="G915">
        <v>0</v>
      </c>
      <c r="H915">
        <f>(ORDERS[[#This Row],[UnitsOrdered]]*ORDERS[[#This Row],[unit price]])-(ORDERS[[#This Row],[UnitsOrdered]]*ORDERS[[#This Row],[unit price]]*ORDERS[[#This Row],[Discount]])</f>
        <v>3075</v>
      </c>
      <c r="I915" t="str">
        <f>VLOOKUP(ORDERS[[#This Row],[CustomerID]],customers[],2,FALSE)</f>
        <v>The Shirt on Your Back</v>
      </c>
      <c r="J915" s="2" t="str">
        <f>VLOOKUP(ORDERS[[#This Row],[CustomerID]],customers[],4,FALSE)</f>
        <v>Bonners Ferry</v>
      </c>
      <c r="K915" s="2" t="str">
        <f>VLOOKUP(ORDERS[[#This Row],[ProductID]],Products[],3,FALSE)</f>
        <v>Male</v>
      </c>
      <c r="L915" s="2">
        <f>DAY(ORDERS[[#This Row],[OrderDate]])</f>
        <v>11</v>
      </c>
      <c r="M915" s="2">
        <f>YEAR(ORDERS[[#This Row],[OrderDate]])</f>
        <v>2014</v>
      </c>
    </row>
    <row r="916" spans="1:13" x14ac:dyDescent="0.3">
      <c r="A916">
        <v>915</v>
      </c>
      <c r="B916">
        <v>7</v>
      </c>
      <c r="C916">
        <v>1</v>
      </c>
      <c r="D916" s="1">
        <v>41651</v>
      </c>
      <c r="E916">
        <v>123</v>
      </c>
      <c r="F916">
        <f>VLOOKUP(ORDERS[[#This Row],[ProductID]],Products[],4,FALSE)</f>
        <v>20</v>
      </c>
      <c r="G916">
        <v>0</v>
      </c>
      <c r="H916">
        <f>(ORDERS[[#This Row],[UnitsOrdered]]*ORDERS[[#This Row],[unit price]])-(ORDERS[[#This Row],[UnitsOrdered]]*ORDERS[[#This Row],[unit price]]*ORDERS[[#This Row],[Discount]])</f>
        <v>2460</v>
      </c>
      <c r="I916" t="str">
        <f>VLOOKUP(ORDERS[[#This Row],[CustomerID]],customers[],2,FALSE)</f>
        <v>The Shirt on Your Back</v>
      </c>
      <c r="J916" s="2" t="str">
        <f>VLOOKUP(ORDERS[[#This Row],[CustomerID]],customers[],4,FALSE)</f>
        <v>Bonners Ferry</v>
      </c>
      <c r="K916" s="2" t="str">
        <f>VLOOKUP(ORDERS[[#This Row],[ProductID]],Products[],3,FALSE)</f>
        <v>Both</v>
      </c>
      <c r="L916" s="2">
        <f>DAY(ORDERS[[#This Row],[OrderDate]])</f>
        <v>12</v>
      </c>
      <c r="M916" s="2">
        <f>YEAR(ORDERS[[#This Row],[OrderDate]])</f>
        <v>2014</v>
      </c>
    </row>
    <row r="917" spans="1:13" x14ac:dyDescent="0.3">
      <c r="A917">
        <v>916</v>
      </c>
      <c r="B917">
        <v>4</v>
      </c>
      <c r="C917">
        <v>1</v>
      </c>
      <c r="D917" s="1">
        <v>41652</v>
      </c>
      <c r="E917">
        <v>40</v>
      </c>
      <c r="F917">
        <f>VLOOKUP(ORDERS[[#This Row],[ProductID]],Products[],4,FALSE)</f>
        <v>20</v>
      </c>
      <c r="G917">
        <v>0</v>
      </c>
      <c r="H917">
        <f>(ORDERS[[#This Row],[UnitsOrdered]]*ORDERS[[#This Row],[unit price]])-(ORDERS[[#This Row],[UnitsOrdered]]*ORDERS[[#This Row],[unit price]]*ORDERS[[#This Row],[Discount]])</f>
        <v>800</v>
      </c>
      <c r="I917" t="str">
        <f>VLOOKUP(ORDERS[[#This Row],[CustomerID]],customers[],2,FALSE)</f>
        <v>Tshirt Unlimited</v>
      </c>
      <c r="J917" s="2" t="str">
        <f>VLOOKUP(ORDERS[[#This Row],[CustomerID]],customers[],4,FALSE)</f>
        <v>Phoenix</v>
      </c>
      <c r="K917" s="2" t="str">
        <f>VLOOKUP(ORDERS[[#This Row],[ProductID]],Products[],3,FALSE)</f>
        <v>Both</v>
      </c>
      <c r="L917" s="2">
        <f>DAY(ORDERS[[#This Row],[OrderDate]])</f>
        <v>13</v>
      </c>
      <c r="M917" s="2">
        <f>YEAR(ORDERS[[#This Row],[OrderDate]])</f>
        <v>2014</v>
      </c>
    </row>
    <row r="918" spans="1:13" x14ac:dyDescent="0.3">
      <c r="A918">
        <v>917</v>
      </c>
      <c r="B918">
        <v>2</v>
      </c>
      <c r="C918">
        <v>2</v>
      </c>
      <c r="D918" s="1">
        <v>41655</v>
      </c>
      <c r="E918">
        <v>59</v>
      </c>
      <c r="F918">
        <f>VLOOKUP(ORDERS[[#This Row],[ProductID]],Products[],4,FALSE)</f>
        <v>30</v>
      </c>
      <c r="G918">
        <v>0</v>
      </c>
      <c r="H918">
        <f>(ORDERS[[#This Row],[UnitsOrdered]]*ORDERS[[#This Row],[unit price]])-(ORDERS[[#This Row],[UnitsOrdered]]*ORDERS[[#This Row],[unit price]]*ORDERS[[#This Row],[Discount]])</f>
        <v>1770</v>
      </c>
      <c r="I918" t="str">
        <f>VLOOKUP(ORDERS[[#This Row],[CustomerID]],customers[],2,FALSE)</f>
        <v>A Shirts Life</v>
      </c>
      <c r="J918" s="2" t="str">
        <f>VLOOKUP(ORDERS[[#This Row],[CustomerID]],customers[],4,FALSE)</f>
        <v>Portland</v>
      </c>
      <c r="K918" s="2" t="str">
        <f>VLOOKUP(ORDERS[[#This Row],[ProductID]],Products[],3,FALSE)</f>
        <v>Both</v>
      </c>
      <c r="L918" s="2">
        <f>DAY(ORDERS[[#This Row],[OrderDate]])</f>
        <v>16</v>
      </c>
      <c r="M918" s="2">
        <f>YEAR(ORDERS[[#This Row],[OrderDate]])</f>
        <v>2014</v>
      </c>
    </row>
    <row r="919" spans="1:13" x14ac:dyDescent="0.3">
      <c r="A919">
        <v>918</v>
      </c>
      <c r="B919">
        <v>7</v>
      </c>
      <c r="C919">
        <v>6</v>
      </c>
      <c r="D919" s="1">
        <v>41656</v>
      </c>
      <c r="E919">
        <v>46</v>
      </c>
      <c r="F919">
        <f>VLOOKUP(ORDERS[[#This Row],[ProductID]],Products[],4,FALSE)</f>
        <v>28</v>
      </c>
      <c r="G919">
        <v>5.0000001000000002E-2</v>
      </c>
      <c r="H919">
        <f>(ORDERS[[#This Row],[UnitsOrdered]]*ORDERS[[#This Row],[unit price]])-(ORDERS[[#This Row],[UnitsOrdered]]*ORDERS[[#This Row],[unit price]]*ORDERS[[#This Row],[Discount]])</f>
        <v>1223.5999987119999</v>
      </c>
      <c r="I919" t="str">
        <f>VLOOKUP(ORDERS[[#This Row],[CustomerID]],customers[],2,FALSE)</f>
        <v>The Shirt on Your Back</v>
      </c>
      <c r="J919" s="2" t="str">
        <f>VLOOKUP(ORDERS[[#This Row],[CustomerID]],customers[],4,FALSE)</f>
        <v>Bonners Ferry</v>
      </c>
      <c r="K919" s="2" t="str">
        <f>VLOOKUP(ORDERS[[#This Row],[ProductID]],Products[],3,FALSE)</f>
        <v>Female</v>
      </c>
      <c r="L919" s="2">
        <f>DAY(ORDERS[[#This Row],[OrderDate]])</f>
        <v>17</v>
      </c>
      <c r="M919" s="2">
        <f>YEAR(ORDERS[[#This Row],[OrderDate]])</f>
        <v>2014</v>
      </c>
    </row>
    <row r="920" spans="1:13" x14ac:dyDescent="0.3">
      <c r="A920">
        <v>919</v>
      </c>
      <c r="B920">
        <v>3</v>
      </c>
      <c r="C920">
        <v>7</v>
      </c>
      <c r="D920" s="1">
        <v>41657</v>
      </c>
      <c r="E920">
        <v>61</v>
      </c>
      <c r="F920">
        <f>VLOOKUP(ORDERS[[#This Row],[ProductID]],Products[],4,FALSE)</f>
        <v>38</v>
      </c>
      <c r="G920">
        <v>0</v>
      </c>
      <c r="H920">
        <f>(ORDERS[[#This Row],[UnitsOrdered]]*ORDERS[[#This Row],[unit price]])-(ORDERS[[#This Row],[UnitsOrdered]]*ORDERS[[#This Row],[unit price]]*ORDERS[[#This Row],[Discount]])</f>
        <v>2318</v>
      </c>
      <c r="I920" t="str">
        <f>VLOOKUP(ORDERS[[#This Row],[CustomerID]],customers[],2,FALSE)</f>
        <v>Shirts R Us</v>
      </c>
      <c r="J920" s="2" t="str">
        <f>VLOOKUP(ORDERS[[#This Row],[CustomerID]],customers[],4,FALSE)</f>
        <v>Los Angeles</v>
      </c>
      <c r="K920" s="2" t="str">
        <f>VLOOKUP(ORDERS[[#This Row],[ProductID]],Products[],3,FALSE)</f>
        <v>Female</v>
      </c>
      <c r="L920" s="2">
        <f>DAY(ORDERS[[#This Row],[OrderDate]])</f>
        <v>18</v>
      </c>
      <c r="M920" s="2">
        <f>YEAR(ORDERS[[#This Row],[OrderDate]])</f>
        <v>2014</v>
      </c>
    </row>
    <row r="921" spans="1:13" x14ac:dyDescent="0.3">
      <c r="A921">
        <v>920</v>
      </c>
      <c r="B921">
        <v>3</v>
      </c>
      <c r="C921">
        <v>8</v>
      </c>
      <c r="D921" s="1">
        <v>41657</v>
      </c>
      <c r="E921">
        <v>99</v>
      </c>
      <c r="F921">
        <f>VLOOKUP(ORDERS[[#This Row],[ProductID]],Products[],4,FALSE)</f>
        <v>27</v>
      </c>
      <c r="G921">
        <v>5.0000001000000002E-2</v>
      </c>
      <c r="H921">
        <f>(ORDERS[[#This Row],[UnitsOrdered]]*ORDERS[[#This Row],[unit price]])-(ORDERS[[#This Row],[UnitsOrdered]]*ORDERS[[#This Row],[unit price]]*ORDERS[[#This Row],[Discount]])</f>
        <v>2539.349997327</v>
      </c>
      <c r="I921" t="str">
        <f>VLOOKUP(ORDERS[[#This Row],[CustomerID]],customers[],2,FALSE)</f>
        <v>Shirts R Us</v>
      </c>
      <c r="J921" s="2" t="str">
        <f>VLOOKUP(ORDERS[[#This Row],[CustomerID]],customers[],4,FALSE)</f>
        <v>Los Angeles</v>
      </c>
      <c r="K921" s="2" t="str">
        <f>VLOOKUP(ORDERS[[#This Row],[ProductID]],Products[],3,FALSE)</f>
        <v>Female</v>
      </c>
      <c r="L921" s="2">
        <f>DAY(ORDERS[[#This Row],[OrderDate]])</f>
        <v>18</v>
      </c>
      <c r="M921" s="2">
        <f>YEAR(ORDERS[[#This Row],[OrderDate]])</f>
        <v>2014</v>
      </c>
    </row>
    <row r="922" spans="1:13" x14ac:dyDescent="0.3">
      <c r="A922">
        <v>921</v>
      </c>
      <c r="B922">
        <v>2</v>
      </c>
      <c r="C922">
        <v>3</v>
      </c>
      <c r="D922" s="1">
        <v>41658</v>
      </c>
      <c r="E922">
        <v>115</v>
      </c>
      <c r="F922">
        <f>VLOOKUP(ORDERS[[#This Row],[ProductID]],Products[],4,FALSE)</f>
        <v>22</v>
      </c>
      <c r="G922">
        <v>0</v>
      </c>
      <c r="H922">
        <f>(ORDERS[[#This Row],[UnitsOrdered]]*ORDERS[[#This Row],[unit price]])-(ORDERS[[#This Row],[UnitsOrdered]]*ORDERS[[#This Row],[unit price]]*ORDERS[[#This Row],[Discount]])</f>
        <v>2530</v>
      </c>
      <c r="I922" t="str">
        <f>VLOOKUP(ORDERS[[#This Row],[CustomerID]],customers[],2,FALSE)</f>
        <v>A Shirts Life</v>
      </c>
      <c r="J922" s="2" t="str">
        <f>VLOOKUP(ORDERS[[#This Row],[CustomerID]],customers[],4,FALSE)</f>
        <v>Portland</v>
      </c>
      <c r="K922" s="2" t="str">
        <f>VLOOKUP(ORDERS[[#This Row],[ProductID]],Products[],3,FALSE)</f>
        <v>Both</v>
      </c>
      <c r="L922" s="2">
        <f>DAY(ORDERS[[#This Row],[OrderDate]])</f>
        <v>19</v>
      </c>
      <c r="M922" s="2">
        <f>YEAR(ORDERS[[#This Row],[OrderDate]])</f>
        <v>2014</v>
      </c>
    </row>
    <row r="923" spans="1:13" x14ac:dyDescent="0.3">
      <c r="A923">
        <v>922</v>
      </c>
      <c r="B923">
        <v>1</v>
      </c>
      <c r="C923">
        <v>2</v>
      </c>
      <c r="D923" s="1">
        <v>41661</v>
      </c>
      <c r="E923">
        <v>31</v>
      </c>
      <c r="F923">
        <f>VLOOKUP(ORDERS[[#This Row],[ProductID]],Products[],4,FALSE)</f>
        <v>30</v>
      </c>
      <c r="G923">
        <v>0</v>
      </c>
      <c r="H923">
        <f>(ORDERS[[#This Row],[UnitsOrdered]]*ORDERS[[#This Row],[unit price]])-(ORDERS[[#This Row],[UnitsOrdered]]*ORDERS[[#This Row],[unit price]]*ORDERS[[#This Row],[Discount]])</f>
        <v>930</v>
      </c>
      <c r="I923" t="str">
        <f>VLOOKUP(ORDERS[[#This Row],[CustomerID]],customers[],2,FALSE)</f>
        <v>Threads</v>
      </c>
      <c r="J923" s="2" t="str">
        <f>VLOOKUP(ORDERS[[#This Row],[CustomerID]],customers[],4,FALSE)</f>
        <v>Seattle</v>
      </c>
      <c r="K923" s="2" t="str">
        <f>VLOOKUP(ORDERS[[#This Row],[ProductID]],Products[],3,FALSE)</f>
        <v>Both</v>
      </c>
      <c r="L923" s="2">
        <f>DAY(ORDERS[[#This Row],[OrderDate]])</f>
        <v>22</v>
      </c>
      <c r="M923" s="2">
        <f>YEAR(ORDERS[[#This Row],[OrderDate]])</f>
        <v>2014</v>
      </c>
    </row>
    <row r="924" spans="1:13" x14ac:dyDescent="0.3">
      <c r="A924">
        <v>923</v>
      </c>
      <c r="B924">
        <v>1</v>
      </c>
      <c r="C924">
        <v>6</v>
      </c>
      <c r="D924" s="1">
        <v>41661</v>
      </c>
      <c r="E924">
        <v>133</v>
      </c>
      <c r="F924">
        <f>VLOOKUP(ORDERS[[#This Row],[ProductID]],Products[],4,FALSE)</f>
        <v>28</v>
      </c>
      <c r="G924">
        <v>0</v>
      </c>
      <c r="H924">
        <f>(ORDERS[[#This Row],[UnitsOrdered]]*ORDERS[[#This Row],[unit price]])-(ORDERS[[#This Row],[UnitsOrdered]]*ORDERS[[#This Row],[unit price]]*ORDERS[[#This Row],[Discount]])</f>
        <v>3724</v>
      </c>
      <c r="I924" t="str">
        <f>VLOOKUP(ORDERS[[#This Row],[CustomerID]],customers[],2,FALSE)</f>
        <v>Threads</v>
      </c>
      <c r="J924" s="2" t="str">
        <f>VLOOKUP(ORDERS[[#This Row],[CustomerID]],customers[],4,FALSE)</f>
        <v>Seattle</v>
      </c>
      <c r="K924" s="2" t="str">
        <f>VLOOKUP(ORDERS[[#This Row],[ProductID]],Products[],3,FALSE)</f>
        <v>Female</v>
      </c>
      <c r="L924" s="2">
        <f>DAY(ORDERS[[#This Row],[OrderDate]])</f>
        <v>22</v>
      </c>
      <c r="M924" s="2">
        <f>YEAR(ORDERS[[#This Row],[OrderDate]])</f>
        <v>2014</v>
      </c>
    </row>
    <row r="925" spans="1:13" x14ac:dyDescent="0.3">
      <c r="A925">
        <v>924</v>
      </c>
      <c r="B925">
        <v>5</v>
      </c>
      <c r="C925">
        <v>3</v>
      </c>
      <c r="D925" s="1">
        <v>41661</v>
      </c>
      <c r="E925">
        <v>85</v>
      </c>
      <c r="F925">
        <f>VLOOKUP(ORDERS[[#This Row],[ProductID]],Products[],4,FALSE)</f>
        <v>22</v>
      </c>
      <c r="G925">
        <v>0.15000000599999999</v>
      </c>
      <c r="H925">
        <f>(ORDERS[[#This Row],[UnitsOrdered]]*ORDERS[[#This Row],[unit price]])-(ORDERS[[#This Row],[UnitsOrdered]]*ORDERS[[#This Row],[unit price]]*ORDERS[[#This Row],[Discount]])</f>
        <v>1589.49998878</v>
      </c>
      <c r="I925" t="str">
        <f>VLOOKUP(ORDERS[[#This Row],[CustomerID]],customers[],2,FALSE)</f>
        <v>Rags to Riches</v>
      </c>
      <c r="J925" s="2" t="str">
        <f>VLOOKUP(ORDERS[[#This Row],[CustomerID]],customers[],4,FALSE)</f>
        <v>Las Vegas</v>
      </c>
      <c r="K925" s="2" t="str">
        <f>VLOOKUP(ORDERS[[#This Row],[ProductID]],Products[],3,FALSE)</f>
        <v>Both</v>
      </c>
      <c r="L925" s="2">
        <f>DAY(ORDERS[[#This Row],[OrderDate]])</f>
        <v>22</v>
      </c>
      <c r="M925" s="2">
        <f>YEAR(ORDERS[[#This Row],[OrderDate]])</f>
        <v>2014</v>
      </c>
    </row>
    <row r="926" spans="1:13" x14ac:dyDescent="0.3">
      <c r="A926">
        <v>925</v>
      </c>
      <c r="B926">
        <v>3</v>
      </c>
      <c r="C926">
        <v>7</v>
      </c>
      <c r="D926" s="1">
        <v>41662</v>
      </c>
      <c r="E926">
        <v>51</v>
      </c>
      <c r="F926">
        <f>VLOOKUP(ORDERS[[#This Row],[ProductID]],Products[],4,FALSE)</f>
        <v>38</v>
      </c>
      <c r="G926">
        <v>0</v>
      </c>
      <c r="H926">
        <f>(ORDERS[[#This Row],[UnitsOrdered]]*ORDERS[[#This Row],[unit price]])-(ORDERS[[#This Row],[UnitsOrdered]]*ORDERS[[#This Row],[unit price]]*ORDERS[[#This Row],[Discount]])</f>
        <v>1938</v>
      </c>
      <c r="I926" t="str">
        <f>VLOOKUP(ORDERS[[#This Row],[CustomerID]],customers[],2,FALSE)</f>
        <v>Shirts R Us</v>
      </c>
      <c r="J926" s="2" t="str">
        <f>VLOOKUP(ORDERS[[#This Row],[CustomerID]],customers[],4,FALSE)</f>
        <v>Los Angeles</v>
      </c>
      <c r="K926" s="2" t="str">
        <f>VLOOKUP(ORDERS[[#This Row],[ProductID]],Products[],3,FALSE)</f>
        <v>Female</v>
      </c>
      <c r="L926" s="2">
        <f>DAY(ORDERS[[#This Row],[OrderDate]])</f>
        <v>23</v>
      </c>
      <c r="M926" s="2">
        <f>YEAR(ORDERS[[#This Row],[OrderDate]])</f>
        <v>2014</v>
      </c>
    </row>
    <row r="927" spans="1:13" x14ac:dyDescent="0.3">
      <c r="A927">
        <v>926</v>
      </c>
      <c r="B927">
        <v>1</v>
      </c>
      <c r="C927">
        <v>4</v>
      </c>
      <c r="D927" s="1">
        <v>41663</v>
      </c>
      <c r="E927">
        <v>100</v>
      </c>
      <c r="F927">
        <f>VLOOKUP(ORDERS[[#This Row],[ProductID]],Products[],4,FALSE)</f>
        <v>30</v>
      </c>
      <c r="G927">
        <v>0.10000000100000001</v>
      </c>
      <c r="H927">
        <f>(ORDERS[[#This Row],[UnitsOrdered]]*ORDERS[[#This Row],[unit price]])-(ORDERS[[#This Row],[UnitsOrdered]]*ORDERS[[#This Row],[unit price]]*ORDERS[[#This Row],[Discount]])</f>
        <v>2699.9999969999999</v>
      </c>
      <c r="I927" t="str">
        <f>VLOOKUP(ORDERS[[#This Row],[CustomerID]],customers[],2,FALSE)</f>
        <v>Threads</v>
      </c>
      <c r="J927" s="2" t="str">
        <f>VLOOKUP(ORDERS[[#This Row],[CustomerID]],customers[],4,FALSE)</f>
        <v>Seattle</v>
      </c>
      <c r="K927" s="2" t="str">
        <f>VLOOKUP(ORDERS[[#This Row],[ProductID]],Products[],3,FALSE)</f>
        <v>Both</v>
      </c>
      <c r="L927" s="2">
        <f>DAY(ORDERS[[#This Row],[OrderDate]])</f>
        <v>24</v>
      </c>
      <c r="M927" s="2">
        <f>YEAR(ORDERS[[#This Row],[OrderDate]])</f>
        <v>2014</v>
      </c>
    </row>
    <row r="928" spans="1:13" x14ac:dyDescent="0.3">
      <c r="A928">
        <v>927</v>
      </c>
      <c r="B928">
        <v>1</v>
      </c>
      <c r="C928">
        <v>6</v>
      </c>
      <c r="D928" s="1">
        <v>41663</v>
      </c>
      <c r="E928">
        <v>123</v>
      </c>
      <c r="F928">
        <f>VLOOKUP(ORDERS[[#This Row],[ProductID]],Products[],4,FALSE)</f>
        <v>28</v>
      </c>
      <c r="G928">
        <v>0</v>
      </c>
      <c r="H928">
        <f>(ORDERS[[#This Row],[UnitsOrdered]]*ORDERS[[#This Row],[unit price]])-(ORDERS[[#This Row],[UnitsOrdered]]*ORDERS[[#This Row],[unit price]]*ORDERS[[#This Row],[Discount]])</f>
        <v>3444</v>
      </c>
      <c r="I928" t="str">
        <f>VLOOKUP(ORDERS[[#This Row],[CustomerID]],customers[],2,FALSE)</f>
        <v>Threads</v>
      </c>
      <c r="J928" s="2" t="str">
        <f>VLOOKUP(ORDERS[[#This Row],[CustomerID]],customers[],4,FALSE)</f>
        <v>Seattle</v>
      </c>
      <c r="K928" s="2" t="str">
        <f>VLOOKUP(ORDERS[[#This Row],[ProductID]],Products[],3,FALSE)</f>
        <v>Female</v>
      </c>
      <c r="L928" s="2">
        <f>DAY(ORDERS[[#This Row],[OrderDate]])</f>
        <v>24</v>
      </c>
      <c r="M928" s="2">
        <f>YEAR(ORDERS[[#This Row],[OrderDate]])</f>
        <v>2014</v>
      </c>
    </row>
    <row r="929" spans="1:13" x14ac:dyDescent="0.3">
      <c r="A929">
        <v>928</v>
      </c>
      <c r="B929">
        <v>2</v>
      </c>
      <c r="C929">
        <v>1</v>
      </c>
      <c r="D929" s="1">
        <v>41663</v>
      </c>
      <c r="E929">
        <v>28</v>
      </c>
      <c r="F929">
        <f>VLOOKUP(ORDERS[[#This Row],[ProductID]],Products[],4,FALSE)</f>
        <v>20</v>
      </c>
      <c r="G929">
        <v>0</v>
      </c>
      <c r="H929">
        <f>(ORDERS[[#This Row],[UnitsOrdered]]*ORDERS[[#This Row],[unit price]])-(ORDERS[[#This Row],[UnitsOrdered]]*ORDERS[[#This Row],[unit price]]*ORDERS[[#This Row],[Discount]])</f>
        <v>560</v>
      </c>
      <c r="I929" t="str">
        <f>VLOOKUP(ORDERS[[#This Row],[CustomerID]],customers[],2,FALSE)</f>
        <v>A Shirts Life</v>
      </c>
      <c r="J929" s="2" t="str">
        <f>VLOOKUP(ORDERS[[#This Row],[CustomerID]],customers[],4,FALSE)</f>
        <v>Portland</v>
      </c>
      <c r="K929" s="2" t="str">
        <f>VLOOKUP(ORDERS[[#This Row],[ProductID]],Products[],3,FALSE)</f>
        <v>Both</v>
      </c>
      <c r="L929" s="2">
        <f>DAY(ORDERS[[#This Row],[OrderDate]])</f>
        <v>24</v>
      </c>
      <c r="M929" s="2">
        <f>YEAR(ORDERS[[#This Row],[OrderDate]])</f>
        <v>2014</v>
      </c>
    </row>
    <row r="930" spans="1:13" x14ac:dyDescent="0.3">
      <c r="A930">
        <v>929</v>
      </c>
      <c r="B930">
        <v>7</v>
      </c>
      <c r="C930">
        <v>4</v>
      </c>
      <c r="D930" s="1">
        <v>41664</v>
      </c>
      <c r="E930">
        <v>50</v>
      </c>
      <c r="F930">
        <f>VLOOKUP(ORDERS[[#This Row],[ProductID]],Products[],4,FALSE)</f>
        <v>30</v>
      </c>
      <c r="G930">
        <v>0.15000000599999999</v>
      </c>
      <c r="H930">
        <f>(ORDERS[[#This Row],[UnitsOrdered]]*ORDERS[[#This Row],[unit price]])-(ORDERS[[#This Row],[UnitsOrdered]]*ORDERS[[#This Row],[unit price]]*ORDERS[[#This Row],[Discount]])</f>
        <v>1274.9999910000001</v>
      </c>
      <c r="I930" t="str">
        <f>VLOOKUP(ORDERS[[#This Row],[CustomerID]],customers[],2,FALSE)</f>
        <v>The Shirt on Your Back</v>
      </c>
      <c r="J930" s="2" t="str">
        <f>VLOOKUP(ORDERS[[#This Row],[CustomerID]],customers[],4,FALSE)</f>
        <v>Bonners Ferry</v>
      </c>
      <c r="K930" s="2" t="str">
        <f>VLOOKUP(ORDERS[[#This Row],[ProductID]],Products[],3,FALSE)</f>
        <v>Both</v>
      </c>
      <c r="L930" s="2">
        <f>DAY(ORDERS[[#This Row],[OrderDate]])</f>
        <v>25</v>
      </c>
      <c r="M930" s="2">
        <f>YEAR(ORDERS[[#This Row],[OrderDate]])</f>
        <v>2014</v>
      </c>
    </row>
    <row r="931" spans="1:13" x14ac:dyDescent="0.3">
      <c r="A931">
        <v>930</v>
      </c>
      <c r="B931">
        <v>4</v>
      </c>
      <c r="C931">
        <v>10</v>
      </c>
      <c r="D931" s="1">
        <v>41665</v>
      </c>
      <c r="E931">
        <v>36</v>
      </c>
      <c r="F931">
        <f>VLOOKUP(ORDERS[[#This Row],[ProductID]],Products[],4,FALSE)</f>
        <v>35</v>
      </c>
      <c r="G931">
        <v>0</v>
      </c>
      <c r="H931">
        <f>(ORDERS[[#This Row],[UnitsOrdered]]*ORDERS[[#This Row],[unit price]])-(ORDERS[[#This Row],[UnitsOrdered]]*ORDERS[[#This Row],[unit price]]*ORDERS[[#This Row],[Discount]])</f>
        <v>1260</v>
      </c>
      <c r="I931" t="str">
        <f>VLOOKUP(ORDERS[[#This Row],[CustomerID]],customers[],2,FALSE)</f>
        <v>Tshirt Unlimited</v>
      </c>
      <c r="J931" s="2" t="str">
        <f>VLOOKUP(ORDERS[[#This Row],[CustomerID]],customers[],4,FALSE)</f>
        <v>Phoenix</v>
      </c>
      <c r="K931" s="2" t="str">
        <f>VLOOKUP(ORDERS[[#This Row],[ProductID]],Products[],3,FALSE)</f>
        <v>Male</v>
      </c>
      <c r="L931" s="2">
        <f>DAY(ORDERS[[#This Row],[OrderDate]])</f>
        <v>26</v>
      </c>
      <c r="M931" s="2">
        <f>YEAR(ORDERS[[#This Row],[OrderDate]])</f>
        <v>2014</v>
      </c>
    </row>
    <row r="932" spans="1:13" x14ac:dyDescent="0.3">
      <c r="A932">
        <v>931</v>
      </c>
      <c r="B932">
        <v>1</v>
      </c>
      <c r="C932">
        <v>10</v>
      </c>
      <c r="D932" s="1">
        <v>41666</v>
      </c>
      <c r="E932">
        <v>25</v>
      </c>
      <c r="F932">
        <f>VLOOKUP(ORDERS[[#This Row],[ProductID]],Products[],4,FALSE)</f>
        <v>35</v>
      </c>
      <c r="G932">
        <v>0</v>
      </c>
      <c r="H932">
        <f>(ORDERS[[#This Row],[UnitsOrdered]]*ORDERS[[#This Row],[unit price]])-(ORDERS[[#This Row],[UnitsOrdered]]*ORDERS[[#This Row],[unit price]]*ORDERS[[#This Row],[Discount]])</f>
        <v>875</v>
      </c>
      <c r="I932" t="str">
        <f>VLOOKUP(ORDERS[[#This Row],[CustomerID]],customers[],2,FALSE)</f>
        <v>Threads</v>
      </c>
      <c r="J932" s="2" t="str">
        <f>VLOOKUP(ORDERS[[#This Row],[CustomerID]],customers[],4,FALSE)</f>
        <v>Seattle</v>
      </c>
      <c r="K932" s="2" t="str">
        <f>VLOOKUP(ORDERS[[#This Row],[ProductID]],Products[],3,FALSE)</f>
        <v>Male</v>
      </c>
      <c r="L932" s="2">
        <f>DAY(ORDERS[[#This Row],[OrderDate]])</f>
        <v>27</v>
      </c>
      <c r="M932" s="2">
        <f>YEAR(ORDERS[[#This Row],[OrderDate]])</f>
        <v>2014</v>
      </c>
    </row>
    <row r="933" spans="1:13" x14ac:dyDescent="0.3">
      <c r="A933">
        <v>932</v>
      </c>
      <c r="B933">
        <v>5</v>
      </c>
      <c r="C933">
        <v>6</v>
      </c>
      <c r="D933" s="1">
        <v>41667</v>
      </c>
      <c r="E933">
        <v>78</v>
      </c>
      <c r="F933">
        <f>VLOOKUP(ORDERS[[#This Row],[ProductID]],Products[],4,FALSE)</f>
        <v>28</v>
      </c>
      <c r="G933">
        <v>0</v>
      </c>
      <c r="H933">
        <f>(ORDERS[[#This Row],[UnitsOrdered]]*ORDERS[[#This Row],[unit price]])-(ORDERS[[#This Row],[UnitsOrdered]]*ORDERS[[#This Row],[unit price]]*ORDERS[[#This Row],[Discount]])</f>
        <v>2184</v>
      </c>
      <c r="I933" t="str">
        <f>VLOOKUP(ORDERS[[#This Row],[CustomerID]],customers[],2,FALSE)</f>
        <v>Rags to Riches</v>
      </c>
      <c r="J933" s="2" t="str">
        <f>VLOOKUP(ORDERS[[#This Row],[CustomerID]],customers[],4,FALSE)</f>
        <v>Las Vegas</v>
      </c>
      <c r="K933" s="2" t="str">
        <f>VLOOKUP(ORDERS[[#This Row],[ProductID]],Products[],3,FALSE)</f>
        <v>Female</v>
      </c>
      <c r="L933" s="2">
        <f>DAY(ORDERS[[#This Row],[OrderDate]])</f>
        <v>28</v>
      </c>
      <c r="M933" s="2">
        <f>YEAR(ORDERS[[#This Row],[OrderDate]])</f>
        <v>2014</v>
      </c>
    </row>
    <row r="934" spans="1:13" x14ac:dyDescent="0.3">
      <c r="A934">
        <v>933</v>
      </c>
      <c r="B934">
        <v>3</v>
      </c>
      <c r="C934">
        <v>5</v>
      </c>
      <c r="D934" s="1">
        <v>41668</v>
      </c>
      <c r="E934">
        <v>77</v>
      </c>
      <c r="F934">
        <f>VLOOKUP(ORDERS[[#This Row],[ProductID]],Products[],4,FALSE)</f>
        <v>16</v>
      </c>
      <c r="G934">
        <v>0</v>
      </c>
      <c r="H934">
        <f>(ORDERS[[#This Row],[UnitsOrdered]]*ORDERS[[#This Row],[unit price]])-(ORDERS[[#This Row],[UnitsOrdered]]*ORDERS[[#This Row],[unit price]]*ORDERS[[#This Row],[Discount]])</f>
        <v>1232</v>
      </c>
      <c r="I934" t="str">
        <f>VLOOKUP(ORDERS[[#This Row],[CustomerID]],customers[],2,FALSE)</f>
        <v>Shirts R Us</v>
      </c>
      <c r="J934" s="2" t="str">
        <f>VLOOKUP(ORDERS[[#This Row],[CustomerID]],customers[],4,FALSE)</f>
        <v>Los Angeles</v>
      </c>
      <c r="K934" s="2" t="str">
        <f>VLOOKUP(ORDERS[[#This Row],[ProductID]],Products[],3,FALSE)</f>
        <v>Female</v>
      </c>
      <c r="L934" s="2">
        <f>DAY(ORDERS[[#This Row],[OrderDate]])</f>
        <v>29</v>
      </c>
      <c r="M934" s="2">
        <f>YEAR(ORDERS[[#This Row],[OrderDate]])</f>
        <v>2014</v>
      </c>
    </row>
    <row r="935" spans="1:13" x14ac:dyDescent="0.3">
      <c r="A935">
        <v>934</v>
      </c>
      <c r="B935">
        <v>4</v>
      </c>
      <c r="C935">
        <v>2</v>
      </c>
      <c r="D935" s="1">
        <v>41668</v>
      </c>
      <c r="E935">
        <v>107</v>
      </c>
      <c r="F935">
        <f>VLOOKUP(ORDERS[[#This Row],[ProductID]],Products[],4,FALSE)</f>
        <v>30</v>
      </c>
      <c r="G935">
        <v>5.0000001000000002E-2</v>
      </c>
      <c r="H935">
        <f>(ORDERS[[#This Row],[UnitsOrdered]]*ORDERS[[#This Row],[unit price]])-(ORDERS[[#This Row],[UnitsOrdered]]*ORDERS[[#This Row],[unit price]]*ORDERS[[#This Row],[Discount]])</f>
        <v>3049.4999967899998</v>
      </c>
      <c r="I935" t="str">
        <f>VLOOKUP(ORDERS[[#This Row],[CustomerID]],customers[],2,FALSE)</f>
        <v>Tshirt Unlimited</v>
      </c>
      <c r="J935" s="2" t="str">
        <f>VLOOKUP(ORDERS[[#This Row],[CustomerID]],customers[],4,FALSE)</f>
        <v>Phoenix</v>
      </c>
      <c r="K935" s="2" t="str">
        <f>VLOOKUP(ORDERS[[#This Row],[ProductID]],Products[],3,FALSE)</f>
        <v>Both</v>
      </c>
      <c r="L935" s="2">
        <f>DAY(ORDERS[[#This Row],[OrderDate]])</f>
        <v>29</v>
      </c>
      <c r="M935" s="2">
        <f>YEAR(ORDERS[[#This Row],[OrderDate]])</f>
        <v>2014</v>
      </c>
    </row>
    <row r="936" spans="1:13" x14ac:dyDescent="0.3">
      <c r="A936">
        <v>935</v>
      </c>
      <c r="B936">
        <v>4</v>
      </c>
      <c r="C936">
        <v>4</v>
      </c>
      <c r="D936" s="1">
        <v>41668</v>
      </c>
      <c r="E936">
        <v>41</v>
      </c>
      <c r="F936">
        <f>VLOOKUP(ORDERS[[#This Row],[ProductID]],Products[],4,FALSE)</f>
        <v>30</v>
      </c>
      <c r="G936">
        <v>0</v>
      </c>
      <c r="H936">
        <f>(ORDERS[[#This Row],[UnitsOrdered]]*ORDERS[[#This Row],[unit price]])-(ORDERS[[#This Row],[UnitsOrdered]]*ORDERS[[#This Row],[unit price]]*ORDERS[[#This Row],[Discount]])</f>
        <v>1230</v>
      </c>
      <c r="I936" t="str">
        <f>VLOOKUP(ORDERS[[#This Row],[CustomerID]],customers[],2,FALSE)</f>
        <v>Tshirt Unlimited</v>
      </c>
      <c r="J936" s="2" t="str">
        <f>VLOOKUP(ORDERS[[#This Row],[CustomerID]],customers[],4,FALSE)</f>
        <v>Phoenix</v>
      </c>
      <c r="K936" s="2" t="str">
        <f>VLOOKUP(ORDERS[[#This Row],[ProductID]],Products[],3,FALSE)</f>
        <v>Both</v>
      </c>
      <c r="L936" s="2">
        <f>DAY(ORDERS[[#This Row],[OrderDate]])</f>
        <v>29</v>
      </c>
      <c r="M936" s="2">
        <f>YEAR(ORDERS[[#This Row],[OrderDate]])</f>
        <v>2014</v>
      </c>
    </row>
    <row r="937" spans="1:13" x14ac:dyDescent="0.3">
      <c r="A937">
        <v>936</v>
      </c>
      <c r="B937">
        <v>5</v>
      </c>
      <c r="C937">
        <v>4</v>
      </c>
      <c r="D937" s="1">
        <v>41668</v>
      </c>
      <c r="E937">
        <v>150</v>
      </c>
      <c r="F937">
        <f>VLOOKUP(ORDERS[[#This Row],[ProductID]],Products[],4,FALSE)</f>
        <v>30</v>
      </c>
      <c r="G937">
        <v>5.0000001000000002E-2</v>
      </c>
      <c r="H937">
        <f>(ORDERS[[#This Row],[UnitsOrdered]]*ORDERS[[#This Row],[unit price]])-(ORDERS[[#This Row],[UnitsOrdered]]*ORDERS[[#This Row],[unit price]]*ORDERS[[#This Row],[Discount]])</f>
        <v>4274.9999955000003</v>
      </c>
      <c r="I937" t="str">
        <f>VLOOKUP(ORDERS[[#This Row],[CustomerID]],customers[],2,FALSE)</f>
        <v>Rags to Riches</v>
      </c>
      <c r="J937" s="2" t="str">
        <f>VLOOKUP(ORDERS[[#This Row],[CustomerID]],customers[],4,FALSE)</f>
        <v>Las Vegas</v>
      </c>
      <c r="K937" s="2" t="str">
        <f>VLOOKUP(ORDERS[[#This Row],[ProductID]],Products[],3,FALSE)</f>
        <v>Both</v>
      </c>
      <c r="L937" s="2">
        <f>DAY(ORDERS[[#This Row],[OrderDate]])</f>
        <v>29</v>
      </c>
      <c r="M937" s="2">
        <f>YEAR(ORDERS[[#This Row],[OrderDate]])</f>
        <v>2014</v>
      </c>
    </row>
    <row r="938" spans="1:13" x14ac:dyDescent="0.3">
      <c r="A938">
        <v>937</v>
      </c>
      <c r="B938">
        <v>2</v>
      </c>
      <c r="C938">
        <v>1</v>
      </c>
      <c r="D938" s="1">
        <v>41669</v>
      </c>
      <c r="E938">
        <v>33</v>
      </c>
      <c r="F938">
        <f>VLOOKUP(ORDERS[[#This Row],[ProductID]],Products[],4,FALSE)</f>
        <v>20</v>
      </c>
      <c r="G938">
        <v>0.10000000100000001</v>
      </c>
      <c r="H938">
        <f>(ORDERS[[#This Row],[UnitsOrdered]]*ORDERS[[#This Row],[unit price]])-(ORDERS[[#This Row],[UnitsOrdered]]*ORDERS[[#This Row],[unit price]]*ORDERS[[#This Row],[Discount]])</f>
        <v>593.99999934000004</v>
      </c>
      <c r="I938" t="str">
        <f>VLOOKUP(ORDERS[[#This Row],[CustomerID]],customers[],2,FALSE)</f>
        <v>A Shirts Life</v>
      </c>
      <c r="J938" s="2" t="str">
        <f>VLOOKUP(ORDERS[[#This Row],[CustomerID]],customers[],4,FALSE)</f>
        <v>Portland</v>
      </c>
      <c r="K938" s="2" t="str">
        <f>VLOOKUP(ORDERS[[#This Row],[ProductID]],Products[],3,FALSE)</f>
        <v>Both</v>
      </c>
      <c r="L938" s="2">
        <f>DAY(ORDERS[[#This Row],[OrderDate]])</f>
        <v>30</v>
      </c>
      <c r="M938" s="2">
        <f>YEAR(ORDERS[[#This Row],[OrderDate]])</f>
        <v>2014</v>
      </c>
    </row>
    <row r="939" spans="1:13" x14ac:dyDescent="0.3">
      <c r="A939">
        <v>938</v>
      </c>
      <c r="B939">
        <v>2</v>
      </c>
      <c r="C939">
        <v>10</v>
      </c>
      <c r="D939" s="1">
        <v>41669</v>
      </c>
      <c r="E939">
        <v>133</v>
      </c>
      <c r="F939">
        <f>VLOOKUP(ORDERS[[#This Row],[ProductID]],Products[],4,FALSE)</f>
        <v>35</v>
      </c>
      <c r="G939">
        <v>0</v>
      </c>
      <c r="H939">
        <f>(ORDERS[[#This Row],[UnitsOrdered]]*ORDERS[[#This Row],[unit price]])-(ORDERS[[#This Row],[UnitsOrdered]]*ORDERS[[#This Row],[unit price]]*ORDERS[[#This Row],[Discount]])</f>
        <v>4655</v>
      </c>
      <c r="I939" t="str">
        <f>VLOOKUP(ORDERS[[#This Row],[CustomerID]],customers[],2,FALSE)</f>
        <v>A Shirts Life</v>
      </c>
      <c r="J939" s="2" t="str">
        <f>VLOOKUP(ORDERS[[#This Row],[CustomerID]],customers[],4,FALSE)</f>
        <v>Portland</v>
      </c>
      <c r="K939" s="2" t="str">
        <f>VLOOKUP(ORDERS[[#This Row],[ProductID]],Products[],3,FALSE)</f>
        <v>Male</v>
      </c>
      <c r="L939" s="2">
        <f>DAY(ORDERS[[#This Row],[OrderDate]])</f>
        <v>30</v>
      </c>
      <c r="M939" s="2">
        <f>YEAR(ORDERS[[#This Row],[OrderDate]])</f>
        <v>2014</v>
      </c>
    </row>
    <row r="940" spans="1:13" x14ac:dyDescent="0.3">
      <c r="A940">
        <v>939</v>
      </c>
      <c r="B940">
        <v>6</v>
      </c>
      <c r="C940">
        <v>5</v>
      </c>
      <c r="D940" s="1">
        <v>41669</v>
      </c>
      <c r="E940">
        <v>65</v>
      </c>
      <c r="F940">
        <f>VLOOKUP(ORDERS[[#This Row],[ProductID]],Products[],4,FALSE)</f>
        <v>16</v>
      </c>
      <c r="G940">
        <v>0</v>
      </c>
      <c r="H940">
        <f>(ORDERS[[#This Row],[UnitsOrdered]]*ORDERS[[#This Row],[unit price]])-(ORDERS[[#This Row],[UnitsOrdered]]*ORDERS[[#This Row],[unit price]]*ORDERS[[#This Row],[Discount]])</f>
        <v>1040</v>
      </c>
      <c r="I940" t="str">
        <f>VLOOKUP(ORDERS[[#This Row],[CustomerID]],customers[],2,FALSE)</f>
        <v>Abracadaba Ink</v>
      </c>
      <c r="J940" s="2" t="str">
        <f>VLOOKUP(ORDERS[[#This Row],[CustomerID]],customers[],4,FALSE)</f>
        <v>Salt Lake City</v>
      </c>
      <c r="K940" s="2" t="str">
        <f>VLOOKUP(ORDERS[[#This Row],[ProductID]],Products[],3,FALSE)</f>
        <v>Female</v>
      </c>
      <c r="L940" s="2">
        <f>DAY(ORDERS[[#This Row],[OrderDate]])</f>
        <v>30</v>
      </c>
      <c r="M940" s="2">
        <f>YEAR(ORDERS[[#This Row],[OrderDate]])</f>
        <v>2014</v>
      </c>
    </row>
    <row r="941" spans="1:13" x14ac:dyDescent="0.3">
      <c r="A941">
        <v>940</v>
      </c>
      <c r="B941">
        <v>4</v>
      </c>
      <c r="C941">
        <v>7</v>
      </c>
      <c r="D941" s="1">
        <v>41670</v>
      </c>
      <c r="E941">
        <v>101</v>
      </c>
      <c r="F941">
        <f>VLOOKUP(ORDERS[[#This Row],[ProductID]],Products[],4,FALSE)</f>
        <v>38</v>
      </c>
      <c r="G941">
        <v>0</v>
      </c>
      <c r="H941">
        <f>(ORDERS[[#This Row],[UnitsOrdered]]*ORDERS[[#This Row],[unit price]])-(ORDERS[[#This Row],[UnitsOrdered]]*ORDERS[[#This Row],[unit price]]*ORDERS[[#This Row],[Discount]])</f>
        <v>3838</v>
      </c>
      <c r="I941" t="str">
        <f>VLOOKUP(ORDERS[[#This Row],[CustomerID]],customers[],2,FALSE)</f>
        <v>Tshirt Unlimited</v>
      </c>
      <c r="J941" s="2" t="str">
        <f>VLOOKUP(ORDERS[[#This Row],[CustomerID]],customers[],4,FALSE)</f>
        <v>Phoenix</v>
      </c>
      <c r="K941" s="2" t="str">
        <f>VLOOKUP(ORDERS[[#This Row],[ProductID]],Products[],3,FALSE)</f>
        <v>Female</v>
      </c>
      <c r="L941" s="2">
        <f>DAY(ORDERS[[#This Row],[OrderDate]])</f>
        <v>31</v>
      </c>
      <c r="M941" s="2">
        <f>YEAR(ORDERS[[#This Row],[OrderDate]])</f>
        <v>2014</v>
      </c>
    </row>
    <row r="942" spans="1:13" x14ac:dyDescent="0.3">
      <c r="A942">
        <v>941</v>
      </c>
      <c r="B942">
        <v>1</v>
      </c>
      <c r="C942">
        <v>9</v>
      </c>
      <c r="D942" s="1">
        <v>41671</v>
      </c>
      <c r="E942">
        <v>95</v>
      </c>
      <c r="F942">
        <f>VLOOKUP(ORDERS[[#This Row],[ProductID]],Products[],4,FALSE)</f>
        <v>25</v>
      </c>
      <c r="G942">
        <v>0</v>
      </c>
      <c r="H942">
        <f>(ORDERS[[#This Row],[UnitsOrdered]]*ORDERS[[#This Row],[unit price]])-(ORDERS[[#This Row],[UnitsOrdered]]*ORDERS[[#This Row],[unit price]]*ORDERS[[#This Row],[Discount]])</f>
        <v>2375</v>
      </c>
      <c r="I942" t="str">
        <f>VLOOKUP(ORDERS[[#This Row],[CustomerID]],customers[],2,FALSE)</f>
        <v>Threads</v>
      </c>
      <c r="J942" s="2" t="str">
        <f>VLOOKUP(ORDERS[[#This Row],[CustomerID]],customers[],4,FALSE)</f>
        <v>Seattle</v>
      </c>
      <c r="K942" s="2" t="str">
        <f>VLOOKUP(ORDERS[[#This Row],[ProductID]],Products[],3,FALSE)</f>
        <v>Male</v>
      </c>
      <c r="L942" s="2">
        <f>DAY(ORDERS[[#This Row],[OrderDate]])</f>
        <v>1</v>
      </c>
      <c r="M942" s="2">
        <f>YEAR(ORDERS[[#This Row],[OrderDate]])</f>
        <v>2014</v>
      </c>
    </row>
    <row r="943" spans="1:13" x14ac:dyDescent="0.3">
      <c r="A943">
        <v>942</v>
      </c>
      <c r="B943">
        <v>4</v>
      </c>
      <c r="C943">
        <v>9</v>
      </c>
      <c r="D943" s="1">
        <v>41672</v>
      </c>
      <c r="E943">
        <v>109</v>
      </c>
      <c r="F943">
        <f>VLOOKUP(ORDERS[[#This Row],[ProductID]],Products[],4,FALSE)</f>
        <v>25</v>
      </c>
      <c r="G943">
        <v>0</v>
      </c>
      <c r="H943">
        <f>(ORDERS[[#This Row],[UnitsOrdered]]*ORDERS[[#This Row],[unit price]])-(ORDERS[[#This Row],[UnitsOrdered]]*ORDERS[[#This Row],[unit price]]*ORDERS[[#This Row],[Discount]])</f>
        <v>2725</v>
      </c>
      <c r="I943" t="str">
        <f>VLOOKUP(ORDERS[[#This Row],[CustomerID]],customers[],2,FALSE)</f>
        <v>Tshirt Unlimited</v>
      </c>
      <c r="J943" s="2" t="str">
        <f>VLOOKUP(ORDERS[[#This Row],[CustomerID]],customers[],4,FALSE)</f>
        <v>Phoenix</v>
      </c>
      <c r="K943" s="2" t="str">
        <f>VLOOKUP(ORDERS[[#This Row],[ProductID]],Products[],3,FALSE)</f>
        <v>Male</v>
      </c>
      <c r="L943" s="2">
        <f>DAY(ORDERS[[#This Row],[OrderDate]])</f>
        <v>2</v>
      </c>
      <c r="M943" s="2">
        <f>YEAR(ORDERS[[#This Row],[OrderDate]])</f>
        <v>2014</v>
      </c>
    </row>
    <row r="944" spans="1:13" x14ac:dyDescent="0.3">
      <c r="A944">
        <v>943</v>
      </c>
      <c r="B944">
        <v>2</v>
      </c>
      <c r="C944">
        <v>1</v>
      </c>
      <c r="D944" s="1">
        <v>41673</v>
      </c>
      <c r="E944">
        <v>143</v>
      </c>
      <c r="F944">
        <f>VLOOKUP(ORDERS[[#This Row],[ProductID]],Products[],4,FALSE)</f>
        <v>20</v>
      </c>
      <c r="G944">
        <v>0</v>
      </c>
      <c r="H944">
        <f>(ORDERS[[#This Row],[UnitsOrdered]]*ORDERS[[#This Row],[unit price]])-(ORDERS[[#This Row],[UnitsOrdered]]*ORDERS[[#This Row],[unit price]]*ORDERS[[#This Row],[Discount]])</f>
        <v>2860</v>
      </c>
      <c r="I944" t="str">
        <f>VLOOKUP(ORDERS[[#This Row],[CustomerID]],customers[],2,FALSE)</f>
        <v>A Shirts Life</v>
      </c>
      <c r="J944" s="2" t="str">
        <f>VLOOKUP(ORDERS[[#This Row],[CustomerID]],customers[],4,FALSE)</f>
        <v>Portland</v>
      </c>
      <c r="K944" s="2" t="str">
        <f>VLOOKUP(ORDERS[[#This Row],[ProductID]],Products[],3,FALSE)</f>
        <v>Both</v>
      </c>
      <c r="L944" s="2">
        <f>DAY(ORDERS[[#This Row],[OrderDate]])</f>
        <v>3</v>
      </c>
      <c r="M944" s="2">
        <f>YEAR(ORDERS[[#This Row],[OrderDate]])</f>
        <v>2014</v>
      </c>
    </row>
    <row r="945" spans="1:13" x14ac:dyDescent="0.3">
      <c r="A945">
        <v>944</v>
      </c>
      <c r="B945">
        <v>4</v>
      </c>
      <c r="C945">
        <v>6</v>
      </c>
      <c r="D945" s="1">
        <v>41673</v>
      </c>
      <c r="E945">
        <v>38</v>
      </c>
      <c r="F945">
        <f>VLOOKUP(ORDERS[[#This Row],[ProductID]],Products[],4,FALSE)</f>
        <v>28</v>
      </c>
      <c r="G945">
        <v>0</v>
      </c>
      <c r="H945">
        <f>(ORDERS[[#This Row],[UnitsOrdered]]*ORDERS[[#This Row],[unit price]])-(ORDERS[[#This Row],[UnitsOrdered]]*ORDERS[[#This Row],[unit price]]*ORDERS[[#This Row],[Discount]])</f>
        <v>1064</v>
      </c>
      <c r="I945" t="str">
        <f>VLOOKUP(ORDERS[[#This Row],[CustomerID]],customers[],2,FALSE)</f>
        <v>Tshirt Unlimited</v>
      </c>
      <c r="J945" s="2" t="str">
        <f>VLOOKUP(ORDERS[[#This Row],[CustomerID]],customers[],4,FALSE)</f>
        <v>Phoenix</v>
      </c>
      <c r="K945" s="2" t="str">
        <f>VLOOKUP(ORDERS[[#This Row],[ProductID]],Products[],3,FALSE)</f>
        <v>Female</v>
      </c>
      <c r="L945" s="2">
        <f>DAY(ORDERS[[#This Row],[OrderDate]])</f>
        <v>3</v>
      </c>
      <c r="M945" s="2">
        <f>YEAR(ORDERS[[#This Row],[OrderDate]])</f>
        <v>2014</v>
      </c>
    </row>
    <row r="946" spans="1:13" x14ac:dyDescent="0.3">
      <c r="A946">
        <v>945</v>
      </c>
      <c r="B946">
        <v>7</v>
      </c>
      <c r="C946">
        <v>9</v>
      </c>
      <c r="D946" s="1">
        <v>41673</v>
      </c>
      <c r="E946">
        <v>34</v>
      </c>
      <c r="F946">
        <f>VLOOKUP(ORDERS[[#This Row],[ProductID]],Products[],4,FALSE)</f>
        <v>25</v>
      </c>
      <c r="G946">
        <v>0</v>
      </c>
      <c r="H946">
        <f>(ORDERS[[#This Row],[UnitsOrdered]]*ORDERS[[#This Row],[unit price]])-(ORDERS[[#This Row],[UnitsOrdered]]*ORDERS[[#This Row],[unit price]]*ORDERS[[#This Row],[Discount]])</f>
        <v>850</v>
      </c>
      <c r="I946" t="str">
        <f>VLOOKUP(ORDERS[[#This Row],[CustomerID]],customers[],2,FALSE)</f>
        <v>The Shirt on Your Back</v>
      </c>
      <c r="J946" s="2" t="str">
        <f>VLOOKUP(ORDERS[[#This Row],[CustomerID]],customers[],4,FALSE)</f>
        <v>Bonners Ferry</v>
      </c>
      <c r="K946" s="2" t="str">
        <f>VLOOKUP(ORDERS[[#This Row],[ProductID]],Products[],3,FALSE)</f>
        <v>Male</v>
      </c>
      <c r="L946" s="2">
        <f>DAY(ORDERS[[#This Row],[OrderDate]])</f>
        <v>3</v>
      </c>
      <c r="M946" s="2">
        <f>YEAR(ORDERS[[#This Row],[OrderDate]])</f>
        <v>2014</v>
      </c>
    </row>
    <row r="947" spans="1:13" x14ac:dyDescent="0.3">
      <c r="A947">
        <v>946</v>
      </c>
      <c r="B947">
        <v>2</v>
      </c>
      <c r="C947">
        <v>5</v>
      </c>
      <c r="D947" s="1">
        <v>41674</v>
      </c>
      <c r="E947">
        <v>55</v>
      </c>
      <c r="F947">
        <f>VLOOKUP(ORDERS[[#This Row],[ProductID]],Products[],4,FALSE)</f>
        <v>16</v>
      </c>
      <c r="G947">
        <v>0</v>
      </c>
      <c r="H947">
        <f>(ORDERS[[#This Row],[UnitsOrdered]]*ORDERS[[#This Row],[unit price]])-(ORDERS[[#This Row],[UnitsOrdered]]*ORDERS[[#This Row],[unit price]]*ORDERS[[#This Row],[Discount]])</f>
        <v>880</v>
      </c>
      <c r="I947" t="str">
        <f>VLOOKUP(ORDERS[[#This Row],[CustomerID]],customers[],2,FALSE)</f>
        <v>A Shirts Life</v>
      </c>
      <c r="J947" s="2" t="str">
        <f>VLOOKUP(ORDERS[[#This Row],[CustomerID]],customers[],4,FALSE)</f>
        <v>Portland</v>
      </c>
      <c r="K947" s="2" t="str">
        <f>VLOOKUP(ORDERS[[#This Row],[ProductID]],Products[],3,FALSE)</f>
        <v>Female</v>
      </c>
      <c r="L947" s="2">
        <f>DAY(ORDERS[[#This Row],[OrderDate]])</f>
        <v>4</v>
      </c>
      <c r="M947" s="2">
        <f>YEAR(ORDERS[[#This Row],[OrderDate]])</f>
        <v>2014</v>
      </c>
    </row>
    <row r="948" spans="1:13" x14ac:dyDescent="0.3">
      <c r="A948">
        <v>947</v>
      </c>
      <c r="B948">
        <v>4</v>
      </c>
      <c r="C948">
        <v>1</v>
      </c>
      <c r="D948" s="1">
        <v>41674</v>
      </c>
      <c r="E948">
        <v>124</v>
      </c>
      <c r="F948">
        <f>VLOOKUP(ORDERS[[#This Row],[ProductID]],Products[],4,FALSE)</f>
        <v>20</v>
      </c>
      <c r="G948">
        <v>0</v>
      </c>
      <c r="H948">
        <f>(ORDERS[[#This Row],[UnitsOrdered]]*ORDERS[[#This Row],[unit price]])-(ORDERS[[#This Row],[UnitsOrdered]]*ORDERS[[#This Row],[unit price]]*ORDERS[[#This Row],[Discount]])</f>
        <v>2480</v>
      </c>
      <c r="I948" t="str">
        <f>VLOOKUP(ORDERS[[#This Row],[CustomerID]],customers[],2,FALSE)</f>
        <v>Tshirt Unlimited</v>
      </c>
      <c r="J948" s="2" t="str">
        <f>VLOOKUP(ORDERS[[#This Row],[CustomerID]],customers[],4,FALSE)</f>
        <v>Phoenix</v>
      </c>
      <c r="K948" s="2" t="str">
        <f>VLOOKUP(ORDERS[[#This Row],[ProductID]],Products[],3,FALSE)</f>
        <v>Both</v>
      </c>
      <c r="L948" s="2">
        <f>DAY(ORDERS[[#This Row],[OrderDate]])</f>
        <v>4</v>
      </c>
      <c r="M948" s="2">
        <f>YEAR(ORDERS[[#This Row],[OrderDate]])</f>
        <v>2014</v>
      </c>
    </row>
    <row r="949" spans="1:13" x14ac:dyDescent="0.3">
      <c r="A949">
        <v>948</v>
      </c>
      <c r="B949">
        <v>7</v>
      </c>
      <c r="C949">
        <v>1</v>
      </c>
      <c r="D949" s="1">
        <v>41674</v>
      </c>
      <c r="E949">
        <v>74</v>
      </c>
      <c r="F949">
        <f>VLOOKUP(ORDERS[[#This Row],[ProductID]],Products[],4,FALSE)</f>
        <v>20</v>
      </c>
      <c r="G949">
        <v>0</v>
      </c>
      <c r="H949">
        <f>(ORDERS[[#This Row],[UnitsOrdered]]*ORDERS[[#This Row],[unit price]])-(ORDERS[[#This Row],[UnitsOrdered]]*ORDERS[[#This Row],[unit price]]*ORDERS[[#This Row],[Discount]])</f>
        <v>1480</v>
      </c>
      <c r="I949" t="str">
        <f>VLOOKUP(ORDERS[[#This Row],[CustomerID]],customers[],2,FALSE)</f>
        <v>The Shirt on Your Back</v>
      </c>
      <c r="J949" s="2" t="str">
        <f>VLOOKUP(ORDERS[[#This Row],[CustomerID]],customers[],4,FALSE)</f>
        <v>Bonners Ferry</v>
      </c>
      <c r="K949" s="2" t="str">
        <f>VLOOKUP(ORDERS[[#This Row],[ProductID]],Products[],3,FALSE)</f>
        <v>Both</v>
      </c>
      <c r="L949" s="2">
        <f>DAY(ORDERS[[#This Row],[OrderDate]])</f>
        <v>4</v>
      </c>
      <c r="M949" s="2">
        <f>YEAR(ORDERS[[#This Row],[OrderDate]])</f>
        <v>2014</v>
      </c>
    </row>
    <row r="950" spans="1:13" x14ac:dyDescent="0.3">
      <c r="A950">
        <v>949</v>
      </c>
      <c r="B950">
        <v>4</v>
      </c>
      <c r="C950">
        <v>6</v>
      </c>
      <c r="D950" s="1">
        <v>41675</v>
      </c>
      <c r="E950">
        <v>60</v>
      </c>
      <c r="F950">
        <f>VLOOKUP(ORDERS[[#This Row],[ProductID]],Products[],4,FALSE)</f>
        <v>28</v>
      </c>
      <c r="G950">
        <v>0</v>
      </c>
      <c r="H950">
        <f>(ORDERS[[#This Row],[UnitsOrdered]]*ORDERS[[#This Row],[unit price]])-(ORDERS[[#This Row],[UnitsOrdered]]*ORDERS[[#This Row],[unit price]]*ORDERS[[#This Row],[Discount]])</f>
        <v>1680</v>
      </c>
      <c r="I950" t="str">
        <f>VLOOKUP(ORDERS[[#This Row],[CustomerID]],customers[],2,FALSE)</f>
        <v>Tshirt Unlimited</v>
      </c>
      <c r="J950" s="2" t="str">
        <f>VLOOKUP(ORDERS[[#This Row],[CustomerID]],customers[],4,FALSE)</f>
        <v>Phoenix</v>
      </c>
      <c r="K950" s="2" t="str">
        <f>VLOOKUP(ORDERS[[#This Row],[ProductID]],Products[],3,FALSE)</f>
        <v>Female</v>
      </c>
      <c r="L950" s="2">
        <f>DAY(ORDERS[[#This Row],[OrderDate]])</f>
        <v>5</v>
      </c>
      <c r="M950" s="2">
        <f>YEAR(ORDERS[[#This Row],[OrderDate]])</f>
        <v>2014</v>
      </c>
    </row>
    <row r="951" spans="1:13" x14ac:dyDescent="0.3">
      <c r="A951">
        <v>950</v>
      </c>
      <c r="B951">
        <v>5</v>
      </c>
      <c r="C951">
        <v>2</v>
      </c>
      <c r="D951" s="1">
        <v>41676</v>
      </c>
      <c r="E951">
        <v>98</v>
      </c>
      <c r="F951">
        <f>VLOOKUP(ORDERS[[#This Row],[ProductID]],Products[],4,FALSE)</f>
        <v>30</v>
      </c>
      <c r="G951">
        <v>0</v>
      </c>
      <c r="H951">
        <f>(ORDERS[[#This Row],[UnitsOrdered]]*ORDERS[[#This Row],[unit price]])-(ORDERS[[#This Row],[UnitsOrdered]]*ORDERS[[#This Row],[unit price]]*ORDERS[[#This Row],[Discount]])</f>
        <v>2940</v>
      </c>
      <c r="I951" t="str">
        <f>VLOOKUP(ORDERS[[#This Row],[CustomerID]],customers[],2,FALSE)</f>
        <v>Rags to Riches</v>
      </c>
      <c r="J951" s="2" t="str">
        <f>VLOOKUP(ORDERS[[#This Row],[CustomerID]],customers[],4,FALSE)</f>
        <v>Las Vegas</v>
      </c>
      <c r="K951" s="2" t="str">
        <f>VLOOKUP(ORDERS[[#This Row],[ProductID]],Products[],3,FALSE)</f>
        <v>Both</v>
      </c>
      <c r="L951" s="2">
        <f>DAY(ORDERS[[#This Row],[OrderDate]])</f>
        <v>6</v>
      </c>
      <c r="M951" s="2">
        <f>YEAR(ORDERS[[#This Row],[OrderDate]])</f>
        <v>2014</v>
      </c>
    </row>
    <row r="952" spans="1:13" x14ac:dyDescent="0.3">
      <c r="A952">
        <v>951</v>
      </c>
      <c r="B952">
        <v>6</v>
      </c>
      <c r="C952">
        <v>3</v>
      </c>
      <c r="D952" s="1">
        <v>41676</v>
      </c>
      <c r="E952">
        <v>119</v>
      </c>
      <c r="F952">
        <f>VLOOKUP(ORDERS[[#This Row],[ProductID]],Products[],4,FALSE)</f>
        <v>22</v>
      </c>
      <c r="G952">
        <v>0</v>
      </c>
      <c r="H952">
        <f>(ORDERS[[#This Row],[UnitsOrdered]]*ORDERS[[#This Row],[unit price]])-(ORDERS[[#This Row],[UnitsOrdered]]*ORDERS[[#This Row],[unit price]]*ORDERS[[#This Row],[Discount]])</f>
        <v>2618</v>
      </c>
      <c r="I952" t="str">
        <f>VLOOKUP(ORDERS[[#This Row],[CustomerID]],customers[],2,FALSE)</f>
        <v>Abracadaba Ink</v>
      </c>
      <c r="J952" s="2" t="str">
        <f>VLOOKUP(ORDERS[[#This Row],[CustomerID]],customers[],4,FALSE)</f>
        <v>Salt Lake City</v>
      </c>
      <c r="K952" s="2" t="str">
        <f>VLOOKUP(ORDERS[[#This Row],[ProductID]],Products[],3,FALSE)</f>
        <v>Both</v>
      </c>
      <c r="L952" s="2">
        <f>DAY(ORDERS[[#This Row],[OrderDate]])</f>
        <v>6</v>
      </c>
      <c r="M952" s="2">
        <f>YEAR(ORDERS[[#This Row],[OrderDate]])</f>
        <v>2014</v>
      </c>
    </row>
    <row r="953" spans="1:13" x14ac:dyDescent="0.3">
      <c r="A953">
        <v>952</v>
      </c>
      <c r="B953">
        <v>3</v>
      </c>
      <c r="C953">
        <v>7</v>
      </c>
      <c r="D953" s="1">
        <v>41677</v>
      </c>
      <c r="E953">
        <v>141</v>
      </c>
      <c r="F953">
        <f>VLOOKUP(ORDERS[[#This Row],[ProductID]],Products[],4,FALSE)</f>
        <v>38</v>
      </c>
      <c r="G953">
        <v>0</v>
      </c>
      <c r="H953">
        <f>(ORDERS[[#This Row],[UnitsOrdered]]*ORDERS[[#This Row],[unit price]])-(ORDERS[[#This Row],[UnitsOrdered]]*ORDERS[[#This Row],[unit price]]*ORDERS[[#This Row],[Discount]])</f>
        <v>5358</v>
      </c>
      <c r="I953" t="str">
        <f>VLOOKUP(ORDERS[[#This Row],[CustomerID]],customers[],2,FALSE)</f>
        <v>Shirts R Us</v>
      </c>
      <c r="J953" s="2" t="str">
        <f>VLOOKUP(ORDERS[[#This Row],[CustomerID]],customers[],4,FALSE)</f>
        <v>Los Angeles</v>
      </c>
      <c r="K953" s="2" t="str">
        <f>VLOOKUP(ORDERS[[#This Row],[ProductID]],Products[],3,FALSE)</f>
        <v>Female</v>
      </c>
      <c r="L953" s="2">
        <f>DAY(ORDERS[[#This Row],[OrderDate]])</f>
        <v>7</v>
      </c>
      <c r="M953" s="2">
        <f>YEAR(ORDERS[[#This Row],[OrderDate]])</f>
        <v>2014</v>
      </c>
    </row>
    <row r="954" spans="1:13" x14ac:dyDescent="0.3">
      <c r="A954">
        <v>953</v>
      </c>
      <c r="B954">
        <v>4</v>
      </c>
      <c r="C954">
        <v>7</v>
      </c>
      <c r="D954" s="1">
        <v>41677</v>
      </c>
      <c r="E954">
        <v>85</v>
      </c>
      <c r="F954">
        <f>VLOOKUP(ORDERS[[#This Row],[ProductID]],Products[],4,FALSE)</f>
        <v>38</v>
      </c>
      <c r="G954">
        <v>0</v>
      </c>
      <c r="H954">
        <f>(ORDERS[[#This Row],[UnitsOrdered]]*ORDERS[[#This Row],[unit price]])-(ORDERS[[#This Row],[UnitsOrdered]]*ORDERS[[#This Row],[unit price]]*ORDERS[[#This Row],[Discount]])</f>
        <v>3230</v>
      </c>
      <c r="I954" t="str">
        <f>VLOOKUP(ORDERS[[#This Row],[CustomerID]],customers[],2,FALSE)</f>
        <v>Tshirt Unlimited</v>
      </c>
      <c r="J954" s="2" t="str">
        <f>VLOOKUP(ORDERS[[#This Row],[CustomerID]],customers[],4,FALSE)</f>
        <v>Phoenix</v>
      </c>
      <c r="K954" s="2" t="str">
        <f>VLOOKUP(ORDERS[[#This Row],[ProductID]],Products[],3,FALSE)</f>
        <v>Female</v>
      </c>
      <c r="L954" s="2">
        <f>DAY(ORDERS[[#This Row],[OrderDate]])</f>
        <v>7</v>
      </c>
      <c r="M954" s="2">
        <f>YEAR(ORDERS[[#This Row],[OrderDate]])</f>
        <v>2014</v>
      </c>
    </row>
    <row r="955" spans="1:13" x14ac:dyDescent="0.3">
      <c r="A955">
        <v>954</v>
      </c>
      <c r="B955">
        <v>3</v>
      </c>
      <c r="C955">
        <v>9</v>
      </c>
      <c r="D955" s="1">
        <v>41679</v>
      </c>
      <c r="E955">
        <v>129</v>
      </c>
      <c r="F955">
        <f>VLOOKUP(ORDERS[[#This Row],[ProductID]],Products[],4,FALSE)</f>
        <v>25</v>
      </c>
      <c r="G955">
        <v>0</v>
      </c>
      <c r="H955">
        <f>(ORDERS[[#This Row],[UnitsOrdered]]*ORDERS[[#This Row],[unit price]])-(ORDERS[[#This Row],[UnitsOrdered]]*ORDERS[[#This Row],[unit price]]*ORDERS[[#This Row],[Discount]])</f>
        <v>3225</v>
      </c>
      <c r="I955" t="str">
        <f>VLOOKUP(ORDERS[[#This Row],[CustomerID]],customers[],2,FALSE)</f>
        <v>Shirts R Us</v>
      </c>
      <c r="J955" s="2" t="str">
        <f>VLOOKUP(ORDERS[[#This Row],[CustomerID]],customers[],4,FALSE)</f>
        <v>Los Angeles</v>
      </c>
      <c r="K955" s="2" t="str">
        <f>VLOOKUP(ORDERS[[#This Row],[ProductID]],Products[],3,FALSE)</f>
        <v>Male</v>
      </c>
      <c r="L955" s="2">
        <f>DAY(ORDERS[[#This Row],[OrderDate]])</f>
        <v>9</v>
      </c>
      <c r="M955" s="2">
        <f>YEAR(ORDERS[[#This Row],[OrderDate]])</f>
        <v>2014</v>
      </c>
    </row>
    <row r="956" spans="1:13" x14ac:dyDescent="0.3">
      <c r="A956">
        <v>955</v>
      </c>
      <c r="B956">
        <v>4</v>
      </c>
      <c r="C956">
        <v>2</v>
      </c>
      <c r="D956" s="1">
        <v>41679</v>
      </c>
      <c r="E956">
        <v>120</v>
      </c>
      <c r="F956">
        <f>VLOOKUP(ORDERS[[#This Row],[ProductID]],Products[],4,FALSE)</f>
        <v>30</v>
      </c>
      <c r="G956">
        <v>5.0000001000000002E-2</v>
      </c>
      <c r="H956">
        <f>(ORDERS[[#This Row],[UnitsOrdered]]*ORDERS[[#This Row],[unit price]])-(ORDERS[[#This Row],[UnitsOrdered]]*ORDERS[[#This Row],[unit price]]*ORDERS[[#This Row],[Discount]])</f>
        <v>3419.9999963999999</v>
      </c>
      <c r="I956" t="str">
        <f>VLOOKUP(ORDERS[[#This Row],[CustomerID]],customers[],2,FALSE)</f>
        <v>Tshirt Unlimited</v>
      </c>
      <c r="J956" s="2" t="str">
        <f>VLOOKUP(ORDERS[[#This Row],[CustomerID]],customers[],4,FALSE)</f>
        <v>Phoenix</v>
      </c>
      <c r="K956" s="2" t="str">
        <f>VLOOKUP(ORDERS[[#This Row],[ProductID]],Products[],3,FALSE)</f>
        <v>Both</v>
      </c>
      <c r="L956" s="2">
        <f>DAY(ORDERS[[#This Row],[OrderDate]])</f>
        <v>9</v>
      </c>
      <c r="M956" s="2">
        <f>YEAR(ORDERS[[#This Row],[OrderDate]])</f>
        <v>2014</v>
      </c>
    </row>
    <row r="957" spans="1:13" x14ac:dyDescent="0.3">
      <c r="A957">
        <v>956</v>
      </c>
      <c r="B957">
        <v>5</v>
      </c>
      <c r="C957">
        <v>8</v>
      </c>
      <c r="D957" s="1">
        <v>41679</v>
      </c>
      <c r="E957">
        <v>35</v>
      </c>
      <c r="F957">
        <f>VLOOKUP(ORDERS[[#This Row],[ProductID]],Products[],4,FALSE)</f>
        <v>27</v>
      </c>
      <c r="G957">
        <v>0</v>
      </c>
      <c r="H957">
        <f>(ORDERS[[#This Row],[UnitsOrdered]]*ORDERS[[#This Row],[unit price]])-(ORDERS[[#This Row],[UnitsOrdered]]*ORDERS[[#This Row],[unit price]]*ORDERS[[#This Row],[Discount]])</f>
        <v>945</v>
      </c>
      <c r="I957" t="str">
        <f>VLOOKUP(ORDERS[[#This Row],[CustomerID]],customers[],2,FALSE)</f>
        <v>Rags to Riches</v>
      </c>
      <c r="J957" s="2" t="str">
        <f>VLOOKUP(ORDERS[[#This Row],[CustomerID]],customers[],4,FALSE)</f>
        <v>Las Vegas</v>
      </c>
      <c r="K957" s="2" t="str">
        <f>VLOOKUP(ORDERS[[#This Row],[ProductID]],Products[],3,FALSE)</f>
        <v>Female</v>
      </c>
      <c r="L957" s="2">
        <f>DAY(ORDERS[[#This Row],[OrderDate]])</f>
        <v>9</v>
      </c>
      <c r="M957" s="2">
        <f>YEAR(ORDERS[[#This Row],[OrderDate]])</f>
        <v>2014</v>
      </c>
    </row>
    <row r="958" spans="1:13" x14ac:dyDescent="0.3">
      <c r="A958">
        <v>957</v>
      </c>
      <c r="B958">
        <v>5</v>
      </c>
      <c r="C958">
        <v>10</v>
      </c>
      <c r="D958" s="1">
        <v>41679</v>
      </c>
      <c r="E958">
        <v>145</v>
      </c>
      <c r="F958">
        <f>VLOOKUP(ORDERS[[#This Row],[ProductID]],Products[],4,FALSE)</f>
        <v>35</v>
      </c>
      <c r="G958">
        <v>0</v>
      </c>
      <c r="H958">
        <f>(ORDERS[[#This Row],[UnitsOrdered]]*ORDERS[[#This Row],[unit price]])-(ORDERS[[#This Row],[UnitsOrdered]]*ORDERS[[#This Row],[unit price]]*ORDERS[[#This Row],[Discount]])</f>
        <v>5075</v>
      </c>
      <c r="I958" t="str">
        <f>VLOOKUP(ORDERS[[#This Row],[CustomerID]],customers[],2,FALSE)</f>
        <v>Rags to Riches</v>
      </c>
      <c r="J958" s="2" t="str">
        <f>VLOOKUP(ORDERS[[#This Row],[CustomerID]],customers[],4,FALSE)</f>
        <v>Las Vegas</v>
      </c>
      <c r="K958" s="2" t="str">
        <f>VLOOKUP(ORDERS[[#This Row],[ProductID]],Products[],3,FALSE)</f>
        <v>Male</v>
      </c>
      <c r="L958" s="2">
        <f>DAY(ORDERS[[#This Row],[OrderDate]])</f>
        <v>9</v>
      </c>
      <c r="M958" s="2">
        <f>YEAR(ORDERS[[#This Row],[OrderDate]])</f>
        <v>2014</v>
      </c>
    </row>
    <row r="959" spans="1:13" x14ac:dyDescent="0.3">
      <c r="A959">
        <v>958</v>
      </c>
      <c r="B959">
        <v>6</v>
      </c>
      <c r="C959">
        <v>9</v>
      </c>
      <c r="D959" s="1">
        <v>41679</v>
      </c>
      <c r="E959">
        <v>55</v>
      </c>
      <c r="F959">
        <f>VLOOKUP(ORDERS[[#This Row],[ProductID]],Products[],4,FALSE)</f>
        <v>25</v>
      </c>
      <c r="G959">
        <v>0</v>
      </c>
      <c r="H959">
        <f>(ORDERS[[#This Row],[UnitsOrdered]]*ORDERS[[#This Row],[unit price]])-(ORDERS[[#This Row],[UnitsOrdered]]*ORDERS[[#This Row],[unit price]]*ORDERS[[#This Row],[Discount]])</f>
        <v>1375</v>
      </c>
      <c r="I959" t="str">
        <f>VLOOKUP(ORDERS[[#This Row],[CustomerID]],customers[],2,FALSE)</f>
        <v>Abracadaba Ink</v>
      </c>
      <c r="J959" s="2" t="str">
        <f>VLOOKUP(ORDERS[[#This Row],[CustomerID]],customers[],4,FALSE)</f>
        <v>Salt Lake City</v>
      </c>
      <c r="K959" s="2" t="str">
        <f>VLOOKUP(ORDERS[[#This Row],[ProductID]],Products[],3,FALSE)</f>
        <v>Male</v>
      </c>
      <c r="L959" s="2">
        <f>DAY(ORDERS[[#This Row],[OrderDate]])</f>
        <v>9</v>
      </c>
      <c r="M959" s="2">
        <f>YEAR(ORDERS[[#This Row],[OrderDate]])</f>
        <v>2014</v>
      </c>
    </row>
    <row r="960" spans="1:13" x14ac:dyDescent="0.3">
      <c r="A960">
        <v>959</v>
      </c>
      <c r="B960">
        <v>1</v>
      </c>
      <c r="C960">
        <v>9</v>
      </c>
      <c r="D960" s="1">
        <v>41680</v>
      </c>
      <c r="E960">
        <v>90</v>
      </c>
      <c r="F960">
        <f>VLOOKUP(ORDERS[[#This Row],[ProductID]],Products[],4,FALSE)</f>
        <v>25</v>
      </c>
      <c r="G960">
        <v>0</v>
      </c>
      <c r="H960">
        <f>(ORDERS[[#This Row],[UnitsOrdered]]*ORDERS[[#This Row],[unit price]])-(ORDERS[[#This Row],[UnitsOrdered]]*ORDERS[[#This Row],[unit price]]*ORDERS[[#This Row],[Discount]])</f>
        <v>2250</v>
      </c>
      <c r="I960" t="str">
        <f>VLOOKUP(ORDERS[[#This Row],[CustomerID]],customers[],2,FALSE)</f>
        <v>Threads</v>
      </c>
      <c r="J960" s="2" t="str">
        <f>VLOOKUP(ORDERS[[#This Row],[CustomerID]],customers[],4,FALSE)</f>
        <v>Seattle</v>
      </c>
      <c r="K960" s="2" t="str">
        <f>VLOOKUP(ORDERS[[#This Row],[ProductID]],Products[],3,FALSE)</f>
        <v>Male</v>
      </c>
      <c r="L960" s="2">
        <f>DAY(ORDERS[[#This Row],[OrderDate]])</f>
        <v>10</v>
      </c>
      <c r="M960" s="2">
        <f>YEAR(ORDERS[[#This Row],[OrderDate]])</f>
        <v>2014</v>
      </c>
    </row>
    <row r="961" spans="1:13" x14ac:dyDescent="0.3">
      <c r="A961">
        <v>960</v>
      </c>
      <c r="B961">
        <v>4</v>
      </c>
      <c r="C961">
        <v>6</v>
      </c>
      <c r="D961" s="1">
        <v>41680</v>
      </c>
      <c r="E961">
        <v>150</v>
      </c>
      <c r="F961">
        <f>VLOOKUP(ORDERS[[#This Row],[ProductID]],Products[],4,FALSE)</f>
        <v>28</v>
      </c>
      <c r="G961">
        <v>0</v>
      </c>
      <c r="H961">
        <f>(ORDERS[[#This Row],[UnitsOrdered]]*ORDERS[[#This Row],[unit price]])-(ORDERS[[#This Row],[UnitsOrdered]]*ORDERS[[#This Row],[unit price]]*ORDERS[[#This Row],[Discount]])</f>
        <v>4200</v>
      </c>
      <c r="I961" t="str">
        <f>VLOOKUP(ORDERS[[#This Row],[CustomerID]],customers[],2,FALSE)</f>
        <v>Tshirt Unlimited</v>
      </c>
      <c r="J961" s="2" t="str">
        <f>VLOOKUP(ORDERS[[#This Row],[CustomerID]],customers[],4,FALSE)</f>
        <v>Phoenix</v>
      </c>
      <c r="K961" s="2" t="str">
        <f>VLOOKUP(ORDERS[[#This Row],[ProductID]],Products[],3,FALSE)</f>
        <v>Female</v>
      </c>
      <c r="L961" s="2">
        <f>DAY(ORDERS[[#This Row],[OrderDate]])</f>
        <v>10</v>
      </c>
      <c r="M961" s="2">
        <f>YEAR(ORDERS[[#This Row],[OrderDate]])</f>
        <v>2014</v>
      </c>
    </row>
    <row r="962" spans="1:13" x14ac:dyDescent="0.3">
      <c r="A962">
        <v>961</v>
      </c>
      <c r="B962">
        <v>7</v>
      </c>
      <c r="C962">
        <v>2</v>
      </c>
      <c r="D962" s="1">
        <v>41680</v>
      </c>
      <c r="E962">
        <v>35</v>
      </c>
      <c r="F962">
        <f>VLOOKUP(ORDERS[[#This Row],[ProductID]],Products[],4,FALSE)</f>
        <v>30</v>
      </c>
      <c r="G962">
        <v>0</v>
      </c>
      <c r="H962">
        <f>(ORDERS[[#This Row],[UnitsOrdered]]*ORDERS[[#This Row],[unit price]])-(ORDERS[[#This Row],[UnitsOrdered]]*ORDERS[[#This Row],[unit price]]*ORDERS[[#This Row],[Discount]])</f>
        <v>1050</v>
      </c>
      <c r="I962" t="str">
        <f>VLOOKUP(ORDERS[[#This Row],[CustomerID]],customers[],2,FALSE)</f>
        <v>The Shirt on Your Back</v>
      </c>
      <c r="J962" s="2" t="str">
        <f>VLOOKUP(ORDERS[[#This Row],[CustomerID]],customers[],4,FALSE)</f>
        <v>Bonners Ferry</v>
      </c>
      <c r="K962" s="2" t="str">
        <f>VLOOKUP(ORDERS[[#This Row],[ProductID]],Products[],3,FALSE)</f>
        <v>Both</v>
      </c>
      <c r="L962" s="2">
        <f>DAY(ORDERS[[#This Row],[OrderDate]])</f>
        <v>10</v>
      </c>
      <c r="M962" s="2">
        <f>YEAR(ORDERS[[#This Row],[OrderDate]])</f>
        <v>2014</v>
      </c>
    </row>
    <row r="963" spans="1:13" x14ac:dyDescent="0.3">
      <c r="A963">
        <v>962</v>
      </c>
      <c r="B963">
        <v>1</v>
      </c>
      <c r="C963">
        <v>7</v>
      </c>
      <c r="D963" s="1">
        <v>41681</v>
      </c>
      <c r="E963">
        <v>31</v>
      </c>
      <c r="F963">
        <f>VLOOKUP(ORDERS[[#This Row],[ProductID]],Products[],4,FALSE)</f>
        <v>38</v>
      </c>
      <c r="G963">
        <v>0</v>
      </c>
      <c r="H963">
        <f>(ORDERS[[#This Row],[UnitsOrdered]]*ORDERS[[#This Row],[unit price]])-(ORDERS[[#This Row],[UnitsOrdered]]*ORDERS[[#This Row],[unit price]]*ORDERS[[#This Row],[Discount]])</f>
        <v>1178</v>
      </c>
      <c r="I963" t="str">
        <f>VLOOKUP(ORDERS[[#This Row],[CustomerID]],customers[],2,FALSE)</f>
        <v>Threads</v>
      </c>
      <c r="J963" s="2" t="str">
        <f>VLOOKUP(ORDERS[[#This Row],[CustomerID]],customers[],4,FALSE)</f>
        <v>Seattle</v>
      </c>
      <c r="K963" s="2" t="str">
        <f>VLOOKUP(ORDERS[[#This Row],[ProductID]],Products[],3,FALSE)</f>
        <v>Female</v>
      </c>
      <c r="L963" s="2">
        <f>DAY(ORDERS[[#This Row],[OrderDate]])</f>
        <v>11</v>
      </c>
      <c r="M963" s="2">
        <f>YEAR(ORDERS[[#This Row],[OrderDate]])</f>
        <v>2014</v>
      </c>
    </row>
    <row r="964" spans="1:13" x14ac:dyDescent="0.3">
      <c r="A964">
        <v>963</v>
      </c>
      <c r="B964">
        <v>2</v>
      </c>
      <c r="C964">
        <v>4</v>
      </c>
      <c r="D964" s="1">
        <v>41681</v>
      </c>
      <c r="E964">
        <v>46</v>
      </c>
      <c r="F964">
        <f>VLOOKUP(ORDERS[[#This Row],[ProductID]],Products[],4,FALSE)</f>
        <v>30</v>
      </c>
      <c r="G964">
        <v>0</v>
      </c>
      <c r="H964">
        <f>(ORDERS[[#This Row],[UnitsOrdered]]*ORDERS[[#This Row],[unit price]])-(ORDERS[[#This Row],[UnitsOrdered]]*ORDERS[[#This Row],[unit price]]*ORDERS[[#This Row],[Discount]])</f>
        <v>1380</v>
      </c>
      <c r="I964" t="str">
        <f>VLOOKUP(ORDERS[[#This Row],[CustomerID]],customers[],2,FALSE)</f>
        <v>A Shirts Life</v>
      </c>
      <c r="J964" s="2" t="str">
        <f>VLOOKUP(ORDERS[[#This Row],[CustomerID]],customers[],4,FALSE)</f>
        <v>Portland</v>
      </c>
      <c r="K964" s="2" t="str">
        <f>VLOOKUP(ORDERS[[#This Row],[ProductID]],Products[],3,FALSE)</f>
        <v>Both</v>
      </c>
      <c r="L964" s="2">
        <f>DAY(ORDERS[[#This Row],[OrderDate]])</f>
        <v>11</v>
      </c>
      <c r="M964" s="2">
        <f>YEAR(ORDERS[[#This Row],[OrderDate]])</f>
        <v>2014</v>
      </c>
    </row>
    <row r="965" spans="1:13" x14ac:dyDescent="0.3">
      <c r="A965">
        <v>964</v>
      </c>
      <c r="B965">
        <v>1</v>
      </c>
      <c r="C965">
        <v>6</v>
      </c>
      <c r="D965" s="1">
        <v>41682</v>
      </c>
      <c r="E965">
        <v>31</v>
      </c>
      <c r="F965">
        <f>VLOOKUP(ORDERS[[#This Row],[ProductID]],Products[],4,FALSE)</f>
        <v>28</v>
      </c>
      <c r="G965">
        <v>0</v>
      </c>
      <c r="H965">
        <f>(ORDERS[[#This Row],[UnitsOrdered]]*ORDERS[[#This Row],[unit price]])-(ORDERS[[#This Row],[UnitsOrdered]]*ORDERS[[#This Row],[unit price]]*ORDERS[[#This Row],[Discount]])</f>
        <v>868</v>
      </c>
      <c r="I965" t="str">
        <f>VLOOKUP(ORDERS[[#This Row],[CustomerID]],customers[],2,FALSE)</f>
        <v>Threads</v>
      </c>
      <c r="J965" s="2" t="str">
        <f>VLOOKUP(ORDERS[[#This Row],[CustomerID]],customers[],4,FALSE)</f>
        <v>Seattle</v>
      </c>
      <c r="K965" s="2" t="str">
        <f>VLOOKUP(ORDERS[[#This Row],[ProductID]],Products[],3,FALSE)</f>
        <v>Female</v>
      </c>
      <c r="L965" s="2">
        <f>DAY(ORDERS[[#This Row],[OrderDate]])</f>
        <v>12</v>
      </c>
      <c r="M965" s="2">
        <f>YEAR(ORDERS[[#This Row],[OrderDate]])</f>
        <v>2014</v>
      </c>
    </row>
    <row r="966" spans="1:13" x14ac:dyDescent="0.3">
      <c r="A966">
        <v>965</v>
      </c>
      <c r="B966">
        <v>1</v>
      </c>
      <c r="C966">
        <v>8</v>
      </c>
      <c r="D966" s="1">
        <v>41682</v>
      </c>
      <c r="E966">
        <v>92</v>
      </c>
      <c r="F966">
        <f>VLOOKUP(ORDERS[[#This Row],[ProductID]],Products[],4,FALSE)</f>
        <v>27</v>
      </c>
      <c r="G966">
        <v>0</v>
      </c>
      <c r="H966">
        <f>(ORDERS[[#This Row],[UnitsOrdered]]*ORDERS[[#This Row],[unit price]])-(ORDERS[[#This Row],[UnitsOrdered]]*ORDERS[[#This Row],[unit price]]*ORDERS[[#This Row],[Discount]])</f>
        <v>2484</v>
      </c>
      <c r="I966" t="str">
        <f>VLOOKUP(ORDERS[[#This Row],[CustomerID]],customers[],2,FALSE)</f>
        <v>Threads</v>
      </c>
      <c r="J966" s="2" t="str">
        <f>VLOOKUP(ORDERS[[#This Row],[CustomerID]],customers[],4,FALSE)</f>
        <v>Seattle</v>
      </c>
      <c r="K966" s="2" t="str">
        <f>VLOOKUP(ORDERS[[#This Row],[ProductID]],Products[],3,FALSE)</f>
        <v>Female</v>
      </c>
      <c r="L966" s="2">
        <f>DAY(ORDERS[[#This Row],[OrderDate]])</f>
        <v>12</v>
      </c>
      <c r="M966" s="2">
        <f>YEAR(ORDERS[[#This Row],[OrderDate]])</f>
        <v>2014</v>
      </c>
    </row>
    <row r="967" spans="1:13" x14ac:dyDescent="0.3">
      <c r="A967">
        <v>966</v>
      </c>
      <c r="B967">
        <v>4</v>
      </c>
      <c r="C967">
        <v>1</v>
      </c>
      <c r="D967" s="1">
        <v>41682</v>
      </c>
      <c r="E967">
        <v>62</v>
      </c>
      <c r="F967">
        <f>VLOOKUP(ORDERS[[#This Row],[ProductID]],Products[],4,FALSE)</f>
        <v>20</v>
      </c>
      <c r="G967">
        <v>0</v>
      </c>
      <c r="H967">
        <f>(ORDERS[[#This Row],[UnitsOrdered]]*ORDERS[[#This Row],[unit price]])-(ORDERS[[#This Row],[UnitsOrdered]]*ORDERS[[#This Row],[unit price]]*ORDERS[[#This Row],[Discount]])</f>
        <v>1240</v>
      </c>
      <c r="I967" t="str">
        <f>VLOOKUP(ORDERS[[#This Row],[CustomerID]],customers[],2,FALSE)</f>
        <v>Tshirt Unlimited</v>
      </c>
      <c r="J967" s="2" t="str">
        <f>VLOOKUP(ORDERS[[#This Row],[CustomerID]],customers[],4,FALSE)</f>
        <v>Phoenix</v>
      </c>
      <c r="K967" s="2" t="str">
        <f>VLOOKUP(ORDERS[[#This Row],[ProductID]],Products[],3,FALSE)</f>
        <v>Both</v>
      </c>
      <c r="L967" s="2">
        <f>DAY(ORDERS[[#This Row],[OrderDate]])</f>
        <v>12</v>
      </c>
      <c r="M967" s="2">
        <f>YEAR(ORDERS[[#This Row],[OrderDate]])</f>
        <v>2014</v>
      </c>
    </row>
    <row r="968" spans="1:13" x14ac:dyDescent="0.3">
      <c r="A968">
        <v>967</v>
      </c>
      <c r="B968">
        <v>6</v>
      </c>
      <c r="C968">
        <v>2</v>
      </c>
      <c r="D968" s="1">
        <v>41682</v>
      </c>
      <c r="E968">
        <v>61</v>
      </c>
      <c r="F968">
        <f>VLOOKUP(ORDERS[[#This Row],[ProductID]],Products[],4,FALSE)</f>
        <v>30</v>
      </c>
      <c r="G968">
        <v>0</v>
      </c>
      <c r="H968">
        <f>(ORDERS[[#This Row],[UnitsOrdered]]*ORDERS[[#This Row],[unit price]])-(ORDERS[[#This Row],[UnitsOrdered]]*ORDERS[[#This Row],[unit price]]*ORDERS[[#This Row],[Discount]])</f>
        <v>1830</v>
      </c>
      <c r="I968" t="str">
        <f>VLOOKUP(ORDERS[[#This Row],[CustomerID]],customers[],2,FALSE)</f>
        <v>Abracadaba Ink</v>
      </c>
      <c r="J968" s="2" t="str">
        <f>VLOOKUP(ORDERS[[#This Row],[CustomerID]],customers[],4,FALSE)</f>
        <v>Salt Lake City</v>
      </c>
      <c r="K968" s="2" t="str">
        <f>VLOOKUP(ORDERS[[#This Row],[ProductID]],Products[],3,FALSE)</f>
        <v>Both</v>
      </c>
      <c r="L968" s="2">
        <f>DAY(ORDERS[[#This Row],[OrderDate]])</f>
        <v>12</v>
      </c>
      <c r="M968" s="2">
        <f>YEAR(ORDERS[[#This Row],[OrderDate]])</f>
        <v>2014</v>
      </c>
    </row>
    <row r="969" spans="1:13" x14ac:dyDescent="0.3">
      <c r="A969">
        <v>968</v>
      </c>
      <c r="B969">
        <v>6</v>
      </c>
      <c r="C969">
        <v>2</v>
      </c>
      <c r="D969" s="1">
        <v>41683</v>
      </c>
      <c r="E969">
        <v>83</v>
      </c>
      <c r="F969">
        <f>VLOOKUP(ORDERS[[#This Row],[ProductID]],Products[],4,FALSE)</f>
        <v>30</v>
      </c>
      <c r="G969">
        <v>0</v>
      </c>
      <c r="H969">
        <f>(ORDERS[[#This Row],[UnitsOrdered]]*ORDERS[[#This Row],[unit price]])-(ORDERS[[#This Row],[UnitsOrdered]]*ORDERS[[#This Row],[unit price]]*ORDERS[[#This Row],[Discount]])</f>
        <v>2490</v>
      </c>
      <c r="I969" t="str">
        <f>VLOOKUP(ORDERS[[#This Row],[CustomerID]],customers[],2,FALSE)</f>
        <v>Abracadaba Ink</v>
      </c>
      <c r="J969" s="2" t="str">
        <f>VLOOKUP(ORDERS[[#This Row],[CustomerID]],customers[],4,FALSE)</f>
        <v>Salt Lake City</v>
      </c>
      <c r="K969" s="2" t="str">
        <f>VLOOKUP(ORDERS[[#This Row],[ProductID]],Products[],3,FALSE)</f>
        <v>Both</v>
      </c>
      <c r="L969" s="2">
        <f>DAY(ORDERS[[#This Row],[OrderDate]])</f>
        <v>13</v>
      </c>
      <c r="M969" s="2">
        <f>YEAR(ORDERS[[#This Row],[OrderDate]])</f>
        <v>2014</v>
      </c>
    </row>
    <row r="970" spans="1:13" x14ac:dyDescent="0.3">
      <c r="A970">
        <v>969</v>
      </c>
      <c r="B970">
        <v>7</v>
      </c>
      <c r="C970">
        <v>3</v>
      </c>
      <c r="D970" s="1">
        <v>41683</v>
      </c>
      <c r="E970">
        <v>87</v>
      </c>
      <c r="F970">
        <f>VLOOKUP(ORDERS[[#This Row],[ProductID]],Products[],4,FALSE)</f>
        <v>22</v>
      </c>
      <c r="G970">
        <v>0</v>
      </c>
      <c r="H970">
        <f>(ORDERS[[#This Row],[UnitsOrdered]]*ORDERS[[#This Row],[unit price]])-(ORDERS[[#This Row],[UnitsOrdered]]*ORDERS[[#This Row],[unit price]]*ORDERS[[#This Row],[Discount]])</f>
        <v>1914</v>
      </c>
      <c r="I970" t="str">
        <f>VLOOKUP(ORDERS[[#This Row],[CustomerID]],customers[],2,FALSE)</f>
        <v>The Shirt on Your Back</v>
      </c>
      <c r="J970" s="2" t="str">
        <f>VLOOKUP(ORDERS[[#This Row],[CustomerID]],customers[],4,FALSE)</f>
        <v>Bonners Ferry</v>
      </c>
      <c r="K970" s="2" t="str">
        <f>VLOOKUP(ORDERS[[#This Row],[ProductID]],Products[],3,FALSE)</f>
        <v>Both</v>
      </c>
      <c r="L970" s="2">
        <f>DAY(ORDERS[[#This Row],[OrderDate]])</f>
        <v>13</v>
      </c>
      <c r="M970" s="2">
        <f>YEAR(ORDERS[[#This Row],[OrderDate]])</f>
        <v>2014</v>
      </c>
    </row>
    <row r="971" spans="1:13" x14ac:dyDescent="0.3">
      <c r="A971">
        <v>970</v>
      </c>
      <c r="B971">
        <v>7</v>
      </c>
      <c r="C971">
        <v>4</v>
      </c>
      <c r="D971" s="1">
        <v>41684</v>
      </c>
      <c r="E971">
        <v>62</v>
      </c>
      <c r="F971">
        <f>VLOOKUP(ORDERS[[#This Row],[ProductID]],Products[],4,FALSE)</f>
        <v>30</v>
      </c>
      <c r="G971">
        <v>0</v>
      </c>
      <c r="H971">
        <f>(ORDERS[[#This Row],[UnitsOrdered]]*ORDERS[[#This Row],[unit price]])-(ORDERS[[#This Row],[UnitsOrdered]]*ORDERS[[#This Row],[unit price]]*ORDERS[[#This Row],[Discount]])</f>
        <v>1860</v>
      </c>
      <c r="I971" t="str">
        <f>VLOOKUP(ORDERS[[#This Row],[CustomerID]],customers[],2,FALSE)</f>
        <v>The Shirt on Your Back</v>
      </c>
      <c r="J971" s="2" t="str">
        <f>VLOOKUP(ORDERS[[#This Row],[CustomerID]],customers[],4,FALSE)</f>
        <v>Bonners Ferry</v>
      </c>
      <c r="K971" s="2" t="str">
        <f>VLOOKUP(ORDERS[[#This Row],[ProductID]],Products[],3,FALSE)</f>
        <v>Both</v>
      </c>
      <c r="L971" s="2">
        <f>DAY(ORDERS[[#This Row],[OrderDate]])</f>
        <v>14</v>
      </c>
      <c r="M971" s="2">
        <f>YEAR(ORDERS[[#This Row],[OrderDate]])</f>
        <v>2014</v>
      </c>
    </row>
    <row r="972" spans="1:13" x14ac:dyDescent="0.3">
      <c r="A972">
        <v>971</v>
      </c>
      <c r="B972">
        <v>1</v>
      </c>
      <c r="C972">
        <v>1</v>
      </c>
      <c r="D972" s="1">
        <v>41686</v>
      </c>
      <c r="E972">
        <v>41</v>
      </c>
      <c r="F972">
        <f>VLOOKUP(ORDERS[[#This Row],[ProductID]],Products[],4,FALSE)</f>
        <v>20</v>
      </c>
      <c r="G972">
        <v>0</v>
      </c>
      <c r="H972">
        <f>(ORDERS[[#This Row],[UnitsOrdered]]*ORDERS[[#This Row],[unit price]])-(ORDERS[[#This Row],[UnitsOrdered]]*ORDERS[[#This Row],[unit price]]*ORDERS[[#This Row],[Discount]])</f>
        <v>820</v>
      </c>
      <c r="I972" t="str">
        <f>VLOOKUP(ORDERS[[#This Row],[CustomerID]],customers[],2,FALSE)</f>
        <v>Threads</v>
      </c>
      <c r="J972" s="2" t="str">
        <f>VLOOKUP(ORDERS[[#This Row],[CustomerID]],customers[],4,FALSE)</f>
        <v>Seattle</v>
      </c>
      <c r="K972" s="2" t="str">
        <f>VLOOKUP(ORDERS[[#This Row],[ProductID]],Products[],3,FALSE)</f>
        <v>Both</v>
      </c>
      <c r="L972" s="2">
        <f>DAY(ORDERS[[#This Row],[OrderDate]])</f>
        <v>16</v>
      </c>
      <c r="M972" s="2">
        <f>YEAR(ORDERS[[#This Row],[OrderDate]])</f>
        <v>2014</v>
      </c>
    </row>
    <row r="973" spans="1:13" x14ac:dyDescent="0.3">
      <c r="A973">
        <v>972</v>
      </c>
      <c r="B973">
        <v>2</v>
      </c>
      <c r="C973">
        <v>1</v>
      </c>
      <c r="D973" s="1">
        <v>41686</v>
      </c>
      <c r="E973">
        <v>114</v>
      </c>
      <c r="F973">
        <f>VLOOKUP(ORDERS[[#This Row],[ProductID]],Products[],4,FALSE)</f>
        <v>20</v>
      </c>
      <c r="G973">
        <v>0</v>
      </c>
      <c r="H973">
        <f>(ORDERS[[#This Row],[UnitsOrdered]]*ORDERS[[#This Row],[unit price]])-(ORDERS[[#This Row],[UnitsOrdered]]*ORDERS[[#This Row],[unit price]]*ORDERS[[#This Row],[Discount]])</f>
        <v>2280</v>
      </c>
      <c r="I973" t="str">
        <f>VLOOKUP(ORDERS[[#This Row],[CustomerID]],customers[],2,FALSE)</f>
        <v>A Shirts Life</v>
      </c>
      <c r="J973" s="2" t="str">
        <f>VLOOKUP(ORDERS[[#This Row],[CustomerID]],customers[],4,FALSE)</f>
        <v>Portland</v>
      </c>
      <c r="K973" s="2" t="str">
        <f>VLOOKUP(ORDERS[[#This Row],[ProductID]],Products[],3,FALSE)</f>
        <v>Both</v>
      </c>
      <c r="L973" s="2">
        <f>DAY(ORDERS[[#This Row],[OrderDate]])</f>
        <v>16</v>
      </c>
      <c r="M973" s="2">
        <f>YEAR(ORDERS[[#This Row],[OrderDate]])</f>
        <v>2014</v>
      </c>
    </row>
    <row r="974" spans="1:13" x14ac:dyDescent="0.3">
      <c r="A974">
        <v>973</v>
      </c>
      <c r="B974">
        <v>1</v>
      </c>
      <c r="C974">
        <v>3</v>
      </c>
      <c r="D974" s="1">
        <v>41687</v>
      </c>
      <c r="E974">
        <v>71</v>
      </c>
      <c r="F974">
        <f>VLOOKUP(ORDERS[[#This Row],[ProductID]],Products[],4,FALSE)</f>
        <v>22</v>
      </c>
      <c r="G974">
        <v>0.10000000100000001</v>
      </c>
      <c r="H974">
        <f>(ORDERS[[#This Row],[UnitsOrdered]]*ORDERS[[#This Row],[unit price]])-(ORDERS[[#This Row],[UnitsOrdered]]*ORDERS[[#This Row],[unit price]]*ORDERS[[#This Row],[Discount]])</f>
        <v>1405.7999984379999</v>
      </c>
      <c r="I974" t="str">
        <f>VLOOKUP(ORDERS[[#This Row],[CustomerID]],customers[],2,FALSE)</f>
        <v>Threads</v>
      </c>
      <c r="J974" s="2" t="str">
        <f>VLOOKUP(ORDERS[[#This Row],[CustomerID]],customers[],4,FALSE)</f>
        <v>Seattle</v>
      </c>
      <c r="K974" s="2" t="str">
        <f>VLOOKUP(ORDERS[[#This Row],[ProductID]],Products[],3,FALSE)</f>
        <v>Both</v>
      </c>
      <c r="L974" s="2">
        <f>DAY(ORDERS[[#This Row],[OrderDate]])</f>
        <v>17</v>
      </c>
      <c r="M974" s="2">
        <f>YEAR(ORDERS[[#This Row],[OrderDate]])</f>
        <v>2014</v>
      </c>
    </row>
    <row r="975" spans="1:13" x14ac:dyDescent="0.3">
      <c r="A975">
        <v>974</v>
      </c>
      <c r="B975">
        <v>1</v>
      </c>
      <c r="C975">
        <v>6</v>
      </c>
      <c r="D975" s="1">
        <v>41687</v>
      </c>
      <c r="E975">
        <v>29</v>
      </c>
      <c r="F975">
        <f>VLOOKUP(ORDERS[[#This Row],[ProductID]],Products[],4,FALSE)</f>
        <v>28</v>
      </c>
      <c r="G975">
        <v>0</v>
      </c>
      <c r="H975">
        <f>(ORDERS[[#This Row],[UnitsOrdered]]*ORDERS[[#This Row],[unit price]])-(ORDERS[[#This Row],[UnitsOrdered]]*ORDERS[[#This Row],[unit price]]*ORDERS[[#This Row],[Discount]])</f>
        <v>812</v>
      </c>
      <c r="I975" t="str">
        <f>VLOOKUP(ORDERS[[#This Row],[CustomerID]],customers[],2,FALSE)</f>
        <v>Threads</v>
      </c>
      <c r="J975" s="2" t="str">
        <f>VLOOKUP(ORDERS[[#This Row],[CustomerID]],customers[],4,FALSE)</f>
        <v>Seattle</v>
      </c>
      <c r="K975" s="2" t="str">
        <f>VLOOKUP(ORDERS[[#This Row],[ProductID]],Products[],3,FALSE)</f>
        <v>Female</v>
      </c>
      <c r="L975" s="2">
        <f>DAY(ORDERS[[#This Row],[OrderDate]])</f>
        <v>17</v>
      </c>
      <c r="M975" s="2">
        <f>YEAR(ORDERS[[#This Row],[OrderDate]])</f>
        <v>2014</v>
      </c>
    </row>
    <row r="976" spans="1:13" x14ac:dyDescent="0.3">
      <c r="A976">
        <v>975</v>
      </c>
      <c r="B976">
        <v>2</v>
      </c>
      <c r="C976">
        <v>2</v>
      </c>
      <c r="D976" s="1">
        <v>41687</v>
      </c>
      <c r="E976">
        <v>53</v>
      </c>
      <c r="F976">
        <f>VLOOKUP(ORDERS[[#This Row],[ProductID]],Products[],4,FALSE)</f>
        <v>30</v>
      </c>
      <c r="G976">
        <v>0</v>
      </c>
      <c r="H976">
        <f>(ORDERS[[#This Row],[UnitsOrdered]]*ORDERS[[#This Row],[unit price]])-(ORDERS[[#This Row],[UnitsOrdered]]*ORDERS[[#This Row],[unit price]]*ORDERS[[#This Row],[Discount]])</f>
        <v>1590</v>
      </c>
      <c r="I976" t="str">
        <f>VLOOKUP(ORDERS[[#This Row],[CustomerID]],customers[],2,FALSE)</f>
        <v>A Shirts Life</v>
      </c>
      <c r="J976" s="2" t="str">
        <f>VLOOKUP(ORDERS[[#This Row],[CustomerID]],customers[],4,FALSE)</f>
        <v>Portland</v>
      </c>
      <c r="K976" s="2" t="str">
        <f>VLOOKUP(ORDERS[[#This Row],[ProductID]],Products[],3,FALSE)</f>
        <v>Both</v>
      </c>
      <c r="L976" s="2">
        <f>DAY(ORDERS[[#This Row],[OrderDate]])</f>
        <v>17</v>
      </c>
      <c r="M976" s="2">
        <f>YEAR(ORDERS[[#This Row],[OrderDate]])</f>
        <v>2014</v>
      </c>
    </row>
    <row r="977" spans="1:13" x14ac:dyDescent="0.3">
      <c r="A977">
        <v>976</v>
      </c>
      <c r="B977">
        <v>5</v>
      </c>
      <c r="C977">
        <v>10</v>
      </c>
      <c r="D977" s="1">
        <v>41688</v>
      </c>
      <c r="E977">
        <v>86</v>
      </c>
      <c r="F977">
        <f>VLOOKUP(ORDERS[[#This Row],[ProductID]],Products[],4,FALSE)</f>
        <v>35</v>
      </c>
      <c r="G977">
        <v>0.10000000100000001</v>
      </c>
      <c r="H977">
        <f>(ORDERS[[#This Row],[UnitsOrdered]]*ORDERS[[#This Row],[unit price]])-(ORDERS[[#This Row],[UnitsOrdered]]*ORDERS[[#This Row],[unit price]]*ORDERS[[#This Row],[Discount]])</f>
        <v>2708.99999699</v>
      </c>
      <c r="I977" t="str">
        <f>VLOOKUP(ORDERS[[#This Row],[CustomerID]],customers[],2,FALSE)</f>
        <v>Rags to Riches</v>
      </c>
      <c r="J977" s="2" t="str">
        <f>VLOOKUP(ORDERS[[#This Row],[CustomerID]],customers[],4,FALSE)</f>
        <v>Las Vegas</v>
      </c>
      <c r="K977" s="2" t="str">
        <f>VLOOKUP(ORDERS[[#This Row],[ProductID]],Products[],3,FALSE)</f>
        <v>Male</v>
      </c>
      <c r="L977" s="2">
        <f>DAY(ORDERS[[#This Row],[OrderDate]])</f>
        <v>18</v>
      </c>
      <c r="M977" s="2">
        <f>YEAR(ORDERS[[#This Row],[OrderDate]])</f>
        <v>2014</v>
      </c>
    </row>
    <row r="978" spans="1:13" x14ac:dyDescent="0.3">
      <c r="A978">
        <v>977</v>
      </c>
      <c r="B978">
        <v>2</v>
      </c>
      <c r="C978">
        <v>3</v>
      </c>
      <c r="D978" s="1">
        <v>41689</v>
      </c>
      <c r="E978">
        <v>134</v>
      </c>
      <c r="F978">
        <f>VLOOKUP(ORDERS[[#This Row],[ProductID]],Products[],4,FALSE)</f>
        <v>22</v>
      </c>
      <c r="G978">
        <v>0</v>
      </c>
      <c r="H978">
        <f>(ORDERS[[#This Row],[UnitsOrdered]]*ORDERS[[#This Row],[unit price]])-(ORDERS[[#This Row],[UnitsOrdered]]*ORDERS[[#This Row],[unit price]]*ORDERS[[#This Row],[Discount]])</f>
        <v>2948</v>
      </c>
      <c r="I978" t="str">
        <f>VLOOKUP(ORDERS[[#This Row],[CustomerID]],customers[],2,FALSE)</f>
        <v>A Shirts Life</v>
      </c>
      <c r="J978" s="2" t="str">
        <f>VLOOKUP(ORDERS[[#This Row],[CustomerID]],customers[],4,FALSE)</f>
        <v>Portland</v>
      </c>
      <c r="K978" s="2" t="str">
        <f>VLOOKUP(ORDERS[[#This Row],[ProductID]],Products[],3,FALSE)</f>
        <v>Both</v>
      </c>
      <c r="L978" s="2">
        <f>DAY(ORDERS[[#This Row],[OrderDate]])</f>
        <v>19</v>
      </c>
      <c r="M978" s="2">
        <f>YEAR(ORDERS[[#This Row],[OrderDate]])</f>
        <v>2014</v>
      </c>
    </row>
    <row r="979" spans="1:13" x14ac:dyDescent="0.3">
      <c r="A979">
        <v>978</v>
      </c>
      <c r="B979">
        <v>5</v>
      </c>
      <c r="C979">
        <v>2</v>
      </c>
      <c r="D979" s="1">
        <v>41689</v>
      </c>
      <c r="E979">
        <v>122</v>
      </c>
      <c r="F979">
        <f>VLOOKUP(ORDERS[[#This Row],[ProductID]],Products[],4,FALSE)</f>
        <v>30</v>
      </c>
      <c r="G979">
        <v>0</v>
      </c>
      <c r="H979">
        <f>(ORDERS[[#This Row],[UnitsOrdered]]*ORDERS[[#This Row],[unit price]])-(ORDERS[[#This Row],[UnitsOrdered]]*ORDERS[[#This Row],[unit price]]*ORDERS[[#This Row],[Discount]])</f>
        <v>3660</v>
      </c>
      <c r="I979" t="str">
        <f>VLOOKUP(ORDERS[[#This Row],[CustomerID]],customers[],2,FALSE)</f>
        <v>Rags to Riches</v>
      </c>
      <c r="J979" s="2" t="str">
        <f>VLOOKUP(ORDERS[[#This Row],[CustomerID]],customers[],4,FALSE)</f>
        <v>Las Vegas</v>
      </c>
      <c r="K979" s="2" t="str">
        <f>VLOOKUP(ORDERS[[#This Row],[ProductID]],Products[],3,FALSE)</f>
        <v>Both</v>
      </c>
      <c r="L979" s="2">
        <f>DAY(ORDERS[[#This Row],[OrderDate]])</f>
        <v>19</v>
      </c>
      <c r="M979" s="2">
        <f>YEAR(ORDERS[[#This Row],[OrderDate]])</f>
        <v>2014</v>
      </c>
    </row>
    <row r="980" spans="1:13" x14ac:dyDescent="0.3">
      <c r="A980">
        <v>979</v>
      </c>
      <c r="B980">
        <v>6</v>
      </c>
      <c r="C980">
        <v>3</v>
      </c>
      <c r="D980" s="1">
        <v>41689</v>
      </c>
      <c r="E980">
        <v>78</v>
      </c>
      <c r="F980">
        <f>VLOOKUP(ORDERS[[#This Row],[ProductID]],Products[],4,FALSE)</f>
        <v>22</v>
      </c>
      <c r="G980">
        <v>0</v>
      </c>
      <c r="H980">
        <f>(ORDERS[[#This Row],[UnitsOrdered]]*ORDERS[[#This Row],[unit price]])-(ORDERS[[#This Row],[UnitsOrdered]]*ORDERS[[#This Row],[unit price]]*ORDERS[[#This Row],[Discount]])</f>
        <v>1716</v>
      </c>
      <c r="I980" t="str">
        <f>VLOOKUP(ORDERS[[#This Row],[CustomerID]],customers[],2,FALSE)</f>
        <v>Abracadaba Ink</v>
      </c>
      <c r="J980" s="2" t="str">
        <f>VLOOKUP(ORDERS[[#This Row],[CustomerID]],customers[],4,FALSE)</f>
        <v>Salt Lake City</v>
      </c>
      <c r="K980" s="2" t="str">
        <f>VLOOKUP(ORDERS[[#This Row],[ProductID]],Products[],3,FALSE)</f>
        <v>Both</v>
      </c>
      <c r="L980" s="2">
        <f>DAY(ORDERS[[#This Row],[OrderDate]])</f>
        <v>19</v>
      </c>
      <c r="M980" s="2">
        <f>YEAR(ORDERS[[#This Row],[OrderDate]])</f>
        <v>2014</v>
      </c>
    </row>
    <row r="981" spans="1:13" x14ac:dyDescent="0.3">
      <c r="A981">
        <v>980</v>
      </c>
      <c r="B981">
        <v>2</v>
      </c>
      <c r="C981">
        <v>3</v>
      </c>
      <c r="D981" s="1">
        <v>41690</v>
      </c>
      <c r="E981">
        <v>146</v>
      </c>
      <c r="F981">
        <f>VLOOKUP(ORDERS[[#This Row],[ProductID]],Products[],4,FALSE)</f>
        <v>22</v>
      </c>
      <c r="G981">
        <v>0</v>
      </c>
      <c r="H981">
        <f>(ORDERS[[#This Row],[UnitsOrdered]]*ORDERS[[#This Row],[unit price]])-(ORDERS[[#This Row],[UnitsOrdered]]*ORDERS[[#This Row],[unit price]]*ORDERS[[#This Row],[Discount]])</f>
        <v>3212</v>
      </c>
      <c r="I981" t="str">
        <f>VLOOKUP(ORDERS[[#This Row],[CustomerID]],customers[],2,FALSE)</f>
        <v>A Shirts Life</v>
      </c>
      <c r="J981" s="2" t="str">
        <f>VLOOKUP(ORDERS[[#This Row],[CustomerID]],customers[],4,FALSE)</f>
        <v>Portland</v>
      </c>
      <c r="K981" s="2" t="str">
        <f>VLOOKUP(ORDERS[[#This Row],[ProductID]],Products[],3,FALSE)</f>
        <v>Both</v>
      </c>
      <c r="L981" s="2">
        <f>DAY(ORDERS[[#This Row],[OrderDate]])</f>
        <v>20</v>
      </c>
      <c r="M981" s="2">
        <f>YEAR(ORDERS[[#This Row],[OrderDate]])</f>
        <v>2014</v>
      </c>
    </row>
    <row r="982" spans="1:13" x14ac:dyDescent="0.3">
      <c r="A982">
        <v>981</v>
      </c>
      <c r="B982">
        <v>4</v>
      </c>
      <c r="C982">
        <v>3</v>
      </c>
      <c r="D982" s="1">
        <v>41690</v>
      </c>
      <c r="E982">
        <v>85</v>
      </c>
      <c r="F982">
        <f>VLOOKUP(ORDERS[[#This Row],[ProductID]],Products[],4,FALSE)</f>
        <v>22</v>
      </c>
      <c r="G982">
        <v>0</v>
      </c>
      <c r="H982">
        <f>(ORDERS[[#This Row],[UnitsOrdered]]*ORDERS[[#This Row],[unit price]])-(ORDERS[[#This Row],[UnitsOrdered]]*ORDERS[[#This Row],[unit price]]*ORDERS[[#This Row],[Discount]])</f>
        <v>1870</v>
      </c>
      <c r="I982" t="str">
        <f>VLOOKUP(ORDERS[[#This Row],[CustomerID]],customers[],2,FALSE)</f>
        <v>Tshirt Unlimited</v>
      </c>
      <c r="J982" s="2" t="str">
        <f>VLOOKUP(ORDERS[[#This Row],[CustomerID]],customers[],4,FALSE)</f>
        <v>Phoenix</v>
      </c>
      <c r="K982" s="2" t="str">
        <f>VLOOKUP(ORDERS[[#This Row],[ProductID]],Products[],3,FALSE)</f>
        <v>Both</v>
      </c>
      <c r="L982" s="2">
        <f>DAY(ORDERS[[#This Row],[OrderDate]])</f>
        <v>20</v>
      </c>
      <c r="M982" s="2">
        <f>YEAR(ORDERS[[#This Row],[OrderDate]])</f>
        <v>2014</v>
      </c>
    </row>
    <row r="983" spans="1:13" x14ac:dyDescent="0.3">
      <c r="A983">
        <v>982</v>
      </c>
      <c r="B983">
        <v>2</v>
      </c>
      <c r="C983">
        <v>7</v>
      </c>
      <c r="D983" s="1">
        <v>41691</v>
      </c>
      <c r="E983">
        <v>68</v>
      </c>
      <c r="F983">
        <f>VLOOKUP(ORDERS[[#This Row],[ProductID]],Products[],4,FALSE)</f>
        <v>38</v>
      </c>
      <c r="G983">
        <v>0</v>
      </c>
      <c r="H983">
        <f>(ORDERS[[#This Row],[UnitsOrdered]]*ORDERS[[#This Row],[unit price]])-(ORDERS[[#This Row],[UnitsOrdered]]*ORDERS[[#This Row],[unit price]]*ORDERS[[#This Row],[Discount]])</f>
        <v>2584</v>
      </c>
      <c r="I983" t="str">
        <f>VLOOKUP(ORDERS[[#This Row],[CustomerID]],customers[],2,FALSE)</f>
        <v>A Shirts Life</v>
      </c>
      <c r="J983" s="2" t="str">
        <f>VLOOKUP(ORDERS[[#This Row],[CustomerID]],customers[],4,FALSE)</f>
        <v>Portland</v>
      </c>
      <c r="K983" s="2" t="str">
        <f>VLOOKUP(ORDERS[[#This Row],[ProductID]],Products[],3,FALSE)</f>
        <v>Female</v>
      </c>
      <c r="L983" s="2">
        <f>DAY(ORDERS[[#This Row],[OrderDate]])</f>
        <v>21</v>
      </c>
      <c r="M983" s="2">
        <f>YEAR(ORDERS[[#This Row],[OrderDate]])</f>
        <v>2014</v>
      </c>
    </row>
    <row r="984" spans="1:13" x14ac:dyDescent="0.3">
      <c r="A984">
        <v>983</v>
      </c>
      <c r="B984">
        <v>1</v>
      </c>
      <c r="C984">
        <v>8</v>
      </c>
      <c r="D984" s="1">
        <v>41692</v>
      </c>
      <c r="E984">
        <v>89</v>
      </c>
      <c r="F984">
        <f>VLOOKUP(ORDERS[[#This Row],[ProductID]],Products[],4,FALSE)</f>
        <v>27</v>
      </c>
      <c r="G984">
        <v>5.0000001000000002E-2</v>
      </c>
      <c r="H984">
        <f>(ORDERS[[#This Row],[UnitsOrdered]]*ORDERS[[#This Row],[unit price]])-(ORDERS[[#This Row],[UnitsOrdered]]*ORDERS[[#This Row],[unit price]]*ORDERS[[#This Row],[Discount]])</f>
        <v>2282.8499975969999</v>
      </c>
      <c r="I984" t="str">
        <f>VLOOKUP(ORDERS[[#This Row],[CustomerID]],customers[],2,FALSE)</f>
        <v>Threads</v>
      </c>
      <c r="J984" s="2" t="str">
        <f>VLOOKUP(ORDERS[[#This Row],[CustomerID]],customers[],4,FALSE)</f>
        <v>Seattle</v>
      </c>
      <c r="K984" s="2" t="str">
        <f>VLOOKUP(ORDERS[[#This Row],[ProductID]],Products[],3,FALSE)</f>
        <v>Female</v>
      </c>
      <c r="L984" s="2">
        <f>DAY(ORDERS[[#This Row],[OrderDate]])</f>
        <v>22</v>
      </c>
      <c r="M984" s="2">
        <f>YEAR(ORDERS[[#This Row],[OrderDate]])</f>
        <v>2014</v>
      </c>
    </row>
    <row r="985" spans="1:13" x14ac:dyDescent="0.3">
      <c r="A985">
        <v>984</v>
      </c>
      <c r="B985">
        <v>5</v>
      </c>
      <c r="C985">
        <v>9</v>
      </c>
      <c r="D985" s="1">
        <v>41692</v>
      </c>
      <c r="E985">
        <v>139</v>
      </c>
      <c r="F985">
        <f>VLOOKUP(ORDERS[[#This Row],[ProductID]],Products[],4,FALSE)</f>
        <v>25</v>
      </c>
      <c r="G985">
        <v>0</v>
      </c>
      <c r="H985">
        <f>(ORDERS[[#This Row],[UnitsOrdered]]*ORDERS[[#This Row],[unit price]])-(ORDERS[[#This Row],[UnitsOrdered]]*ORDERS[[#This Row],[unit price]]*ORDERS[[#This Row],[Discount]])</f>
        <v>3475</v>
      </c>
      <c r="I985" t="str">
        <f>VLOOKUP(ORDERS[[#This Row],[CustomerID]],customers[],2,FALSE)</f>
        <v>Rags to Riches</v>
      </c>
      <c r="J985" s="2" t="str">
        <f>VLOOKUP(ORDERS[[#This Row],[CustomerID]],customers[],4,FALSE)</f>
        <v>Las Vegas</v>
      </c>
      <c r="K985" s="2" t="str">
        <f>VLOOKUP(ORDERS[[#This Row],[ProductID]],Products[],3,FALSE)</f>
        <v>Male</v>
      </c>
      <c r="L985" s="2">
        <f>DAY(ORDERS[[#This Row],[OrderDate]])</f>
        <v>22</v>
      </c>
      <c r="M985" s="2">
        <f>YEAR(ORDERS[[#This Row],[OrderDate]])</f>
        <v>2014</v>
      </c>
    </row>
    <row r="986" spans="1:13" x14ac:dyDescent="0.3">
      <c r="A986">
        <v>985</v>
      </c>
      <c r="B986">
        <v>3</v>
      </c>
      <c r="C986">
        <v>3</v>
      </c>
      <c r="D986" s="1">
        <v>41694</v>
      </c>
      <c r="E986">
        <v>68</v>
      </c>
      <c r="F986">
        <f>VLOOKUP(ORDERS[[#This Row],[ProductID]],Products[],4,FALSE)</f>
        <v>22</v>
      </c>
      <c r="G986">
        <v>0</v>
      </c>
      <c r="H986">
        <f>(ORDERS[[#This Row],[UnitsOrdered]]*ORDERS[[#This Row],[unit price]])-(ORDERS[[#This Row],[UnitsOrdered]]*ORDERS[[#This Row],[unit price]]*ORDERS[[#This Row],[Discount]])</f>
        <v>1496</v>
      </c>
      <c r="I986" t="str">
        <f>VLOOKUP(ORDERS[[#This Row],[CustomerID]],customers[],2,FALSE)</f>
        <v>Shirts R Us</v>
      </c>
      <c r="J986" s="2" t="str">
        <f>VLOOKUP(ORDERS[[#This Row],[CustomerID]],customers[],4,FALSE)</f>
        <v>Los Angeles</v>
      </c>
      <c r="K986" s="2" t="str">
        <f>VLOOKUP(ORDERS[[#This Row],[ProductID]],Products[],3,FALSE)</f>
        <v>Both</v>
      </c>
      <c r="L986" s="2">
        <f>DAY(ORDERS[[#This Row],[OrderDate]])</f>
        <v>24</v>
      </c>
      <c r="M986" s="2">
        <f>YEAR(ORDERS[[#This Row],[OrderDate]])</f>
        <v>2014</v>
      </c>
    </row>
    <row r="987" spans="1:13" x14ac:dyDescent="0.3">
      <c r="A987">
        <v>986</v>
      </c>
      <c r="B987">
        <v>3</v>
      </c>
      <c r="C987">
        <v>7</v>
      </c>
      <c r="D987" s="1">
        <v>41694</v>
      </c>
      <c r="E987">
        <v>118</v>
      </c>
      <c r="F987">
        <f>VLOOKUP(ORDERS[[#This Row],[ProductID]],Products[],4,FALSE)</f>
        <v>38</v>
      </c>
      <c r="G987">
        <v>0</v>
      </c>
      <c r="H987">
        <f>(ORDERS[[#This Row],[UnitsOrdered]]*ORDERS[[#This Row],[unit price]])-(ORDERS[[#This Row],[UnitsOrdered]]*ORDERS[[#This Row],[unit price]]*ORDERS[[#This Row],[Discount]])</f>
        <v>4484</v>
      </c>
      <c r="I987" t="str">
        <f>VLOOKUP(ORDERS[[#This Row],[CustomerID]],customers[],2,FALSE)</f>
        <v>Shirts R Us</v>
      </c>
      <c r="J987" s="2" t="str">
        <f>VLOOKUP(ORDERS[[#This Row],[CustomerID]],customers[],4,FALSE)</f>
        <v>Los Angeles</v>
      </c>
      <c r="K987" s="2" t="str">
        <f>VLOOKUP(ORDERS[[#This Row],[ProductID]],Products[],3,FALSE)</f>
        <v>Female</v>
      </c>
      <c r="L987" s="2">
        <f>DAY(ORDERS[[#This Row],[OrderDate]])</f>
        <v>24</v>
      </c>
      <c r="M987" s="2">
        <f>YEAR(ORDERS[[#This Row],[OrderDate]])</f>
        <v>2014</v>
      </c>
    </row>
    <row r="988" spans="1:13" x14ac:dyDescent="0.3">
      <c r="A988">
        <v>987</v>
      </c>
      <c r="B988">
        <v>4</v>
      </c>
      <c r="C988">
        <v>4</v>
      </c>
      <c r="D988" s="1">
        <v>41694</v>
      </c>
      <c r="E988">
        <v>143</v>
      </c>
      <c r="F988">
        <f>VLOOKUP(ORDERS[[#This Row],[ProductID]],Products[],4,FALSE)</f>
        <v>30</v>
      </c>
      <c r="G988">
        <v>0</v>
      </c>
      <c r="H988">
        <f>(ORDERS[[#This Row],[UnitsOrdered]]*ORDERS[[#This Row],[unit price]])-(ORDERS[[#This Row],[UnitsOrdered]]*ORDERS[[#This Row],[unit price]]*ORDERS[[#This Row],[Discount]])</f>
        <v>4290</v>
      </c>
      <c r="I988" t="str">
        <f>VLOOKUP(ORDERS[[#This Row],[CustomerID]],customers[],2,FALSE)</f>
        <v>Tshirt Unlimited</v>
      </c>
      <c r="J988" s="2" t="str">
        <f>VLOOKUP(ORDERS[[#This Row],[CustomerID]],customers[],4,FALSE)</f>
        <v>Phoenix</v>
      </c>
      <c r="K988" s="2" t="str">
        <f>VLOOKUP(ORDERS[[#This Row],[ProductID]],Products[],3,FALSE)</f>
        <v>Both</v>
      </c>
      <c r="L988" s="2">
        <f>DAY(ORDERS[[#This Row],[OrderDate]])</f>
        <v>24</v>
      </c>
      <c r="M988" s="2">
        <f>YEAR(ORDERS[[#This Row],[OrderDate]])</f>
        <v>2014</v>
      </c>
    </row>
    <row r="989" spans="1:13" x14ac:dyDescent="0.3">
      <c r="A989">
        <v>988</v>
      </c>
      <c r="B989">
        <v>7</v>
      </c>
      <c r="C989">
        <v>6</v>
      </c>
      <c r="D989" s="1">
        <v>41695</v>
      </c>
      <c r="E989">
        <v>34</v>
      </c>
      <c r="F989">
        <f>VLOOKUP(ORDERS[[#This Row],[ProductID]],Products[],4,FALSE)</f>
        <v>28</v>
      </c>
      <c r="G989">
        <v>0</v>
      </c>
      <c r="H989">
        <f>(ORDERS[[#This Row],[UnitsOrdered]]*ORDERS[[#This Row],[unit price]])-(ORDERS[[#This Row],[UnitsOrdered]]*ORDERS[[#This Row],[unit price]]*ORDERS[[#This Row],[Discount]])</f>
        <v>952</v>
      </c>
      <c r="I989" t="str">
        <f>VLOOKUP(ORDERS[[#This Row],[CustomerID]],customers[],2,FALSE)</f>
        <v>The Shirt on Your Back</v>
      </c>
      <c r="J989" s="2" t="str">
        <f>VLOOKUP(ORDERS[[#This Row],[CustomerID]],customers[],4,FALSE)</f>
        <v>Bonners Ferry</v>
      </c>
      <c r="K989" s="2" t="str">
        <f>VLOOKUP(ORDERS[[#This Row],[ProductID]],Products[],3,FALSE)</f>
        <v>Female</v>
      </c>
      <c r="L989" s="2">
        <f>DAY(ORDERS[[#This Row],[OrderDate]])</f>
        <v>25</v>
      </c>
      <c r="M989" s="2">
        <f>YEAR(ORDERS[[#This Row],[OrderDate]])</f>
        <v>2014</v>
      </c>
    </row>
    <row r="990" spans="1:13" x14ac:dyDescent="0.3">
      <c r="A990">
        <v>989</v>
      </c>
      <c r="B990">
        <v>7</v>
      </c>
      <c r="C990">
        <v>1</v>
      </c>
      <c r="D990" s="1">
        <v>41696</v>
      </c>
      <c r="E990">
        <v>133</v>
      </c>
      <c r="F990">
        <f>VLOOKUP(ORDERS[[#This Row],[ProductID]],Products[],4,FALSE)</f>
        <v>20</v>
      </c>
      <c r="G990">
        <v>0</v>
      </c>
      <c r="H990">
        <f>(ORDERS[[#This Row],[UnitsOrdered]]*ORDERS[[#This Row],[unit price]])-(ORDERS[[#This Row],[UnitsOrdered]]*ORDERS[[#This Row],[unit price]]*ORDERS[[#This Row],[Discount]])</f>
        <v>2660</v>
      </c>
      <c r="I990" t="str">
        <f>VLOOKUP(ORDERS[[#This Row],[CustomerID]],customers[],2,FALSE)</f>
        <v>The Shirt on Your Back</v>
      </c>
      <c r="J990" s="2" t="str">
        <f>VLOOKUP(ORDERS[[#This Row],[CustomerID]],customers[],4,FALSE)</f>
        <v>Bonners Ferry</v>
      </c>
      <c r="K990" s="2" t="str">
        <f>VLOOKUP(ORDERS[[#This Row],[ProductID]],Products[],3,FALSE)</f>
        <v>Both</v>
      </c>
      <c r="L990" s="2">
        <f>DAY(ORDERS[[#This Row],[OrderDate]])</f>
        <v>26</v>
      </c>
      <c r="M990" s="2">
        <f>YEAR(ORDERS[[#This Row],[OrderDate]])</f>
        <v>2014</v>
      </c>
    </row>
    <row r="991" spans="1:13" x14ac:dyDescent="0.3">
      <c r="A991">
        <v>990</v>
      </c>
      <c r="B991">
        <v>3</v>
      </c>
      <c r="C991">
        <v>7</v>
      </c>
      <c r="D991" s="1">
        <v>41698</v>
      </c>
      <c r="E991">
        <v>135</v>
      </c>
      <c r="F991">
        <f>VLOOKUP(ORDERS[[#This Row],[ProductID]],Products[],4,FALSE)</f>
        <v>38</v>
      </c>
      <c r="G991">
        <v>0</v>
      </c>
      <c r="H991">
        <f>(ORDERS[[#This Row],[UnitsOrdered]]*ORDERS[[#This Row],[unit price]])-(ORDERS[[#This Row],[UnitsOrdered]]*ORDERS[[#This Row],[unit price]]*ORDERS[[#This Row],[Discount]])</f>
        <v>5130</v>
      </c>
      <c r="I991" t="str">
        <f>VLOOKUP(ORDERS[[#This Row],[CustomerID]],customers[],2,FALSE)</f>
        <v>Shirts R Us</v>
      </c>
      <c r="J991" s="2" t="str">
        <f>VLOOKUP(ORDERS[[#This Row],[CustomerID]],customers[],4,FALSE)</f>
        <v>Los Angeles</v>
      </c>
      <c r="K991" s="2" t="str">
        <f>VLOOKUP(ORDERS[[#This Row],[ProductID]],Products[],3,FALSE)</f>
        <v>Female</v>
      </c>
      <c r="L991" s="2">
        <f>DAY(ORDERS[[#This Row],[OrderDate]])</f>
        <v>28</v>
      </c>
      <c r="M991" s="2">
        <f>YEAR(ORDERS[[#This Row],[OrderDate]])</f>
        <v>2014</v>
      </c>
    </row>
    <row r="992" spans="1:13" x14ac:dyDescent="0.3">
      <c r="A992">
        <v>991</v>
      </c>
      <c r="B992">
        <v>5</v>
      </c>
      <c r="C992">
        <v>2</v>
      </c>
      <c r="D992" s="1">
        <v>41698</v>
      </c>
      <c r="E992">
        <v>99</v>
      </c>
      <c r="F992">
        <f>VLOOKUP(ORDERS[[#This Row],[ProductID]],Products[],4,FALSE)</f>
        <v>30</v>
      </c>
      <c r="G992">
        <v>0</v>
      </c>
      <c r="H992">
        <f>(ORDERS[[#This Row],[UnitsOrdered]]*ORDERS[[#This Row],[unit price]])-(ORDERS[[#This Row],[UnitsOrdered]]*ORDERS[[#This Row],[unit price]]*ORDERS[[#This Row],[Discount]])</f>
        <v>2970</v>
      </c>
      <c r="I992" t="str">
        <f>VLOOKUP(ORDERS[[#This Row],[CustomerID]],customers[],2,FALSE)</f>
        <v>Rags to Riches</v>
      </c>
      <c r="J992" s="2" t="str">
        <f>VLOOKUP(ORDERS[[#This Row],[CustomerID]],customers[],4,FALSE)</f>
        <v>Las Vegas</v>
      </c>
      <c r="K992" s="2" t="str">
        <f>VLOOKUP(ORDERS[[#This Row],[ProductID]],Products[],3,FALSE)</f>
        <v>Both</v>
      </c>
      <c r="L992" s="2">
        <f>DAY(ORDERS[[#This Row],[OrderDate]])</f>
        <v>28</v>
      </c>
      <c r="M992" s="2">
        <f>YEAR(ORDERS[[#This Row],[OrderDate]])</f>
        <v>2014</v>
      </c>
    </row>
    <row r="993" spans="1:13" x14ac:dyDescent="0.3">
      <c r="A993">
        <v>992</v>
      </c>
      <c r="B993">
        <v>3</v>
      </c>
      <c r="C993">
        <v>5</v>
      </c>
      <c r="D993" s="1">
        <v>41700</v>
      </c>
      <c r="E993">
        <v>149</v>
      </c>
      <c r="F993">
        <f>VLOOKUP(ORDERS[[#This Row],[ProductID]],Products[],4,FALSE)</f>
        <v>16</v>
      </c>
      <c r="G993">
        <v>0</v>
      </c>
      <c r="H993">
        <f>(ORDERS[[#This Row],[UnitsOrdered]]*ORDERS[[#This Row],[unit price]])-(ORDERS[[#This Row],[UnitsOrdered]]*ORDERS[[#This Row],[unit price]]*ORDERS[[#This Row],[Discount]])</f>
        <v>2384</v>
      </c>
      <c r="I993" t="str">
        <f>VLOOKUP(ORDERS[[#This Row],[CustomerID]],customers[],2,FALSE)</f>
        <v>Shirts R Us</v>
      </c>
      <c r="J993" s="2" t="str">
        <f>VLOOKUP(ORDERS[[#This Row],[CustomerID]],customers[],4,FALSE)</f>
        <v>Los Angeles</v>
      </c>
      <c r="K993" s="2" t="str">
        <f>VLOOKUP(ORDERS[[#This Row],[ProductID]],Products[],3,FALSE)</f>
        <v>Female</v>
      </c>
      <c r="L993" s="2">
        <f>DAY(ORDERS[[#This Row],[OrderDate]])</f>
        <v>2</v>
      </c>
      <c r="M993" s="2">
        <f>YEAR(ORDERS[[#This Row],[OrderDate]])</f>
        <v>2014</v>
      </c>
    </row>
    <row r="994" spans="1:13" x14ac:dyDescent="0.3">
      <c r="A994">
        <v>993</v>
      </c>
      <c r="B994">
        <v>4</v>
      </c>
      <c r="C994">
        <v>5</v>
      </c>
      <c r="D994" s="1">
        <v>41700</v>
      </c>
      <c r="E994">
        <v>92</v>
      </c>
      <c r="F994">
        <f>VLOOKUP(ORDERS[[#This Row],[ProductID]],Products[],4,FALSE)</f>
        <v>16</v>
      </c>
      <c r="G994">
        <v>5.0000001000000002E-2</v>
      </c>
      <c r="H994">
        <f>(ORDERS[[#This Row],[UnitsOrdered]]*ORDERS[[#This Row],[unit price]])-(ORDERS[[#This Row],[UnitsOrdered]]*ORDERS[[#This Row],[unit price]]*ORDERS[[#This Row],[Discount]])</f>
        <v>1398.399998528</v>
      </c>
      <c r="I994" t="str">
        <f>VLOOKUP(ORDERS[[#This Row],[CustomerID]],customers[],2,FALSE)</f>
        <v>Tshirt Unlimited</v>
      </c>
      <c r="J994" s="2" t="str">
        <f>VLOOKUP(ORDERS[[#This Row],[CustomerID]],customers[],4,FALSE)</f>
        <v>Phoenix</v>
      </c>
      <c r="K994" s="2" t="str">
        <f>VLOOKUP(ORDERS[[#This Row],[ProductID]],Products[],3,FALSE)</f>
        <v>Female</v>
      </c>
      <c r="L994" s="2">
        <f>DAY(ORDERS[[#This Row],[OrderDate]])</f>
        <v>2</v>
      </c>
      <c r="M994" s="2">
        <f>YEAR(ORDERS[[#This Row],[OrderDate]])</f>
        <v>2014</v>
      </c>
    </row>
    <row r="995" spans="1:13" x14ac:dyDescent="0.3">
      <c r="A995">
        <v>994</v>
      </c>
      <c r="B995">
        <v>1</v>
      </c>
      <c r="C995">
        <v>4</v>
      </c>
      <c r="D995" s="1">
        <v>41702</v>
      </c>
      <c r="E995">
        <v>71</v>
      </c>
      <c r="F995">
        <f>VLOOKUP(ORDERS[[#This Row],[ProductID]],Products[],4,FALSE)</f>
        <v>30</v>
      </c>
      <c r="G995">
        <v>0</v>
      </c>
      <c r="H995">
        <f>(ORDERS[[#This Row],[UnitsOrdered]]*ORDERS[[#This Row],[unit price]])-(ORDERS[[#This Row],[UnitsOrdered]]*ORDERS[[#This Row],[unit price]]*ORDERS[[#This Row],[Discount]])</f>
        <v>2130</v>
      </c>
      <c r="I995" t="str">
        <f>VLOOKUP(ORDERS[[#This Row],[CustomerID]],customers[],2,FALSE)</f>
        <v>Threads</v>
      </c>
      <c r="J995" s="2" t="str">
        <f>VLOOKUP(ORDERS[[#This Row],[CustomerID]],customers[],4,FALSE)</f>
        <v>Seattle</v>
      </c>
      <c r="K995" s="2" t="str">
        <f>VLOOKUP(ORDERS[[#This Row],[ProductID]],Products[],3,FALSE)</f>
        <v>Both</v>
      </c>
      <c r="L995" s="2">
        <f>DAY(ORDERS[[#This Row],[OrderDate]])</f>
        <v>4</v>
      </c>
      <c r="M995" s="2">
        <f>YEAR(ORDERS[[#This Row],[OrderDate]])</f>
        <v>2014</v>
      </c>
    </row>
    <row r="996" spans="1:13" x14ac:dyDescent="0.3">
      <c r="A996">
        <v>995</v>
      </c>
      <c r="B996">
        <v>1</v>
      </c>
      <c r="C996">
        <v>7</v>
      </c>
      <c r="D996" s="1">
        <v>41703</v>
      </c>
      <c r="E996">
        <v>31</v>
      </c>
      <c r="F996">
        <f>VLOOKUP(ORDERS[[#This Row],[ProductID]],Products[],4,FALSE)</f>
        <v>38</v>
      </c>
      <c r="G996">
        <v>0</v>
      </c>
      <c r="H996">
        <f>(ORDERS[[#This Row],[UnitsOrdered]]*ORDERS[[#This Row],[unit price]])-(ORDERS[[#This Row],[UnitsOrdered]]*ORDERS[[#This Row],[unit price]]*ORDERS[[#This Row],[Discount]])</f>
        <v>1178</v>
      </c>
      <c r="I996" t="str">
        <f>VLOOKUP(ORDERS[[#This Row],[CustomerID]],customers[],2,FALSE)</f>
        <v>Threads</v>
      </c>
      <c r="J996" s="2" t="str">
        <f>VLOOKUP(ORDERS[[#This Row],[CustomerID]],customers[],4,FALSE)</f>
        <v>Seattle</v>
      </c>
      <c r="K996" s="2" t="str">
        <f>VLOOKUP(ORDERS[[#This Row],[ProductID]],Products[],3,FALSE)</f>
        <v>Female</v>
      </c>
      <c r="L996" s="2">
        <f>DAY(ORDERS[[#This Row],[OrderDate]])</f>
        <v>5</v>
      </c>
      <c r="M996" s="2">
        <f>YEAR(ORDERS[[#This Row],[OrderDate]])</f>
        <v>2014</v>
      </c>
    </row>
    <row r="997" spans="1:13" x14ac:dyDescent="0.3">
      <c r="A997">
        <v>996</v>
      </c>
      <c r="B997">
        <v>4</v>
      </c>
      <c r="C997">
        <v>1</v>
      </c>
      <c r="D997" s="1">
        <v>41703</v>
      </c>
      <c r="E997">
        <v>121</v>
      </c>
      <c r="F997">
        <f>VLOOKUP(ORDERS[[#This Row],[ProductID]],Products[],4,FALSE)</f>
        <v>20</v>
      </c>
      <c r="G997">
        <v>0</v>
      </c>
      <c r="H997">
        <f>(ORDERS[[#This Row],[UnitsOrdered]]*ORDERS[[#This Row],[unit price]])-(ORDERS[[#This Row],[UnitsOrdered]]*ORDERS[[#This Row],[unit price]]*ORDERS[[#This Row],[Discount]])</f>
        <v>2420</v>
      </c>
      <c r="I997" t="str">
        <f>VLOOKUP(ORDERS[[#This Row],[CustomerID]],customers[],2,FALSE)</f>
        <v>Tshirt Unlimited</v>
      </c>
      <c r="J997" s="2" t="str">
        <f>VLOOKUP(ORDERS[[#This Row],[CustomerID]],customers[],4,FALSE)</f>
        <v>Phoenix</v>
      </c>
      <c r="K997" s="2" t="str">
        <f>VLOOKUP(ORDERS[[#This Row],[ProductID]],Products[],3,FALSE)</f>
        <v>Both</v>
      </c>
      <c r="L997" s="2">
        <f>DAY(ORDERS[[#This Row],[OrderDate]])</f>
        <v>5</v>
      </c>
      <c r="M997" s="2">
        <f>YEAR(ORDERS[[#This Row],[OrderDate]])</f>
        <v>2014</v>
      </c>
    </row>
    <row r="998" spans="1:13" x14ac:dyDescent="0.3">
      <c r="A998">
        <v>997</v>
      </c>
      <c r="B998">
        <v>1</v>
      </c>
      <c r="C998">
        <v>5</v>
      </c>
      <c r="D998" s="1">
        <v>41706</v>
      </c>
      <c r="E998">
        <v>121</v>
      </c>
      <c r="F998">
        <f>VLOOKUP(ORDERS[[#This Row],[ProductID]],Products[],4,FALSE)</f>
        <v>16</v>
      </c>
      <c r="G998">
        <v>0</v>
      </c>
      <c r="H998">
        <f>(ORDERS[[#This Row],[UnitsOrdered]]*ORDERS[[#This Row],[unit price]])-(ORDERS[[#This Row],[UnitsOrdered]]*ORDERS[[#This Row],[unit price]]*ORDERS[[#This Row],[Discount]])</f>
        <v>1936</v>
      </c>
      <c r="I998" t="str">
        <f>VLOOKUP(ORDERS[[#This Row],[CustomerID]],customers[],2,FALSE)</f>
        <v>Threads</v>
      </c>
      <c r="J998" s="2" t="str">
        <f>VLOOKUP(ORDERS[[#This Row],[CustomerID]],customers[],4,FALSE)</f>
        <v>Seattle</v>
      </c>
      <c r="K998" s="2" t="str">
        <f>VLOOKUP(ORDERS[[#This Row],[ProductID]],Products[],3,FALSE)</f>
        <v>Female</v>
      </c>
      <c r="L998" s="2">
        <f>DAY(ORDERS[[#This Row],[OrderDate]])</f>
        <v>8</v>
      </c>
      <c r="M998" s="2">
        <f>YEAR(ORDERS[[#This Row],[OrderDate]])</f>
        <v>2014</v>
      </c>
    </row>
    <row r="999" spans="1:13" x14ac:dyDescent="0.3">
      <c r="A999">
        <v>998</v>
      </c>
      <c r="B999">
        <v>6</v>
      </c>
      <c r="C999">
        <v>6</v>
      </c>
      <c r="D999" s="1">
        <v>41709</v>
      </c>
      <c r="E999">
        <v>60</v>
      </c>
      <c r="F999">
        <f>VLOOKUP(ORDERS[[#This Row],[ProductID]],Products[],4,FALSE)</f>
        <v>28</v>
      </c>
      <c r="G999">
        <v>0</v>
      </c>
      <c r="H999">
        <f>(ORDERS[[#This Row],[UnitsOrdered]]*ORDERS[[#This Row],[unit price]])-(ORDERS[[#This Row],[UnitsOrdered]]*ORDERS[[#This Row],[unit price]]*ORDERS[[#This Row],[Discount]])</f>
        <v>1680</v>
      </c>
      <c r="I999" t="str">
        <f>VLOOKUP(ORDERS[[#This Row],[CustomerID]],customers[],2,FALSE)</f>
        <v>Abracadaba Ink</v>
      </c>
      <c r="J999" s="2" t="str">
        <f>VLOOKUP(ORDERS[[#This Row],[CustomerID]],customers[],4,FALSE)</f>
        <v>Salt Lake City</v>
      </c>
      <c r="K999" s="2" t="str">
        <f>VLOOKUP(ORDERS[[#This Row],[ProductID]],Products[],3,FALSE)</f>
        <v>Female</v>
      </c>
      <c r="L999" s="2">
        <f>DAY(ORDERS[[#This Row],[OrderDate]])</f>
        <v>11</v>
      </c>
      <c r="M999" s="2">
        <f>YEAR(ORDERS[[#This Row],[OrderDate]])</f>
        <v>2014</v>
      </c>
    </row>
    <row r="1000" spans="1:13" x14ac:dyDescent="0.3">
      <c r="A1000">
        <v>999</v>
      </c>
      <c r="B1000">
        <v>6</v>
      </c>
      <c r="C1000">
        <v>5</v>
      </c>
      <c r="D1000" s="1">
        <v>41712</v>
      </c>
      <c r="E1000">
        <v>48</v>
      </c>
      <c r="F1000">
        <f>VLOOKUP(ORDERS[[#This Row],[ProductID]],Products[],4,FALSE)</f>
        <v>16</v>
      </c>
      <c r="G1000">
        <v>0</v>
      </c>
      <c r="H1000">
        <f>(ORDERS[[#This Row],[UnitsOrdered]]*ORDERS[[#This Row],[unit price]])-(ORDERS[[#This Row],[UnitsOrdered]]*ORDERS[[#This Row],[unit price]]*ORDERS[[#This Row],[Discount]])</f>
        <v>768</v>
      </c>
      <c r="I1000" t="str">
        <f>VLOOKUP(ORDERS[[#This Row],[CustomerID]],customers[],2,FALSE)</f>
        <v>Abracadaba Ink</v>
      </c>
      <c r="J1000" s="2" t="str">
        <f>VLOOKUP(ORDERS[[#This Row],[CustomerID]],customers[],4,FALSE)</f>
        <v>Salt Lake City</v>
      </c>
      <c r="K1000" s="2" t="str">
        <f>VLOOKUP(ORDERS[[#This Row],[ProductID]],Products[],3,FALSE)</f>
        <v>Female</v>
      </c>
      <c r="L1000" s="2">
        <f>DAY(ORDERS[[#This Row],[OrderDate]])</f>
        <v>14</v>
      </c>
      <c r="M1000" s="2">
        <f>YEAR(ORDERS[[#This Row],[OrderDate]])</f>
        <v>2014</v>
      </c>
    </row>
    <row r="1001" spans="1:13" x14ac:dyDescent="0.3">
      <c r="A1001">
        <v>1000</v>
      </c>
      <c r="B1001">
        <v>7</v>
      </c>
      <c r="C1001">
        <v>3</v>
      </c>
      <c r="D1001" s="1">
        <v>41712</v>
      </c>
      <c r="E1001">
        <v>92</v>
      </c>
      <c r="F1001">
        <f>VLOOKUP(ORDERS[[#This Row],[ProductID]],Products[],4,FALSE)</f>
        <v>22</v>
      </c>
      <c r="G1001">
        <v>0</v>
      </c>
      <c r="H1001">
        <f>(ORDERS[[#This Row],[UnitsOrdered]]*ORDERS[[#This Row],[unit price]])-(ORDERS[[#This Row],[UnitsOrdered]]*ORDERS[[#This Row],[unit price]]*ORDERS[[#This Row],[Discount]])</f>
        <v>2024</v>
      </c>
      <c r="I1001" t="str">
        <f>VLOOKUP(ORDERS[[#This Row],[CustomerID]],customers[],2,FALSE)</f>
        <v>The Shirt on Your Back</v>
      </c>
      <c r="J1001" s="2" t="str">
        <f>VLOOKUP(ORDERS[[#This Row],[CustomerID]],customers[],4,FALSE)</f>
        <v>Bonners Ferry</v>
      </c>
      <c r="K1001" s="2" t="str">
        <f>VLOOKUP(ORDERS[[#This Row],[ProductID]],Products[],3,FALSE)</f>
        <v>Both</v>
      </c>
      <c r="L1001" s="2">
        <f>DAY(ORDERS[[#This Row],[OrderDate]])</f>
        <v>14</v>
      </c>
      <c r="M1001" s="2">
        <f>YEAR(ORDERS[[#This Row],[OrderDate]])</f>
        <v>2014</v>
      </c>
    </row>
    <row r="1002" spans="1:13" x14ac:dyDescent="0.3">
      <c r="A1002">
        <v>1001</v>
      </c>
      <c r="B1002">
        <v>1</v>
      </c>
      <c r="C1002">
        <v>1</v>
      </c>
      <c r="D1002" s="1">
        <v>41713</v>
      </c>
      <c r="E1002">
        <v>133</v>
      </c>
      <c r="F1002">
        <f>VLOOKUP(ORDERS[[#This Row],[ProductID]],Products[],4,FALSE)</f>
        <v>20</v>
      </c>
      <c r="G1002">
        <v>0</v>
      </c>
      <c r="H1002">
        <f>(ORDERS[[#This Row],[UnitsOrdered]]*ORDERS[[#This Row],[unit price]])-(ORDERS[[#This Row],[UnitsOrdered]]*ORDERS[[#This Row],[unit price]]*ORDERS[[#This Row],[Discount]])</f>
        <v>2660</v>
      </c>
      <c r="I1002" t="str">
        <f>VLOOKUP(ORDERS[[#This Row],[CustomerID]],customers[],2,FALSE)</f>
        <v>Threads</v>
      </c>
      <c r="J1002" s="2" t="str">
        <f>VLOOKUP(ORDERS[[#This Row],[CustomerID]],customers[],4,FALSE)</f>
        <v>Seattle</v>
      </c>
      <c r="K1002" s="2" t="str">
        <f>VLOOKUP(ORDERS[[#This Row],[ProductID]],Products[],3,FALSE)</f>
        <v>Both</v>
      </c>
      <c r="L1002" s="2">
        <f>DAY(ORDERS[[#This Row],[OrderDate]])</f>
        <v>15</v>
      </c>
      <c r="M1002" s="2">
        <f>YEAR(ORDERS[[#This Row],[OrderDate]])</f>
        <v>2014</v>
      </c>
    </row>
    <row r="1003" spans="1:13" x14ac:dyDescent="0.3">
      <c r="A1003">
        <v>1002</v>
      </c>
      <c r="B1003">
        <v>1</v>
      </c>
      <c r="C1003">
        <v>6</v>
      </c>
      <c r="D1003" s="1">
        <v>41713</v>
      </c>
      <c r="E1003">
        <v>112</v>
      </c>
      <c r="F1003">
        <f>VLOOKUP(ORDERS[[#This Row],[ProductID]],Products[],4,FALSE)</f>
        <v>28</v>
      </c>
      <c r="G1003">
        <v>5.0000001000000002E-2</v>
      </c>
      <c r="H1003">
        <f>(ORDERS[[#This Row],[UnitsOrdered]]*ORDERS[[#This Row],[unit price]])-(ORDERS[[#This Row],[UnitsOrdered]]*ORDERS[[#This Row],[unit price]]*ORDERS[[#This Row],[Discount]])</f>
        <v>2979.1999968639998</v>
      </c>
      <c r="I1003" t="str">
        <f>VLOOKUP(ORDERS[[#This Row],[CustomerID]],customers[],2,FALSE)</f>
        <v>Threads</v>
      </c>
      <c r="J1003" s="2" t="str">
        <f>VLOOKUP(ORDERS[[#This Row],[CustomerID]],customers[],4,FALSE)</f>
        <v>Seattle</v>
      </c>
      <c r="K1003" s="2" t="str">
        <f>VLOOKUP(ORDERS[[#This Row],[ProductID]],Products[],3,FALSE)</f>
        <v>Female</v>
      </c>
      <c r="L1003" s="2">
        <f>DAY(ORDERS[[#This Row],[OrderDate]])</f>
        <v>15</v>
      </c>
      <c r="M1003" s="2">
        <f>YEAR(ORDERS[[#This Row],[OrderDate]])</f>
        <v>2014</v>
      </c>
    </row>
    <row r="1004" spans="1:13" x14ac:dyDescent="0.3">
      <c r="A1004">
        <v>1003</v>
      </c>
      <c r="B1004">
        <v>1</v>
      </c>
      <c r="C1004">
        <v>10</v>
      </c>
      <c r="D1004" s="1">
        <v>41713</v>
      </c>
      <c r="E1004">
        <v>59</v>
      </c>
      <c r="F1004">
        <f>VLOOKUP(ORDERS[[#This Row],[ProductID]],Products[],4,FALSE)</f>
        <v>35</v>
      </c>
      <c r="G1004">
        <v>0</v>
      </c>
      <c r="H1004">
        <f>(ORDERS[[#This Row],[UnitsOrdered]]*ORDERS[[#This Row],[unit price]])-(ORDERS[[#This Row],[UnitsOrdered]]*ORDERS[[#This Row],[unit price]]*ORDERS[[#This Row],[Discount]])</f>
        <v>2065</v>
      </c>
      <c r="I1004" t="str">
        <f>VLOOKUP(ORDERS[[#This Row],[CustomerID]],customers[],2,FALSE)</f>
        <v>Threads</v>
      </c>
      <c r="J1004" s="2" t="str">
        <f>VLOOKUP(ORDERS[[#This Row],[CustomerID]],customers[],4,FALSE)</f>
        <v>Seattle</v>
      </c>
      <c r="K1004" s="2" t="str">
        <f>VLOOKUP(ORDERS[[#This Row],[ProductID]],Products[],3,FALSE)</f>
        <v>Male</v>
      </c>
      <c r="L1004" s="2">
        <f>DAY(ORDERS[[#This Row],[OrderDate]])</f>
        <v>15</v>
      </c>
      <c r="M1004" s="2">
        <f>YEAR(ORDERS[[#This Row],[OrderDate]])</f>
        <v>2014</v>
      </c>
    </row>
    <row r="1005" spans="1:13" x14ac:dyDescent="0.3">
      <c r="A1005">
        <v>1004</v>
      </c>
      <c r="B1005">
        <v>4</v>
      </c>
      <c r="C1005">
        <v>2</v>
      </c>
      <c r="D1005" s="1">
        <v>41713</v>
      </c>
      <c r="E1005">
        <v>96</v>
      </c>
      <c r="F1005">
        <f>VLOOKUP(ORDERS[[#This Row],[ProductID]],Products[],4,FALSE)</f>
        <v>30</v>
      </c>
      <c r="G1005">
        <v>0</v>
      </c>
      <c r="H1005">
        <f>(ORDERS[[#This Row],[UnitsOrdered]]*ORDERS[[#This Row],[unit price]])-(ORDERS[[#This Row],[UnitsOrdered]]*ORDERS[[#This Row],[unit price]]*ORDERS[[#This Row],[Discount]])</f>
        <v>2880</v>
      </c>
      <c r="I1005" t="str">
        <f>VLOOKUP(ORDERS[[#This Row],[CustomerID]],customers[],2,FALSE)</f>
        <v>Tshirt Unlimited</v>
      </c>
      <c r="J1005" s="2" t="str">
        <f>VLOOKUP(ORDERS[[#This Row],[CustomerID]],customers[],4,FALSE)</f>
        <v>Phoenix</v>
      </c>
      <c r="K1005" s="2" t="str">
        <f>VLOOKUP(ORDERS[[#This Row],[ProductID]],Products[],3,FALSE)</f>
        <v>Both</v>
      </c>
      <c r="L1005" s="2">
        <f>DAY(ORDERS[[#This Row],[OrderDate]])</f>
        <v>15</v>
      </c>
      <c r="M1005" s="2">
        <f>YEAR(ORDERS[[#This Row],[OrderDate]])</f>
        <v>2014</v>
      </c>
    </row>
    <row r="1006" spans="1:13" x14ac:dyDescent="0.3">
      <c r="A1006">
        <v>1005</v>
      </c>
      <c r="B1006">
        <v>4</v>
      </c>
      <c r="C1006">
        <v>5</v>
      </c>
      <c r="D1006" s="1">
        <v>41713</v>
      </c>
      <c r="E1006">
        <v>73</v>
      </c>
      <c r="F1006">
        <f>VLOOKUP(ORDERS[[#This Row],[ProductID]],Products[],4,FALSE)</f>
        <v>16</v>
      </c>
      <c r="G1006">
        <v>5.0000001000000002E-2</v>
      </c>
      <c r="H1006">
        <f>(ORDERS[[#This Row],[UnitsOrdered]]*ORDERS[[#This Row],[unit price]])-(ORDERS[[#This Row],[UnitsOrdered]]*ORDERS[[#This Row],[unit price]]*ORDERS[[#This Row],[Discount]])</f>
        <v>1109.599998832</v>
      </c>
      <c r="I1006" t="str">
        <f>VLOOKUP(ORDERS[[#This Row],[CustomerID]],customers[],2,FALSE)</f>
        <v>Tshirt Unlimited</v>
      </c>
      <c r="J1006" s="2" t="str">
        <f>VLOOKUP(ORDERS[[#This Row],[CustomerID]],customers[],4,FALSE)</f>
        <v>Phoenix</v>
      </c>
      <c r="K1006" s="2" t="str">
        <f>VLOOKUP(ORDERS[[#This Row],[ProductID]],Products[],3,FALSE)</f>
        <v>Female</v>
      </c>
      <c r="L1006" s="2">
        <f>DAY(ORDERS[[#This Row],[OrderDate]])</f>
        <v>15</v>
      </c>
      <c r="M1006" s="2">
        <f>YEAR(ORDERS[[#This Row],[OrderDate]])</f>
        <v>2014</v>
      </c>
    </row>
    <row r="1007" spans="1:13" x14ac:dyDescent="0.3">
      <c r="A1007">
        <v>1006</v>
      </c>
      <c r="B1007">
        <v>7</v>
      </c>
      <c r="C1007">
        <v>1</v>
      </c>
      <c r="D1007" s="1">
        <v>41713</v>
      </c>
      <c r="E1007">
        <v>103</v>
      </c>
      <c r="F1007">
        <f>VLOOKUP(ORDERS[[#This Row],[ProductID]],Products[],4,FALSE)</f>
        <v>20</v>
      </c>
      <c r="G1007">
        <v>0</v>
      </c>
      <c r="H1007">
        <f>(ORDERS[[#This Row],[UnitsOrdered]]*ORDERS[[#This Row],[unit price]])-(ORDERS[[#This Row],[UnitsOrdered]]*ORDERS[[#This Row],[unit price]]*ORDERS[[#This Row],[Discount]])</f>
        <v>2060</v>
      </c>
      <c r="I1007" t="str">
        <f>VLOOKUP(ORDERS[[#This Row],[CustomerID]],customers[],2,FALSE)</f>
        <v>The Shirt on Your Back</v>
      </c>
      <c r="J1007" s="2" t="str">
        <f>VLOOKUP(ORDERS[[#This Row],[CustomerID]],customers[],4,FALSE)</f>
        <v>Bonners Ferry</v>
      </c>
      <c r="K1007" s="2" t="str">
        <f>VLOOKUP(ORDERS[[#This Row],[ProductID]],Products[],3,FALSE)</f>
        <v>Both</v>
      </c>
      <c r="L1007" s="2">
        <f>DAY(ORDERS[[#This Row],[OrderDate]])</f>
        <v>15</v>
      </c>
      <c r="M1007" s="2">
        <f>YEAR(ORDERS[[#This Row],[OrderDate]])</f>
        <v>2014</v>
      </c>
    </row>
    <row r="1008" spans="1:13" x14ac:dyDescent="0.3">
      <c r="A1008">
        <v>1007</v>
      </c>
      <c r="B1008">
        <v>2</v>
      </c>
      <c r="C1008">
        <v>7</v>
      </c>
      <c r="D1008" s="1">
        <v>41716</v>
      </c>
      <c r="E1008">
        <v>135</v>
      </c>
      <c r="F1008">
        <f>VLOOKUP(ORDERS[[#This Row],[ProductID]],Products[],4,FALSE)</f>
        <v>38</v>
      </c>
      <c r="G1008">
        <v>0</v>
      </c>
      <c r="H1008">
        <f>(ORDERS[[#This Row],[UnitsOrdered]]*ORDERS[[#This Row],[unit price]])-(ORDERS[[#This Row],[UnitsOrdered]]*ORDERS[[#This Row],[unit price]]*ORDERS[[#This Row],[Discount]])</f>
        <v>5130</v>
      </c>
      <c r="I1008" t="str">
        <f>VLOOKUP(ORDERS[[#This Row],[CustomerID]],customers[],2,FALSE)</f>
        <v>A Shirts Life</v>
      </c>
      <c r="J1008" s="2" t="str">
        <f>VLOOKUP(ORDERS[[#This Row],[CustomerID]],customers[],4,FALSE)</f>
        <v>Portland</v>
      </c>
      <c r="K1008" s="2" t="str">
        <f>VLOOKUP(ORDERS[[#This Row],[ProductID]],Products[],3,FALSE)</f>
        <v>Female</v>
      </c>
      <c r="L1008" s="2">
        <f>DAY(ORDERS[[#This Row],[OrderDate]])</f>
        <v>18</v>
      </c>
      <c r="M1008" s="2">
        <f>YEAR(ORDERS[[#This Row],[OrderDate]])</f>
        <v>2014</v>
      </c>
    </row>
    <row r="1009" spans="1:13" x14ac:dyDescent="0.3">
      <c r="A1009">
        <v>1008</v>
      </c>
      <c r="B1009">
        <v>3</v>
      </c>
      <c r="C1009">
        <v>10</v>
      </c>
      <c r="D1009" s="1">
        <v>41716</v>
      </c>
      <c r="E1009">
        <v>26</v>
      </c>
      <c r="F1009">
        <f>VLOOKUP(ORDERS[[#This Row],[ProductID]],Products[],4,FALSE)</f>
        <v>35</v>
      </c>
      <c r="G1009">
        <v>0</v>
      </c>
      <c r="H1009">
        <f>(ORDERS[[#This Row],[UnitsOrdered]]*ORDERS[[#This Row],[unit price]])-(ORDERS[[#This Row],[UnitsOrdered]]*ORDERS[[#This Row],[unit price]]*ORDERS[[#This Row],[Discount]])</f>
        <v>910</v>
      </c>
      <c r="I1009" t="str">
        <f>VLOOKUP(ORDERS[[#This Row],[CustomerID]],customers[],2,FALSE)</f>
        <v>Shirts R Us</v>
      </c>
      <c r="J1009" s="2" t="str">
        <f>VLOOKUP(ORDERS[[#This Row],[CustomerID]],customers[],4,FALSE)</f>
        <v>Los Angeles</v>
      </c>
      <c r="K1009" s="2" t="str">
        <f>VLOOKUP(ORDERS[[#This Row],[ProductID]],Products[],3,FALSE)</f>
        <v>Male</v>
      </c>
      <c r="L1009" s="2">
        <f>DAY(ORDERS[[#This Row],[OrderDate]])</f>
        <v>18</v>
      </c>
      <c r="M1009" s="2">
        <f>YEAR(ORDERS[[#This Row],[OrderDate]])</f>
        <v>2014</v>
      </c>
    </row>
    <row r="1010" spans="1:13" x14ac:dyDescent="0.3">
      <c r="A1010">
        <v>1009</v>
      </c>
      <c r="B1010">
        <v>4</v>
      </c>
      <c r="C1010">
        <v>5</v>
      </c>
      <c r="D1010" s="1">
        <v>41716</v>
      </c>
      <c r="E1010">
        <v>52</v>
      </c>
      <c r="F1010">
        <f>VLOOKUP(ORDERS[[#This Row],[ProductID]],Products[],4,FALSE)</f>
        <v>16</v>
      </c>
      <c r="G1010">
        <v>0</v>
      </c>
      <c r="H1010">
        <f>(ORDERS[[#This Row],[UnitsOrdered]]*ORDERS[[#This Row],[unit price]])-(ORDERS[[#This Row],[UnitsOrdered]]*ORDERS[[#This Row],[unit price]]*ORDERS[[#This Row],[Discount]])</f>
        <v>832</v>
      </c>
      <c r="I1010" t="str">
        <f>VLOOKUP(ORDERS[[#This Row],[CustomerID]],customers[],2,FALSE)</f>
        <v>Tshirt Unlimited</v>
      </c>
      <c r="J1010" s="2" t="str">
        <f>VLOOKUP(ORDERS[[#This Row],[CustomerID]],customers[],4,FALSE)</f>
        <v>Phoenix</v>
      </c>
      <c r="K1010" s="2" t="str">
        <f>VLOOKUP(ORDERS[[#This Row],[ProductID]],Products[],3,FALSE)</f>
        <v>Female</v>
      </c>
      <c r="L1010" s="2">
        <f>DAY(ORDERS[[#This Row],[OrderDate]])</f>
        <v>18</v>
      </c>
      <c r="M1010" s="2">
        <f>YEAR(ORDERS[[#This Row],[OrderDate]])</f>
        <v>2014</v>
      </c>
    </row>
    <row r="1011" spans="1:13" x14ac:dyDescent="0.3">
      <c r="A1011">
        <v>1010</v>
      </c>
      <c r="B1011">
        <v>5</v>
      </c>
      <c r="C1011">
        <v>2</v>
      </c>
      <c r="D1011" s="1">
        <v>41717</v>
      </c>
      <c r="E1011">
        <v>117</v>
      </c>
      <c r="F1011">
        <f>VLOOKUP(ORDERS[[#This Row],[ProductID]],Products[],4,FALSE)</f>
        <v>30</v>
      </c>
      <c r="G1011">
        <v>0</v>
      </c>
      <c r="H1011">
        <f>(ORDERS[[#This Row],[UnitsOrdered]]*ORDERS[[#This Row],[unit price]])-(ORDERS[[#This Row],[UnitsOrdered]]*ORDERS[[#This Row],[unit price]]*ORDERS[[#This Row],[Discount]])</f>
        <v>3510</v>
      </c>
      <c r="I1011" t="str">
        <f>VLOOKUP(ORDERS[[#This Row],[CustomerID]],customers[],2,FALSE)</f>
        <v>Rags to Riches</v>
      </c>
      <c r="J1011" s="2" t="str">
        <f>VLOOKUP(ORDERS[[#This Row],[CustomerID]],customers[],4,FALSE)</f>
        <v>Las Vegas</v>
      </c>
      <c r="K1011" s="2" t="str">
        <f>VLOOKUP(ORDERS[[#This Row],[ProductID]],Products[],3,FALSE)</f>
        <v>Both</v>
      </c>
      <c r="L1011" s="2">
        <f>DAY(ORDERS[[#This Row],[OrderDate]])</f>
        <v>19</v>
      </c>
      <c r="M1011" s="2">
        <f>YEAR(ORDERS[[#This Row],[OrderDate]])</f>
        <v>2014</v>
      </c>
    </row>
    <row r="1012" spans="1:13" x14ac:dyDescent="0.3">
      <c r="A1012">
        <v>1011</v>
      </c>
      <c r="B1012">
        <v>5</v>
      </c>
      <c r="C1012">
        <v>6</v>
      </c>
      <c r="D1012" s="1">
        <v>41717</v>
      </c>
      <c r="E1012">
        <v>118</v>
      </c>
      <c r="F1012">
        <f>VLOOKUP(ORDERS[[#This Row],[ProductID]],Products[],4,FALSE)</f>
        <v>28</v>
      </c>
      <c r="G1012">
        <v>0</v>
      </c>
      <c r="H1012">
        <f>(ORDERS[[#This Row],[UnitsOrdered]]*ORDERS[[#This Row],[unit price]])-(ORDERS[[#This Row],[UnitsOrdered]]*ORDERS[[#This Row],[unit price]]*ORDERS[[#This Row],[Discount]])</f>
        <v>3304</v>
      </c>
      <c r="I1012" t="str">
        <f>VLOOKUP(ORDERS[[#This Row],[CustomerID]],customers[],2,FALSE)</f>
        <v>Rags to Riches</v>
      </c>
      <c r="J1012" s="2" t="str">
        <f>VLOOKUP(ORDERS[[#This Row],[CustomerID]],customers[],4,FALSE)</f>
        <v>Las Vegas</v>
      </c>
      <c r="K1012" s="2" t="str">
        <f>VLOOKUP(ORDERS[[#This Row],[ProductID]],Products[],3,FALSE)</f>
        <v>Female</v>
      </c>
      <c r="L1012" s="2">
        <f>DAY(ORDERS[[#This Row],[OrderDate]])</f>
        <v>19</v>
      </c>
      <c r="M1012" s="2">
        <f>YEAR(ORDERS[[#This Row],[OrderDate]])</f>
        <v>2014</v>
      </c>
    </row>
    <row r="1013" spans="1:13" x14ac:dyDescent="0.3">
      <c r="A1013">
        <v>1012</v>
      </c>
      <c r="B1013">
        <v>7</v>
      </c>
      <c r="C1013">
        <v>2</v>
      </c>
      <c r="D1013" s="1">
        <v>41718</v>
      </c>
      <c r="E1013">
        <v>85</v>
      </c>
      <c r="F1013">
        <f>VLOOKUP(ORDERS[[#This Row],[ProductID]],Products[],4,FALSE)</f>
        <v>30</v>
      </c>
      <c r="G1013">
        <v>0.15000000599999999</v>
      </c>
      <c r="H1013">
        <f>(ORDERS[[#This Row],[UnitsOrdered]]*ORDERS[[#This Row],[unit price]])-(ORDERS[[#This Row],[UnitsOrdered]]*ORDERS[[#This Row],[unit price]]*ORDERS[[#This Row],[Discount]])</f>
        <v>2167.4999846999999</v>
      </c>
      <c r="I1013" t="str">
        <f>VLOOKUP(ORDERS[[#This Row],[CustomerID]],customers[],2,FALSE)</f>
        <v>The Shirt on Your Back</v>
      </c>
      <c r="J1013" s="2" t="str">
        <f>VLOOKUP(ORDERS[[#This Row],[CustomerID]],customers[],4,FALSE)</f>
        <v>Bonners Ferry</v>
      </c>
      <c r="K1013" s="2" t="str">
        <f>VLOOKUP(ORDERS[[#This Row],[ProductID]],Products[],3,FALSE)</f>
        <v>Both</v>
      </c>
      <c r="L1013" s="2">
        <f>DAY(ORDERS[[#This Row],[OrderDate]])</f>
        <v>20</v>
      </c>
      <c r="M1013" s="2">
        <f>YEAR(ORDERS[[#This Row],[OrderDate]])</f>
        <v>2014</v>
      </c>
    </row>
    <row r="1014" spans="1:13" x14ac:dyDescent="0.3">
      <c r="A1014">
        <v>1013</v>
      </c>
      <c r="B1014">
        <v>2</v>
      </c>
      <c r="C1014">
        <v>5</v>
      </c>
      <c r="D1014" s="1">
        <v>41719</v>
      </c>
      <c r="E1014">
        <v>28</v>
      </c>
      <c r="F1014">
        <f>VLOOKUP(ORDERS[[#This Row],[ProductID]],Products[],4,FALSE)</f>
        <v>16</v>
      </c>
      <c r="G1014">
        <v>0</v>
      </c>
      <c r="H1014">
        <f>(ORDERS[[#This Row],[UnitsOrdered]]*ORDERS[[#This Row],[unit price]])-(ORDERS[[#This Row],[UnitsOrdered]]*ORDERS[[#This Row],[unit price]]*ORDERS[[#This Row],[Discount]])</f>
        <v>448</v>
      </c>
      <c r="I1014" t="str">
        <f>VLOOKUP(ORDERS[[#This Row],[CustomerID]],customers[],2,FALSE)</f>
        <v>A Shirts Life</v>
      </c>
      <c r="J1014" s="2" t="str">
        <f>VLOOKUP(ORDERS[[#This Row],[CustomerID]],customers[],4,FALSE)</f>
        <v>Portland</v>
      </c>
      <c r="K1014" s="2" t="str">
        <f>VLOOKUP(ORDERS[[#This Row],[ProductID]],Products[],3,FALSE)</f>
        <v>Female</v>
      </c>
      <c r="L1014" s="2">
        <f>DAY(ORDERS[[#This Row],[OrderDate]])</f>
        <v>21</v>
      </c>
      <c r="M1014" s="2">
        <f>YEAR(ORDERS[[#This Row],[OrderDate]])</f>
        <v>2014</v>
      </c>
    </row>
    <row r="1015" spans="1:13" x14ac:dyDescent="0.3">
      <c r="A1015">
        <v>1014</v>
      </c>
      <c r="B1015">
        <v>7</v>
      </c>
      <c r="C1015">
        <v>7</v>
      </c>
      <c r="D1015" s="1">
        <v>41719</v>
      </c>
      <c r="E1015">
        <v>65</v>
      </c>
      <c r="F1015">
        <f>VLOOKUP(ORDERS[[#This Row],[ProductID]],Products[],4,FALSE)</f>
        <v>38</v>
      </c>
      <c r="G1015">
        <v>0</v>
      </c>
      <c r="H1015">
        <f>(ORDERS[[#This Row],[UnitsOrdered]]*ORDERS[[#This Row],[unit price]])-(ORDERS[[#This Row],[UnitsOrdered]]*ORDERS[[#This Row],[unit price]]*ORDERS[[#This Row],[Discount]])</f>
        <v>2470</v>
      </c>
      <c r="I1015" t="str">
        <f>VLOOKUP(ORDERS[[#This Row],[CustomerID]],customers[],2,FALSE)</f>
        <v>The Shirt on Your Back</v>
      </c>
      <c r="J1015" s="2" t="str">
        <f>VLOOKUP(ORDERS[[#This Row],[CustomerID]],customers[],4,FALSE)</f>
        <v>Bonners Ferry</v>
      </c>
      <c r="K1015" s="2" t="str">
        <f>VLOOKUP(ORDERS[[#This Row],[ProductID]],Products[],3,FALSE)</f>
        <v>Female</v>
      </c>
      <c r="L1015" s="2">
        <f>DAY(ORDERS[[#This Row],[OrderDate]])</f>
        <v>21</v>
      </c>
      <c r="M1015" s="2">
        <f>YEAR(ORDERS[[#This Row],[OrderDate]])</f>
        <v>2014</v>
      </c>
    </row>
    <row r="1016" spans="1:13" x14ac:dyDescent="0.3">
      <c r="A1016">
        <v>1015</v>
      </c>
      <c r="B1016">
        <v>1</v>
      </c>
      <c r="C1016">
        <v>3</v>
      </c>
      <c r="D1016" s="1">
        <v>41721</v>
      </c>
      <c r="E1016">
        <v>120</v>
      </c>
      <c r="F1016">
        <f>VLOOKUP(ORDERS[[#This Row],[ProductID]],Products[],4,FALSE)</f>
        <v>22</v>
      </c>
      <c r="G1016">
        <v>0</v>
      </c>
      <c r="H1016">
        <f>(ORDERS[[#This Row],[UnitsOrdered]]*ORDERS[[#This Row],[unit price]])-(ORDERS[[#This Row],[UnitsOrdered]]*ORDERS[[#This Row],[unit price]]*ORDERS[[#This Row],[Discount]])</f>
        <v>2640</v>
      </c>
      <c r="I1016" t="str">
        <f>VLOOKUP(ORDERS[[#This Row],[CustomerID]],customers[],2,FALSE)</f>
        <v>Threads</v>
      </c>
      <c r="J1016" s="2" t="str">
        <f>VLOOKUP(ORDERS[[#This Row],[CustomerID]],customers[],4,FALSE)</f>
        <v>Seattle</v>
      </c>
      <c r="K1016" s="2" t="str">
        <f>VLOOKUP(ORDERS[[#This Row],[ProductID]],Products[],3,FALSE)</f>
        <v>Both</v>
      </c>
      <c r="L1016" s="2">
        <f>DAY(ORDERS[[#This Row],[OrderDate]])</f>
        <v>23</v>
      </c>
      <c r="M1016" s="2">
        <f>YEAR(ORDERS[[#This Row],[OrderDate]])</f>
        <v>2014</v>
      </c>
    </row>
    <row r="1017" spans="1:13" x14ac:dyDescent="0.3">
      <c r="A1017">
        <v>1016</v>
      </c>
      <c r="B1017">
        <v>6</v>
      </c>
      <c r="C1017">
        <v>8</v>
      </c>
      <c r="D1017" s="1">
        <v>41721</v>
      </c>
      <c r="E1017">
        <v>70</v>
      </c>
      <c r="F1017">
        <f>VLOOKUP(ORDERS[[#This Row],[ProductID]],Products[],4,FALSE)</f>
        <v>27</v>
      </c>
      <c r="G1017">
        <v>0</v>
      </c>
      <c r="H1017">
        <f>(ORDERS[[#This Row],[UnitsOrdered]]*ORDERS[[#This Row],[unit price]])-(ORDERS[[#This Row],[UnitsOrdered]]*ORDERS[[#This Row],[unit price]]*ORDERS[[#This Row],[Discount]])</f>
        <v>1890</v>
      </c>
      <c r="I1017" t="str">
        <f>VLOOKUP(ORDERS[[#This Row],[CustomerID]],customers[],2,FALSE)</f>
        <v>Abracadaba Ink</v>
      </c>
      <c r="J1017" s="2" t="str">
        <f>VLOOKUP(ORDERS[[#This Row],[CustomerID]],customers[],4,FALSE)</f>
        <v>Salt Lake City</v>
      </c>
      <c r="K1017" s="2" t="str">
        <f>VLOOKUP(ORDERS[[#This Row],[ProductID]],Products[],3,FALSE)</f>
        <v>Female</v>
      </c>
      <c r="L1017" s="2">
        <f>DAY(ORDERS[[#This Row],[OrderDate]])</f>
        <v>23</v>
      </c>
      <c r="M1017" s="2">
        <f>YEAR(ORDERS[[#This Row],[OrderDate]])</f>
        <v>2014</v>
      </c>
    </row>
    <row r="1018" spans="1:13" x14ac:dyDescent="0.3">
      <c r="A1018">
        <v>1017</v>
      </c>
      <c r="B1018">
        <v>7</v>
      </c>
      <c r="C1018">
        <v>8</v>
      </c>
      <c r="D1018" s="1">
        <v>41721</v>
      </c>
      <c r="E1018">
        <v>146</v>
      </c>
      <c r="F1018">
        <f>VLOOKUP(ORDERS[[#This Row],[ProductID]],Products[],4,FALSE)</f>
        <v>27</v>
      </c>
      <c r="G1018">
        <v>0</v>
      </c>
      <c r="H1018">
        <f>(ORDERS[[#This Row],[UnitsOrdered]]*ORDERS[[#This Row],[unit price]])-(ORDERS[[#This Row],[UnitsOrdered]]*ORDERS[[#This Row],[unit price]]*ORDERS[[#This Row],[Discount]])</f>
        <v>3942</v>
      </c>
      <c r="I1018" t="str">
        <f>VLOOKUP(ORDERS[[#This Row],[CustomerID]],customers[],2,FALSE)</f>
        <v>The Shirt on Your Back</v>
      </c>
      <c r="J1018" s="2" t="str">
        <f>VLOOKUP(ORDERS[[#This Row],[CustomerID]],customers[],4,FALSE)</f>
        <v>Bonners Ferry</v>
      </c>
      <c r="K1018" s="2" t="str">
        <f>VLOOKUP(ORDERS[[#This Row],[ProductID]],Products[],3,FALSE)</f>
        <v>Female</v>
      </c>
      <c r="L1018" s="2">
        <f>DAY(ORDERS[[#This Row],[OrderDate]])</f>
        <v>23</v>
      </c>
      <c r="M1018" s="2">
        <f>YEAR(ORDERS[[#This Row],[OrderDate]])</f>
        <v>2014</v>
      </c>
    </row>
    <row r="1019" spans="1:13" x14ac:dyDescent="0.3">
      <c r="A1019">
        <v>1018</v>
      </c>
      <c r="B1019">
        <v>1</v>
      </c>
      <c r="C1019">
        <v>3</v>
      </c>
      <c r="D1019" s="1">
        <v>41723</v>
      </c>
      <c r="E1019">
        <v>81</v>
      </c>
      <c r="F1019">
        <f>VLOOKUP(ORDERS[[#This Row],[ProductID]],Products[],4,FALSE)</f>
        <v>22</v>
      </c>
      <c r="G1019">
        <v>0</v>
      </c>
      <c r="H1019">
        <f>(ORDERS[[#This Row],[UnitsOrdered]]*ORDERS[[#This Row],[unit price]])-(ORDERS[[#This Row],[UnitsOrdered]]*ORDERS[[#This Row],[unit price]]*ORDERS[[#This Row],[Discount]])</f>
        <v>1782</v>
      </c>
      <c r="I1019" t="str">
        <f>VLOOKUP(ORDERS[[#This Row],[CustomerID]],customers[],2,FALSE)</f>
        <v>Threads</v>
      </c>
      <c r="J1019" s="2" t="str">
        <f>VLOOKUP(ORDERS[[#This Row],[CustomerID]],customers[],4,FALSE)</f>
        <v>Seattle</v>
      </c>
      <c r="K1019" s="2" t="str">
        <f>VLOOKUP(ORDERS[[#This Row],[ProductID]],Products[],3,FALSE)</f>
        <v>Both</v>
      </c>
      <c r="L1019" s="2">
        <f>DAY(ORDERS[[#This Row],[OrderDate]])</f>
        <v>25</v>
      </c>
      <c r="M1019" s="2">
        <f>YEAR(ORDERS[[#This Row],[OrderDate]])</f>
        <v>2014</v>
      </c>
    </row>
    <row r="1020" spans="1:13" x14ac:dyDescent="0.3">
      <c r="A1020">
        <v>1019</v>
      </c>
      <c r="B1020">
        <v>6</v>
      </c>
      <c r="C1020">
        <v>10</v>
      </c>
      <c r="D1020" s="1">
        <v>41723</v>
      </c>
      <c r="E1020">
        <v>132</v>
      </c>
      <c r="F1020">
        <f>VLOOKUP(ORDERS[[#This Row],[ProductID]],Products[],4,FALSE)</f>
        <v>35</v>
      </c>
      <c r="G1020">
        <v>0.10000000100000001</v>
      </c>
      <c r="H1020">
        <f>(ORDERS[[#This Row],[UnitsOrdered]]*ORDERS[[#This Row],[unit price]])-(ORDERS[[#This Row],[UnitsOrdered]]*ORDERS[[#This Row],[unit price]]*ORDERS[[#This Row],[Discount]])</f>
        <v>4157.9999953799997</v>
      </c>
      <c r="I1020" t="str">
        <f>VLOOKUP(ORDERS[[#This Row],[CustomerID]],customers[],2,FALSE)</f>
        <v>Abracadaba Ink</v>
      </c>
      <c r="J1020" s="2" t="str">
        <f>VLOOKUP(ORDERS[[#This Row],[CustomerID]],customers[],4,FALSE)</f>
        <v>Salt Lake City</v>
      </c>
      <c r="K1020" s="2" t="str">
        <f>VLOOKUP(ORDERS[[#This Row],[ProductID]],Products[],3,FALSE)</f>
        <v>Male</v>
      </c>
      <c r="L1020" s="2">
        <f>DAY(ORDERS[[#This Row],[OrderDate]])</f>
        <v>25</v>
      </c>
      <c r="M1020" s="2">
        <f>YEAR(ORDERS[[#This Row],[OrderDate]])</f>
        <v>2014</v>
      </c>
    </row>
    <row r="1021" spans="1:13" x14ac:dyDescent="0.3">
      <c r="A1021">
        <v>1020</v>
      </c>
      <c r="B1021">
        <v>3</v>
      </c>
      <c r="C1021">
        <v>4</v>
      </c>
      <c r="D1021" s="1">
        <v>41724</v>
      </c>
      <c r="E1021">
        <v>34</v>
      </c>
      <c r="F1021">
        <f>VLOOKUP(ORDERS[[#This Row],[ProductID]],Products[],4,FALSE)</f>
        <v>30</v>
      </c>
      <c r="G1021">
        <v>0</v>
      </c>
      <c r="H1021">
        <f>(ORDERS[[#This Row],[UnitsOrdered]]*ORDERS[[#This Row],[unit price]])-(ORDERS[[#This Row],[UnitsOrdered]]*ORDERS[[#This Row],[unit price]]*ORDERS[[#This Row],[Discount]])</f>
        <v>1020</v>
      </c>
      <c r="I1021" t="str">
        <f>VLOOKUP(ORDERS[[#This Row],[CustomerID]],customers[],2,FALSE)</f>
        <v>Shirts R Us</v>
      </c>
      <c r="J1021" s="2" t="str">
        <f>VLOOKUP(ORDERS[[#This Row],[CustomerID]],customers[],4,FALSE)</f>
        <v>Los Angeles</v>
      </c>
      <c r="K1021" s="2" t="str">
        <f>VLOOKUP(ORDERS[[#This Row],[ProductID]],Products[],3,FALSE)</f>
        <v>Both</v>
      </c>
      <c r="L1021" s="2">
        <f>DAY(ORDERS[[#This Row],[OrderDate]])</f>
        <v>26</v>
      </c>
      <c r="M1021" s="2">
        <f>YEAR(ORDERS[[#This Row],[OrderDate]])</f>
        <v>2014</v>
      </c>
    </row>
    <row r="1022" spans="1:13" x14ac:dyDescent="0.3">
      <c r="A1022">
        <v>1021</v>
      </c>
      <c r="B1022">
        <v>7</v>
      </c>
      <c r="C1022">
        <v>4</v>
      </c>
      <c r="D1022" s="1">
        <v>41724</v>
      </c>
      <c r="E1022">
        <v>48</v>
      </c>
      <c r="F1022">
        <f>VLOOKUP(ORDERS[[#This Row],[ProductID]],Products[],4,FALSE)</f>
        <v>30</v>
      </c>
      <c r="G1022">
        <v>0</v>
      </c>
      <c r="H1022">
        <f>(ORDERS[[#This Row],[UnitsOrdered]]*ORDERS[[#This Row],[unit price]])-(ORDERS[[#This Row],[UnitsOrdered]]*ORDERS[[#This Row],[unit price]]*ORDERS[[#This Row],[Discount]])</f>
        <v>1440</v>
      </c>
      <c r="I1022" t="str">
        <f>VLOOKUP(ORDERS[[#This Row],[CustomerID]],customers[],2,FALSE)</f>
        <v>The Shirt on Your Back</v>
      </c>
      <c r="J1022" s="2" t="str">
        <f>VLOOKUP(ORDERS[[#This Row],[CustomerID]],customers[],4,FALSE)</f>
        <v>Bonners Ferry</v>
      </c>
      <c r="K1022" s="2" t="str">
        <f>VLOOKUP(ORDERS[[#This Row],[ProductID]],Products[],3,FALSE)</f>
        <v>Both</v>
      </c>
      <c r="L1022" s="2">
        <f>DAY(ORDERS[[#This Row],[OrderDate]])</f>
        <v>26</v>
      </c>
      <c r="M1022" s="2">
        <f>YEAR(ORDERS[[#This Row],[OrderDate]])</f>
        <v>2014</v>
      </c>
    </row>
    <row r="1023" spans="1:13" x14ac:dyDescent="0.3">
      <c r="A1023">
        <v>1022</v>
      </c>
      <c r="B1023">
        <v>3</v>
      </c>
      <c r="C1023">
        <v>2</v>
      </c>
      <c r="D1023" s="1">
        <v>41725</v>
      </c>
      <c r="E1023">
        <v>71</v>
      </c>
      <c r="F1023">
        <f>VLOOKUP(ORDERS[[#This Row],[ProductID]],Products[],4,FALSE)</f>
        <v>30</v>
      </c>
      <c r="G1023">
        <v>5.0000001000000002E-2</v>
      </c>
      <c r="H1023">
        <f>(ORDERS[[#This Row],[UnitsOrdered]]*ORDERS[[#This Row],[unit price]])-(ORDERS[[#This Row],[UnitsOrdered]]*ORDERS[[#This Row],[unit price]]*ORDERS[[#This Row],[Discount]])</f>
        <v>2023.49999787</v>
      </c>
      <c r="I1023" t="str">
        <f>VLOOKUP(ORDERS[[#This Row],[CustomerID]],customers[],2,FALSE)</f>
        <v>Shirts R Us</v>
      </c>
      <c r="J1023" s="2" t="str">
        <f>VLOOKUP(ORDERS[[#This Row],[CustomerID]],customers[],4,FALSE)</f>
        <v>Los Angeles</v>
      </c>
      <c r="K1023" s="2" t="str">
        <f>VLOOKUP(ORDERS[[#This Row],[ProductID]],Products[],3,FALSE)</f>
        <v>Both</v>
      </c>
      <c r="L1023" s="2">
        <f>DAY(ORDERS[[#This Row],[OrderDate]])</f>
        <v>27</v>
      </c>
      <c r="M1023" s="2">
        <f>YEAR(ORDERS[[#This Row],[OrderDate]])</f>
        <v>2014</v>
      </c>
    </row>
    <row r="1024" spans="1:13" x14ac:dyDescent="0.3">
      <c r="A1024">
        <v>1023</v>
      </c>
      <c r="B1024">
        <v>6</v>
      </c>
      <c r="C1024">
        <v>1</v>
      </c>
      <c r="D1024" s="1">
        <v>41725</v>
      </c>
      <c r="E1024">
        <v>117</v>
      </c>
      <c r="F1024">
        <f>VLOOKUP(ORDERS[[#This Row],[ProductID]],Products[],4,FALSE)</f>
        <v>20</v>
      </c>
      <c r="G1024">
        <v>0</v>
      </c>
      <c r="H1024">
        <f>(ORDERS[[#This Row],[UnitsOrdered]]*ORDERS[[#This Row],[unit price]])-(ORDERS[[#This Row],[UnitsOrdered]]*ORDERS[[#This Row],[unit price]]*ORDERS[[#This Row],[Discount]])</f>
        <v>2340</v>
      </c>
      <c r="I1024" t="str">
        <f>VLOOKUP(ORDERS[[#This Row],[CustomerID]],customers[],2,FALSE)</f>
        <v>Abracadaba Ink</v>
      </c>
      <c r="J1024" s="2" t="str">
        <f>VLOOKUP(ORDERS[[#This Row],[CustomerID]],customers[],4,FALSE)</f>
        <v>Salt Lake City</v>
      </c>
      <c r="K1024" s="2" t="str">
        <f>VLOOKUP(ORDERS[[#This Row],[ProductID]],Products[],3,FALSE)</f>
        <v>Both</v>
      </c>
      <c r="L1024" s="2">
        <f>DAY(ORDERS[[#This Row],[OrderDate]])</f>
        <v>27</v>
      </c>
      <c r="M1024" s="2">
        <f>YEAR(ORDERS[[#This Row],[OrderDate]])</f>
        <v>2014</v>
      </c>
    </row>
    <row r="1025" spans="1:13" x14ac:dyDescent="0.3">
      <c r="A1025">
        <v>1024</v>
      </c>
      <c r="B1025">
        <v>2</v>
      </c>
      <c r="C1025">
        <v>5</v>
      </c>
      <c r="D1025" s="1">
        <v>41728</v>
      </c>
      <c r="E1025">
        <v>84</v>
      </c>
      <c r="F1025">
        <f>VLOOKUP(ORDERS[[#This Row],[ProductID]],Products[],4,FALSE)</f>
        <v>16</v>
      </c>
      <c r="G1025">
        <v>0</v>
      </c>
      <c r="H1025">
        <f>(ORDERS[[#This Row],[UnitsOrdered]]*ORDERS[[#This Row],[unit price]])-(ORDERS[[#This Row],[UnitsOrdered]]*ORDERS[[#This Row],[unit price]]*ORDERS[[#This Row],[Discount]])</f>
        <v>1344</v>
      </c>
      <c r="I1025" t="str">
        <f>VLOOKUP(ORDERS[[#This Row],[CustomerID]],customers[],2,FALSE)</f>
        <v>A Shirts Life</v>
      </c>
      <c r="J1025" s="2" t="str">
        <f>VLOOKUP(ORDERS[[#This Row],[CustomerID]],customers[],4,FALSE)</f>
        <v>Portland</v>
      </c>
      <c r="K1025" s="2" t="str">
        <f>VLOOKUP(ORDERS[[#This Row],[ProductID]],Products[],3,FALSE)</f>
        <v>Female</v>
      </c>
      <c r="L1025" s="2">
        <f>DAY(ORDERS[[#This Row],[OrderDate]])</f>
        <v>30</v>
      </c>
      <c r="M1025" s="2">
        <f>YEAR(ORDERS[[#This Row],[OrderDate]])</f>
        <v>2014</v>
      </c>
    </row>
    <row r="1026" spans="1:13" x14ac:dyDescent="0.3">
      <c r="A1026">
        <v>1025</v>
      </c>
      <c r="B1026">
        <v>5</v>
      </c>
      <c r="C1026">
        <v>1</v>
      </c>
      <c r="D1026" s="1">
        <v>41728</v>
      </c>
      <c r="E1026">
        <v>135</v>
      </c>
      <c r="F1026">
        <f>VLOOKUP(ORDERS[[#This Row],[ProductID]],Products[],4,FALSE)</f>
        <v>20</v>
      </c>
      <c r="G1026">
        <v>0.10000000100000001</v>
      </c>
      <c r="H1026">
        <f>(ORDERS[[#This Row],[UnitsOrdered]]*ORDERS[[#This Row],[unit price]])-(ORDERS[[#This Row],[UnitsOrdered]]*ORDERS[[#This Row],[unit price]]*ORDERS[[#This Row],[Discount]])</f>
        <v>2429.9999972999999</v>
      </c>
      <c r="I1026" t="str">
        <f>VLOOKUP(ORDERS[[#This Row],[CustomerID]],customers[],2,FALSE)</f>
        <v>Rags to Riches</v>
      </c>
      <c r="J1026" s="2" t="str">
        <f>VLOOKUP(ORDERS[[#This Row],[CustomerID]],customers[],4,FALSE)</f>
        <v>Las Vegas</v>
      </c>
      <c r="K1026" s="2" t="str">
        <f>VLOOKUP(ORDERS[[#This Row],[ProductID]],Products[],3,FALSE)</f>
        <v>Both</v>
      </c>
      <c r="L1026" s="2">
        <f>DAY(ORDERS[[#This Row],[OrderDate]])</f>
        <v>30</v>
      </c>
      <c r="M1026" s="2">
        <f>YEAR(ORDERS[[#This Row],[OrderDate]])</f>
        <v>2014</v>
      </c>
    </row>
    <row r="1027" spans="1:13" x14ac:dyDescent="0.3">
      <c r="A1027">
        <v>1026</v>
      </c>
      <c r="B1027">
        <v>7</v>
      </c>
      <c r="C1027">
        <v>1</v>
      </c>
      <c r="D1027" s="1">
        <v>41728</v>
      </c>
      <c r="E1027">
        <v>144</v>
      </c>
      <c r="F1027">
        <f>VLOOKUP(ORDERS[[#This Row],[ProductID]],Products[],4,FALSE)</f>
        <v>20</v>
      </c>
      <c r="G1027">
        <v>0</v>
      </c>
      <c r="H1027">
        <f>(ORDERS[[#This Row],[UnitsOrdered]]*ORDERS[[#This Row],[unit price]])-(ORDERS[[#This Row],[UnitsOrdered]]*ORDERS[[#This Row],[unit price]]*ORDERS[[#This Row],[Discount]])</f>
        <v>2880</v>
      </c>
      <c r="I1027" t="str">
        <f>VLOOKUP(ORDERS[[#This Row],[CustomerID]],customers[],2,FALSE)</f>
        <v>The Shirt on Your Back</v>
      </c>
      <c r="J1027" s="2" t="str">
        <f>VLOOKUP(ORDERS[[#This Row],[CustomerID]],customers[],4,FALSE)</f>
        <v>Bonners Ferry</v>
      </c>
      <c r="K1027" s="2" t="str">
        <f>VLOOKUP(ORDERS[[#This Row],[ProductID]],Products[],3,FALSE)</f>
        <v>Both</v>
      </c>
      <c r="L1027" s="2">
        <f>DAY(ORDERS[[#This Row],[OrderDate]])</f>
        <v>30</v>
      </c>
      <c r="M1027" s="2">
        <f>YEAR(ORDERS[[#This Row],[OrderDate]])</f>
        <v>2014</v>
      </c>
    </row>
    <row r="1028" spans="1:13" x14ac:dyDescent="0.3">
      <c r="A1028">
        <v>1027</v>
      </c>
      <c r="B1028">
        <v>6</v>
      </c>
      <c r="C1028">
        <v>4</v>
      </c>
      <c r="D1028" s="1">
        <v>41729</v>
      </c>
      <c r="E1028">
        <v>116</v>
      </c>
      <c r="F1028">
        <f>VLOOKUP(ORDERS[[#This Row],[ProductID]],Products[],4,FALSE)</f>
        <v>30</v>
      </c>
      <c r="G1028">
        <v>0</v>
      </c>
      <c r="H1028">
        <f>(ORDERS[[#This Row],[UnitsOrdered]]*ORDERS[[#This Row],[unit price]])-(ORDERS[[#This Row],[UnitsOrdered]]*ORDERS[[#This Row],[unit price]]*ORDERS[[#This Row],[Discount]])</f>
        <v>3480</v>
      </c>
      <c r="I1028" t="str">
        <f>VLOOKUP(ORDERS[[#This Row],[CustomerID]],customers[],2,FALSE)</f>
        <v>Abracadaba Ink</v>
      </c>
      <c r="J1028" s="2" t="str">
        <f>VLOOKUP(ORDERS[[#This Row],[CustomerID]],customers[],4,FALSE)</f>
        <v>Salt Lake City</v>
      </c>
      <c r="K1028" s="2" t="str">
        <f>VLOOKUP(ORDERS[[#This Row],[ProductID]],Products[],3,FALSE)</f>
        <v>Both</v>
      </c>
      <c r="L1028" s="2">
        <f>DAY(ORDERS[[#This Row],[OrderDate]])</f>
        <v>31</v>
      </c>
      <c r="M1028" s="2">
        <f>YEAR(ORDERS[[#This Row],[OrderDate]])</f>
        <v>2014</v>
      </c>
    </row>
    <row r="1029" spans="1:13" x14ac:dyDescent="0.3">
      <c r="A1029">
        <v>1028</v>
      </c>
      <c r="B1029">
        <v>1</v>
      </c>
      <c r="C1029">
        <v>7</v>
      </c>
      <c r="D1029" s="1">
        <v>41730</v>
      </c>
      <c r="E1029">
        <v>29</v>
      </c>
      <c r="F1029">
        <f>VLOOKUP(ORDERS[[#This Row],[ProductID]],Products[],4,FALSE)</f>
        <v>38</v>
      </c>
      <c r="G1029">
        <v>5.0000001000000002E-2</v>
      </c>
      <c r="H1029">
        <f>(ORDERS[[#This Row],[UnitsOrdered]]*ORDERS[[#This Row],[unit price]])-(ORDERS[[#This Row],[UnitsOrdered]]*ORDERS[[#This Row],[unit price]]*ORDERS[[#This Row],[Discount]])</f>
        <v>1046.8999988979999</v>
      </c>
      <c r="I1029" t="str">
        <f>VLOOKUP(ORDERS[[#This Row],[CustomerID]],customers[],2,FALSE)</f>
        <v>Threads</v>
      </c>
      <c r="J1029" s="2" t="str">
        <f>VLOOKUP(ORDERS[[#This Row],[CustomerID]],customers[],4,FALSE)</f>
        <v>Seattle</v>
      </c>
      <c r="K1029" s="2" t="str">
        <f>VLOOKUP(ORDERS[[#This Row],[ProductID]],Products[],3,FALSE)</f>
        <v>Female</v>
      </c>
      <c r="L1029" s="2">
        <f>DAY(ORDERS[[#This Row],[OrderDate]])</f>
        <v>1</v>
      </c>
      <c r="M1029" s="2">
        <f>YEAR(ORDERS[[#This Row],[OrderDate]])</f>
        <v>2014</v>
      </c>
    </row>
    <row r="1030" spans="1:13" x14ac:dyDescent="0.3">
      <c r="A1030">
        <v>1029</v>
      </c>
      <c r="B1030">
        <v>5</v>
      </c>
      <c r="C1030">
        <v>6</v>
      </c>
      <c r="D1030" s="1">
        <v>41730</v>
      </c>
      <c r="E1030">
        <v>43</v>
      </c>
      <c r="F1030">
        <f>VLOOKUP(ORDERS[[#This Row],[ProductID]],Products[],4,FALSE)</f>
        <v>28</v>
      </c>
      <c r="G1030">
        <v>0</v>
      </c>
      <c r="H1030">
        <f>(ORDERS[[#This Row],[UnitsOrdered]]*ORDERS[[#This Row],[unit price]])-(ORDERS[[#This Row],[UnitsOrdered]]*ORDERS[[#This Row],[unit price]]*ORDERS[[#This Row],[Discount]])</f>
        <v>1204</v>
      </c>
      <c r="I1030" t="str">
        <f>VLOOKUP(ORDERS[[#This Row],[CustomerID]],customers[],2,FALSE)</f>
        <v>Rags to Riches</v>
      </c>
      <c r="J1030" s="2" t="str">
        <f>VLOOKUP(ORDERS[[#This Row],[CustomerID]],customers[],4,FALSE)</f>
        <v>Las Vegas</v>
      </c>
      <c r="K1030" s="2" t="str">
        <f>VLOOKUP(ORDERS[[#This Row],[ProductID]],Products[],3,FALSE)</f>
        <v>Female</v>
      </c>
      <c r="L1030" s="2">
        <f>DAY(ORDERS[[#This Row],[OrderDate]])</f>
        <v>1</v>
      </c>
      <c r="M1030" s="2">
        <f>YEAR(ORDERS[[#This Row],[OrderDate]])</f>
        <v>2014</v>
      </c>
    </row>
    <row r="1031" spans="1:13" x14ac:dyDescent="0.3">
      <c r="A1031">
        <v>1030</v>
      </c>
      <c r="B1031">
        <v>5</v>
      </c>
      <c r="C1031">
        <v>9</v>
      </c>
      <c r="D1031" s="1">
        <v>41730</v>
      </c>
      <c r="E1031">
        <v>134</v>
      </c>
      <c r="F1031">
        <f>VLOOKUP(ORDERS[[#This Row],[ProductID]],Products[],4,FALSE)</f>
        <v>25</v>
      </c>
      <c r="G1031">
        <v>0</v>
      </c>
      <c r="H1031">
        <f>(ORDERS[[#This Row],[UnitsOrdered]]*ORDERS[[#This Row],[unit price]])-(ORDERS[[#This Row],[UnitsOrdered]]*ORDERS[[#This Row],[unit price]]*ORDERS[[#This Row],[Discount]])</f>
        <v>3350</v>
      </c>
      <c r="I1031" t="str">
        <f>VLOOKUP(ORDERS[[#This Row],[CustomerID]],customers[],2,FALSE)</f>
        <v>Rags to Riches</v>
      </c>
      <c r="J1031" s="2" t="str">
        <f>VLOOKUP(ORDERS[[#This Row],[CustomerID]],customers[],4,FALSE)</f>
        <v>Las Vegas</v>
      </c>
      <c r="K1031" s="2" t="str">
        <f>VLOOKUP(ORDERS[[#This Row],[ProductID]],Products[],3,FALSE)</f>
        <v>Male</v>
      </c>
      <c r="L1031" s="2">
        <f>DAY(ORDERS[[#This Row],[OrderDate]])</f>
        <v>1</v>
      </c>
      <c r="M1031" s="2">
        <f>YEAR(ORDERS[[#This Row],[OrderDate]])</f>
        <v>2014</v>
      </c>
    </row>
    <row r="1032" spans="1:13" x14ac:dyDescent="0.3">
      <c r="A1032">
        <v>1031</v>
      </c>
      <c r="B1032">
        <v>2</v>
      </c>
      <c r="C1032">
        <v>1</v>
      </c>
      <c r="D1032" s="1">
        <v>41731</v>
      </c>
      <c r="E1032">
        <v>125</v>
      </c>
      <c r="F1032">
        <f>VLOOKUP(ORDERS[[#This Row],[ProductID]],Products[],4,FALSE)</f>
        <v>20</v>
      </c>
      <c r="G1032">
        <v>0.10000000100000001</v>
      </c>
      <c r="H1032">
        <f>(ORDERS[[#This Row],[UnitsOrdered]]*ORDERS[[#This Row],[unit price]])-(ORDERS[[#This Row],[UnitsOrdered]]*ORDERS[[#This Row],[unit price]]*ORDERS[[#This Row],[Discount]])</f>
        <v>2249.9999975000001</v>
      </c>
      <c r="I1032" t="str">
        <f>VLOOKUP(ORDERS[[#This Row],[CustomerID]],customers[],2,FALSE)</f>
        <v>A Shirts Life</v>
      </c>
      <c r="J1032" s="2" t="str">
        <f>VLOOKUP(ORDERS[[#This Row],[CustomerID]],customers[],4,FALSE)</f>
        <v>Portland</v>
      </c>
      <c r="K1032" s="2" t="str">
        <f>VLOOKUP(ORDERS[[#This Row],[ProductID]],Products[],3,FALSE)</f>
        <v>Both</v>
      </c>
      <c r="L1032" s="2">
        <f>DAY(ORDERS[[#This Row],[OrderDate]])</f>
        <v>2</v>
      </c>
      <c r="M1032" s="2">
        <f>YEAR(ORDERS[[#This Row],[OrderDate]])</f>
        <v>2014</v>
      </c>
    </row>
    <row r="1033" spans="1:13" x14ac:dyDescent="0.3">
      <c r="A1033">
        <v>1032</v>
      </c>
      <c r="B1033">
        <v>6</v>
      </c>
      <c r="C1033">
        <v>2</v>
      </c>
      <c r="D1033" s="1">
        <v>41732</v>
      </c>
      <c r="E1033">
        <v>40</v>
      </c>
      <c r="F1033">
        <f>VLOOKUP(ORDERS[[#This Row],[ProductID]],Products[],4,FALSE)</f>
        <v>30</v>
      </c>
      <c r="G1033">
        <v>0</v>
      </c>
      <c r="H1033">
        <f>(ORDERS[[#This Row],[UnitsOrdered]]*ORDERS[[#This Row],[unit price]])-(ORDERS[[#This Row],[UnitsOrdered]]*ORDERS[[#This Row],[unit price]]*ORDERS[[#This Row],[Discount]])</f>
        <v>1200</v>
      </c>
      <c r="I1033" t="str">
        <f>VLOOKUP(ORDERS[[#This Row],[CustomerID]],customers[],2,FALSE)</f>
        <v>Abracadaba Ink</v>
      </c>
      <c r="J1033" s="2" t="str">
        <f>VLOOKUP(ORDERS[[#This Row],[CustomerID]],customers[],4,FALSE)</f>
        <v>Salt Lake City</v>
      </c>
      <c r="K1033" s="2" t="str">
        <f>VLOOKUP(ORDERS[[#This Row],[ProductID]],Products[],3,FALSE)</f>
        <v>Both</v>
      </c>
      <c r="L1033" s="2">
        <f>DAY(ORDERS[[#This Row],[OrderDate]])</f>
        <v>3</v>
      </c>
      <c r="M1033" s="2">
        <f>YEAR(ORDERS[[#This Row],[OrderDate]])</f>
        <v>2014</v>
      </c>
    </row>
    <row r="1034" spans="1:13" x14ac:dyDescent="0.3">
      <c r="A1034">
        <v>1033</v>
      </c>
      <c r="B1034">
        <v>7</v>
      </c>
      <c r="C1034">
        <v>3</v>
      </c>
      <c r="D1034" s="1">
        <v>41732</v>
      </c>
      <c r="E1034">
        <v>144</v>
      </c>
      <c r="F1034">
        <f>VLOOKUP(ORDERS[[#This Row],[ProductID]],Products[],4,FALSE)</f>
        <v>22</v>
      </c>
      <c r="G1034">
        <v>0</v>
      </c>
      <c r="H1034">
        <f>(ORDERS[[#This Row],[UnitsOrdered]]*ORDERS[[#This Row],[unit price]])-(ORDERS[[#This Row],[UnitsOrdered]]*ORDERS[[#This Row],[unit price]]*ORDERS[[#This Row],[Discount]])</f>
        <v>3168</v>
      </c>
      <c r="I1034" t="str">
        <f>VLOOKUP(ORDERS[[#This Row],[CustomerID]],customers[],2,FALSE)</f>
        <v>The Shirt on Your Back</v>
      </c>
      <c r="J1034" s="2" t="str">
        <f>VLOOKUP(ORDERS[[#This Row],[CustomerID]],customers[],4,FALSE)</f>
        <v>Bonners Ferry</v>
      </c>
      <c r="K1034" s="2" t="str">
        <f>VLOOKUP(ORDERS[[#This Row],[ProductID]],Products[],3,FALSE)</f>
        <v>Both</v>
      </c>
      <c r="L1034" s="2">
        <f>DAY(ORDERS[[#This Row],[OrderDate]])</f>
        <v>3</v>
      </c>
      <c r="M1034" s="2">
        <f>YEAR(ORDERS[[#This Row],[OrderDate]])</f>
        <v>2014</v>
      </c>
    </row>
    <row r="1035" spans="1:13" x14ac:dyDescent="0.3">
      <c r="A1035">
        <v>1034</v>
      </c>
      <c r="B1035">
        <v>5</v>
      </c>
      <c r="C1035">
        <v>1</v>
      </c>
      <c r="D1035" s="1">
        <v>41733</v>
      </c>
      <c r="E1035">
        <v>63</v>
      </c>
      <c r="F1035">
        <f>VLOOKUP(ORDERS[[#This Row],[ProductID]],Products[],4,FALSE)</f>
        <v>20</v>
      </c>
      <c r="G1035">
        <v>0.10000000100000001</v>
      </c>
      <c r="H1035">
        <f>(ORDERS[[#This Row],[UnitsOrdered]]*ORDERS[[#This Row],[unit price]])-(ORDERS[[#This Row],[UnitsOrdered]]*ORDERS[[#This Row],[unit price]]*ORDERS[[#This Row],[Discount]])</f>
        <v>1133.9999987399999</v>
      </c>
      <c r="I1035" t="str">
        <f>VLOOKUP(ORDERS[[#This Row],[CustomerID]],customers[],2,FALSE)</f>
        <v>Rags to Riches</v>
      </c>
      <c r="J1035" s="2" t="str">
        <f>VLOOKUP(ORDERS[[#This Row],[CustomerID]],customers[],4,FALSE)</f>
        <v>Las Vegas</v>
      </c>
      <c r="K1035" s="2" t="str">
        <f>VLOOKUP(ORDERS[[#This Row],[ProductID]],Products[],3,FALSE)</f>
        <v>Both</v>
      </c>
      <c r="L1035" s="2">
        <f>DAY(ORDERS[[#This Row],[OrderDate]])</f>
        <v>4</v>
      </c>
      <c r="M1035" s="2">
        <f>YEAR(ORDERS[[#This Row],[OrderDate]])</f>
        <v>2014</v>
      </c>
    </row>
    <row r="1036" spans="1:13" x14ac:dyDescent="0.3">
      <c r="A1036">
        <v>1035</v>
      </c>
      <c r="B1036">
        <v>7</v>
      </c>
      <c r="C1036">
        <v>8</v>
      </c>
      <c r="D1036" s="1">
        <v>41733</v>
      </c>
      <c r="E1036">
        <v>85</v>
      </c>
      <c r="F1036">
        <f>VLOOKUP(ORDERS[[#This Row],[ProductID]],Products[],4,FALSE)</f>
        <v>27</v>
      </c>
      <c r="G1036">
        <v>0</v>
      </c>
      <c r="H1036">
        <f>(ORDERS[[#This Row],[UnitsOrdered]]*ORDERS[[#This Row],[unit price]])-(ORDERS[[#This Row],[UnitsOrdered]]*ORDERS[[#This Row],[unit price]]*ORDERS[[#This Row],[Discount]])</f>
        <v>2295</v>
      </c>
      <c r="I1036" t="str">
        <f>VLOOKUP(ORDERS[[#This Row],[CustomerID]],customers[],2,FALSE)</f>
        <v>The Shirt on Your Back</v>
      </c>
      <c r="J1036" s="2" t="str">
        <f>VLOOKUP(ORDERS[[#This Row],[CustomerID]],customers[],4,FALSE)</f>
        <v>Bonners Ferry</v>
      </c>
      <c r="K1036" s="2" t="str">
        <f>VLOOKUP(ORDERS[[#This Row],[ProductID]],Products[],3,FALSE)</f>
        <v>Female</v>
      </c>
      <c r="L1036" s="2">
        <f>DAY(ORDERS[[#This Row],[OrderDate]])</f>
        <v>4</v>
      </c>
      <c r="M1036" s="2">
        <f>YEAR(ORDERS[[#This Row],[OrderDate]])</f>
        <v>2014</v>
      </c>
    </row>
    <row r="1037" spans="1:13" x14ac:dyDescent="0.3">
      <c r="A1037">
        <v>1036</v>
      </c>
      <c r="B1037">
        <v>6</v>
      </c>
      <c r="C1037">
        <v>8</v>
      </c>
      <c r="D1037" s="1">
        <v>41734</v>
      </c>
      <c r="E1037">
        <v>52</v>
      </c>
      <c r="F1037">
        <f>VLOOKUP(ORDERS[[#This Row],[ProductID]],Products[],4,FALSE)</f>
        <v>27</v>
      </c>
      <c r="G1037">
        <v>0</v>
      </c>
      <c r="H1037">
        <f>(ORDERS[[#This Row],[UnitsOrdered]]*ORDERS[[#This Row],[unit price]])-(ORDERS[[#This Row],[UnitsOrdered]]*ORDERS[[#This Row],[unit price]]*ORDERS[[#This Row],[Discount]])</f>
        <v>1404</v>
      </c>
      <c r="I1037" t="str">
        <f>VLOOKUP(ORDERS[[#This Row],[CustomerID]],customers[],2,FALSE)</f>
        <v>Abracadaba Ink</v>
      </c>
      <c r="J1037" s="2" t="str">
        <f>VLOOKUP(ORDERS[[#This Row],[CustomerID]],customers[],4,FALSE)</f>
        <v>Salt Lake City</v>
      </c>
      <c r="K1037" s="2" t="str">
        <f>VLOOKUP(ORDERS[[#This Row],[ProductID]],Products[],3,FALSE)</f>
        <v>Female</v>
      </c>
      <c r="L1037" s="2">
        <f>DAY(ORDERS[[#This Row],[OrderDate]])</f>
        <v>5</v>
      </c>
      <c r="M1037" s="2">
        <f>YEAR(ORDERS[[#This Row],[OrderDate]])</f>
        <v>2014</v>
      </c>
    </row>
    <row r="1038" spans="1:13" x14ac:dyDescent="0.3">
      <c r="A1038">
        <v>1037</v>
      </c>
      <c r="B1038">
        <v>6</v>
      </c>
      <c r="C1038">
        <v>6</v>
      </c>
      <c r="D1038" s="1">
        <v>41735</v>
      </c>
      <c r="E1038">
        <v>38</v>
      </c>
      <c r="F1038">
        <f>VLOOKUP(ORDERS[[#This Row],[ProductID]],Products[],4,FALSE)</f>
        <v>28</v>
      </c>
      <c r="G1038">
        <v>5.0000001000000002E-2</v>
      </c>
      <c r="H1038">
        <f>(ORDERS[[#This Row],[UnitsOrdered]]*ORDERS[[#This Row],[unit price]])-(ORDERS[[#This Row],[UnitsOrdered]]*ORDERS[[#This Row],[unit price]]*ORDERS[[#This Row],[Discount]])</f>
        <v>1010.799998936</v>
      </c>
      <c r="I1038" t="str">
        <f>VLOOKUP(ORDERS[[#This Row],[CustomerID]],customers[],2,FALSE)</f>
        <v>Abracadaba Ink</v>
      </c>
      <c r="J1038" s="2" t="str">
        <f>VLOOKUP(ORDERS[[#This Row],[CustomerID]],customers[],4,FALSE)</f>
        <v>Salt Lake City</v>
      </c>
      <c r="K1038" s="2" t="str">
        <f>VLOOKUP(ORDERS[[#This Row],[ProductID]],Products[],3,FALSE)</f>
        <v>Female</v>
      </c>
      <c r="L1038" s="2">
        <f>DAY(ORDERS[[#This Row],[OrderDate]])</f>
        <v>6</v>
      </c>
      <c r="M1038" s="2">
        <f>YEAR(ORDERS[[#This Row],[OrderDate]])</f>
        <v>2014</v>
      </c>
    </row>
    <row r="1039" spans="1:13" x14ac:dyDescent="0.3">
      <c r="A1039">
        <v>1038</v>
      </c>
      <c r="B1039">
        <v>6</v>
      </c>
      <c r="C1039">
        <v>10</v>
      </c>
      <c r="D1039" s="1">
        <v>41736</v>
      </c>
      <c r="E1039">
        <v>147</v>
      </c>
      <c r="F1039">
        <f>VLOOKUP(ORDERS[[#This Row],[ProductID]],Products[],4,FALSE)</f>
        <v>35</v>
      </c>
      <c r="G1039">
        <v>0</v>
      </c>
      <c r="H1039">
        <f>(ORDERS[[#This Row],[UnitsOrdered]]*ORDERS[[#This Row],[unit price]])-(ORDERS[[#This Row],[UnitsOrdered]]*ORDERS[[#This Row],[unit price]]*ORDERS[[#This Row],[Discount]])</f>
        <v>5145</v>
      </c>
      <c r="I1039" t="str">
        <f>VLOOKUP(ORDERS[[#This Row],[CustomerID]],customers[],2,FALSE)</f>
        <v>Abracadaba Ink</v>
      </c>
      <c r="J1039" s="2" t="str">
        <f>VLOOKUP(ORDERS[[#This Row],[CustomerID]],customers[],4,FALSE)</f>
        <v>Salt Lake City</v>
      </c>
      <c r="K1039" s="2" t="str">
        <f>VLOOKUP(ORDERS[[#This Row],[ProductID]],Products[],3,FALSE)</f>
        <v>Male</v>
      </c>
      <c r="L1039" s="2">
        <f>DAY(ORDERS[[#This Row],[OrderDate]])</f>
        <v>7</v>
      </c>
      <c r="M1039" s="2">
        <f>YEAR(ORDERS[[#This Row],[OrderDate]])</f>
        <v>2014</v>
      </c>
    </row>
    <row r="1040" spans="1:13" x14ac:dyDescent="0.3">
      <c r="A1040">
        <v>1039</v>
      </c>
      <c r="B1040">
        <v>7</v>
      </c>
      <c r="C1040">
        <v>9</v>
      </c>
      <c r="D1040" s="1">
        <v>41736</v>
      </c>
      <c r="E1040">
        <v>33</v>
      </c>
      <c r="F1040">
        <f>VLOOKUP(ORDERS[[#This Row],[ProductID]],Products[],4,FALSE)</f>
        <v>25</v>
      </c>
      <c r="G1040">
        <v>5.0000001000000002E-2</v>
      </c>
      <c r="H1040">
        <f>(ORDERS[[#This Row],[UnitsOrdered]]*ORDERS[[#This Row],[unit price]])-(ORDERS[[#This Row],[UnitsOrdered]]*ORDERS[[#This Row],[unit price]]*ORDERS[[#This Row],[Discount]])</f>
        <v>783.74999917499997</v>
      </c>
      <c r="I1040" t="str">
        <f>VLOOKUP(ORDERS[[#This Row],[CustomerID]],customers[],2,FALSE)</f>
        <v>The Shirt on Your Back</v>
      </c>
      <c r="J1040" s="2" t="str">
        <f>VLOOKUP(ORDERS[[#This Row],[CustomerID]],customers[],4,FALSE)</f>
        <v>Bonners Ferry</v>
      </c>
      <c r="K1040" s="2" t="str">
        <f>VLOOKUP(ORDERS[[#This Row],[ProductID]],Products[],3,FALSE)</f>
        <v>Male</v>
      </c>
      <c r="L1040" s="2">
        <f>DAY(ORDERS[[#This Row],[OrderDate]])</f>
        <v>7</v>
      </c>
      <c r="M1040" s="2">
        <f>YEAR(ORDERS[[#This Row],[OrderDate]])</f>
        <v>2014</v>
      </c>
    </row>
    <row r="1041" spans="1:13" x14ac:dyDescent="0.3">
      <c r="A1041">
        <v>1040</v>
      </c>
      <c r="B1041">
        <v>3</v>
      </c>
      <c r="C1041">
        <v>2</v>
      </c>
      <c r="D1041" s="1">
        <v>41738</v>
      </c>
      <c r="E1041">
        <v>136</v>
      </c>
      <c r="F1041">
        <f>VLOOKUP(ORDERS[[#This Row],[ProductID]],Products[],4,FALSE)</f>
        <v>30</v>
      </c>
      <c r="G1041">
        <v>0</v>
      </c>
      <c r="H1041">
        <f>(ORDERS[[#This Row],[UnitsOrdered]]*ORDERS[[#This Row],[unit price]])-(ORDERS[[#This Row],[UnitsOrdered]]*ORDERS[[#This Row],[unit price]]*ORDERS[[#This Row],[Discount]])</f>
        <v>4080</v>
      </c>
      <c r="I1041" t="str">
        <f>VLOOKUP(ORDERS[[#This Row],[CustomerID]],customers[],2,FALSE)</f>
        <v>Shirts R Us</v>
      </c>
      <c r="J1041" s="2" t="str">
        <f>VLOOKUP(ORDERS[[#This Row],[CustomerID]],customers[],4,FALSE)</f>
        <v>Los Angeles</v>
      </c>
      <c r="K1041" s="2" t="str">
        <f>VLOOKUP(ORDERS[[#This Row],[ProductID]],Products[],3,FALSE)</f>
        <v>Both</v>
      </c>
      <c r="L1041" s="2">
        <f>DAY(ORDERS[[#This Row],[OrderDate]])</f>
        <v>9</v>
      </c>
      <c r="M1041" s="2">
        <f>YEAR(ORDERS[[#This Row],[OrderDate]])</f>
        <v>2014</v>
      </c>
    </row>
    <row r="1042" spans="1:13" x14ac:dyDescent="0.3">
      <c r="A1042">
        <v>1041</v>
      </c>
      <c r="B1042">
        <v>3</v>
      </c>
      <c r="C1042">
        <v>7</v>
      </c>
      <c r="D1042" s="1">
        <v>41738</v>
      </c>
      <c r="E1042">
        <v>146</v>
      </c>
      <c r="F1042">
        <f>VLOOKUP(ORDERS[[#This Row],[ProductID]],Products[],4,FALSE)</f>
        <v>38</v>
      </c>
      <c r="G1042">
        <v>0</v>
      </c>
      <c r="H1042">
        <f>(ORDERS[[#This Row],[UnitsOrdered]]*ORDERS[[#This Row],[unit price]])-(ORDERS[[#This Row],[UnitsOrdered]]*ORDERS[[#This Row],[unit price]]*ORDERS[[#This Row],[Discount]])</f>
        <v>5548</v>
      </c>
      <c r="I1042" t="str">
        <f>VLOOKUP(ORDERS[[#This Row],[CustomerID]],customers[],2,FALSE)</f>
        <v>Shirts R Us</v>
      </c>
      <c r="J1042" s="2" t="str">
        <f>VLOOKUP(ORDERS[[#This Row],[CustomerID]],customers[],4,FALSE)</f>
        <v>Los Angeles</v>
      </c>
      <c r="K1042" s="2" t="str">
        <f>VLOOKUP(ORDERS[[#This Row],[ProductID]],Products[],3,FALSE)</f>
        <v>Female</v>
      </c>
      <c r="L1042" s="2">
        <f>DAY(ORDERS[[#This Row],[OrderDate]])</f>
        <v>9</v>
      </c>
      <c r="M1042" s="2">
        <f>YEAR(ORDERS[[#This Row],[OrderDate]])</f>
        <v>2014</v>
      </c>
    </row>
    <row r="1043" spans="1:13" x14ac:dyDescent="0.3">
      <c r="A1043">
        <v>1042</v>
      </c>
      <c r="B1043">
        <v>4</v>
      </c>
      <c r="C1043">
        <v>3</v>
      </c>
      <c r="D1043" s="1">
        <v>41738</v>
      </c>
      <c r="E1043">
        <v>40</v>
      </c>
      <c r="F1043">
        <f>VLOOKUP(ORDERS[[#This Row],[ProductID]],Products[],4,FALSE)</f>
        <v>22</v>
      </c>
      <c r="G1043">
        <v>0</v>
      </c>
      <c r="H1043">
        <f>(ORDERS[[#This Row],[UnitsOrdered]]*ORDERS[[#This Row],[unit price]])-(ORDERS[[#This Row],[UnitsOrdered]]*ORDERS[[#This Row],[unit price]]*ORDERS[[#This Row],[Discount]])</f>
        <v>880</v>
      </c>
      <c r="I1043" t="str">
        <f>VLOOKUP(ORDERS[[#This Row],[CustomerID]],customers[],2,FALSE)</f>
        <v>Tshirt Unlimited</v>
      </c>
      <c r="J1043" s="2" t="str">
        <f>VLOOKUP(ORDERS[[#This Row],[CustomerID]],customers[],4,FALSE)</f>
        <v>Phoenix</v>
      </c>
      <c r="K1043" s="2" t="str">
        <f>VLOOKUP(ORDERS[[#This Row],[ProductID]],Products[],3,FALSE)</f>
        <v>Both</v>
      </c>
      <c r="L1043" s="2">
        <f>DAY(ORDERS[[#This Row],[OrderDate]])</f>
        <v>9</v>
      </c>
      <c r="M1043" s="2">
        <f>YEAR(ORDERS[[#This Row],[OrderDate]])</f>
        <v>2014</v>
      </c>
    </row>
    <row r="1044" spans="1:13" x14ac:dyDescent="0.3">
      <c r="A1044">
        <v>1043</v>
      </c>
      <c r="B1044">
        <v>7</v>
      </c>
      <c r="C1044">
        <v>9</v>
      </c>
      <c r="D1044" s="1">
        <v>41741</v>
      </c>
      <c r="E1044">
        <v>35</v>
      </c>
      <c r="F1044">
        <f>VLOOKUP(ORDERS[[#This Row],[ProductID]],Products[],4,FALSE)</f>
        <v>25</v>
      </c>
      <c r="G1044">
        <v>0</v>
      </c>
      <c r="H1044">
        <f>(ORDERS[[#This Row],[UnitsOrdered]]*ORDERS[[#This Row],[unit price]])-(ORDERS[[#This Row],[UnitsOrdered]]*ORDERS[[#This Row],[unit price]]*ORDERS[[#This Row],[Discount]])</f>
        <v>875</v>
      </c>
      <c r="I1044" t="str">
        <f>VLOOKUP(ORDERS[[#This Row],[CustomerID]],customers[],2,FALSE)</f>
        <v>The Shirt on Your Back</v>
      </c>
      <c r="J1044" s="2" t="str">
        <f>VLOOKUP(ORDERS[[#This Row],[CustomerID]],customers[],4,FALSE)</f>
        <v>Bonners Ferry</v>
      </c>
      <c r="K1044" s="2" t="str">
        <f>VLOOKUP(ORDERS[[#This Row],[ProductID]],Products[],3,FALSE)</f>
        <v>Male</v>
      </c>
      <c r="L1044" s="2">
        <f>DAY(ORDERS[[#This Row],[OrderDate]])</f>
        <v>12</v>
      </c>
      <c r="M1044" s="2">
        <f>YEAR(ORDERS[[#This Row],[OrderDate]])</f>
        <v>2014</v>
      </c>
    </row>
    <row r="1045" spans="1:13" x14ac:dyDescent="0.3">
      <c r="A1045">
        <v>1044</v>
      </c>
      <c r="B1045">
        <v>6</v>
      </c>
      <c r="C1045">
        <v>9</v>
      </c>
      <c r="D1045" s="1">
        <v>41742</v>
      </c>
      <c r="E1045">
        <v>137</v>
      </c>
      <c r="F1045">
        <f>VLOOKUP(ORDERS[[#This Row],[ProductID]],Products[],4,FALSE)</f>
        <v>25</v>
      </c>
      <c r="G1045">
        <v>5.0000001000000002E-2</v>
      </c>
      <c r="H1045">
        <f>(ORDERS[[#This Row],[UnitsOrdered]]*ORDERS[[#This Row],[unit price]])-(ORDERS[[#This Row],[UnitsOrdered]]*ORDERS[[#This Row],[unit price]]*ORDERS[[#This Row],[Discount]])</f>
        <v>3253.7499965749998</v>
      </c>
      <c r="I1045" t="str">
        <f>VLOOKUP(ORDERS[[#This Row],[CustomerID]],customers[],2,FALSE)</f>
        <v>Abracadaba Ink</v>
      </c>
      <c r="J1045" s="2" t="str">
        <f>VLOOKUP(ORDERS[[#This Row],[CustomerID]],customers[],4,FALSE)</f>
        <v>Salt Lake City</v>
      </c>
      <c r="K1045" s="2" t="str">
        <f>VLOOKUP(ORDERS[[#This Row],[ProductID]],Products[],3,FALSE)</f>
        <v>Male</v>
      </c>
      <c r="L1045" s="2">
        <f>DAY(ORDERS[[#This Row],[OrderDate]])</f>
        <v>13</v>
      </c>
      <c r="M1045" s="2">
        <f>YEAR(ORDERS[[#This Row],[OrderDate]])</f>
        <v>2014</v>
      </c>
    </row>
    <row r="1046" spans="1:13" x14ac:dyDescent="0.3">
      <c r="A1046">
        <v>1045</v>
      </c>
      <c r="B1046">
        <v>2</v>
      </c>
      <c r="C1046">
        <v>7</v>
      </c>
      <c r="D1046" s="1">
        <v>41744</v>
      </c>
      <c r="E1046">
        <v>78</v>
      </c>
      <c r="F1046">
        <f>VLOOKUP(ORDERS[[#This Row],[ProductID]],Products[],4,FALSE)</f>
        <v>38</v>
      </c>
      <c r="G1046">
        <v>0</v>
      </c>
      <c r="H1046">
        <f>(ORDERS[[#This Row],[UnitsOrdered]]*ORDERS[[#This Row],[unit price]])-(ORDERS[[#This Row],[UnitsOrdered]]*ORDERS[[#This Row],[unit price]]*ORDERS[[#This Row],[Discount]])</f>
        <v>2964</v>
      </c>
      <c r="I1046" t="str">
        <f>VLOOKUP(ORDERS[[#This Row],[CustomerID]],customers[],2,FALSE)</f>
        <v>A Shirts Life</v>
      </c>
      <c r="J1046" s="2" t="str">
        <f>VLOOKUP(ORDERS[[#This Row],[CustomerID]],customers[],4,FALSE)</f>
        <v>Portland</v>
      </c>
      <c r="K1046" s="2" t="str">
        <f>VLOOKUP(ORDERS[[#This Row],[ProductID]],Products[],3,FALSE)</f>
        <v>Female</v>
      </c>
      <c r="L1046" s="2">
        <f>DAY(ORDERS[[#This Row],[OrderDate]])</f>
        <v>15</v>
      </c>
      <c r="M1046" s="2">
        <f>YEAR(ORDERS[[#This Row],[OrderDate]])</f>
        <v>2014</v>
      </c>
    </row>
    <row r="1047" spans="1:13" x14ac:dyDescent="0.3">
      <c r="A1047">
        <v>1046</v>
      </c>
      <c r="B1047">
        <v>2</v>
      </c>
      <c r="C1047">
        <v>1</v>
      </c>
      <c r="D1047" s="1">
        <v>41745</v>
      </c>
      <c r="E1047">
        <v>39</v>
      </c>
      <c r="F1047">
        <f>VLOOKUP(ORDERS[[#This Row],[ProductID]],Products[],4,FALSE)</f>
        <v>20</v>
      </c>
      <c r="G1047">
        <v>0</v>
      </c>
      <c r="H1047">
        <f>(ORDERS[[#This Row],[UnitsOrdered]]*ORDERS[[#This Row],[unit price]])-(ORDERS[[#This Row],[UnitsOrdered]]*ORDERS[[#This Row],[unit price]]*ORDERS[[#This Row],[Discount]])</f>
        <v>780</v>
      </c>
      <c r="I1047" t="str">
        <f>VLOOKUP(ORDERS[[#This Row],[CustomerID]],customers[],2,FALSE)</f>
        <v>A Shirts Life</v>
      </c>
      <c r="J1047" s="2" t="str">
        <f>VLOOKUP(ORDERS[[#This Row],[CustomerID]],customers[],4,FALSE)</f>
        <v>Portland</v>
      </c>
      <c r="K1047" s="2" t="str">
        <f>VLOOKUP(ORDERS[[#This Row],[ProductID]],Products[],3,FALSE)</f>
        <v>Both</v>
      </c>
      <c r="L1047" s="2">
        <f>DAY(ORDERS[[#This Row],[OrderDate]])</f>
        <v>16</v>
      </c>
      <c r="M1047" s="2">
        <f>YEAR(ORDERS[[#This Row],[OrderDate]])</f>
        <v>2014</v>
      </c>
    </row>
    <row r="1048" spans="1:13" x14ac:dyDescent="0.3">
      <c r="A1048">
        <v>1047</v>
      </c>
      <c r="B1048">
        <v>5</v>
      </c>
      <c r="C1048">
        <v>3</v>
      </c>
      <c r="D1048" s="1">
        <v>41747</v>
      </c>
      <c r="E1048">
        <v>91</v>
      </c>
      <c r="F1048">
        <f>VLOOKUP(ORDERS[[#This Row],[ProductID]],Products[],4,FALSE)</f>
        <v>22</v>
      </c>
      <c r="G1048">
        <v>0</v>
      </c>
      <c r="H1048">
        <f>(ORDERS[[#This Row],[UnitsOrdered]]*ORDERS[[#This Row],[unit price]])-(ORDERS[[#This Row],[UnitsOrdered]]*ORDERS[[#This Row],[unit price]]*ORDERS[[#This Row],[Discount]])</f>
        <v>2002</v>
      </c>
      <c r="I1048" t="str">
        <f>VLOOKUP(ORDERS[[#This Row],[CustomerID]],customers[],2,FALSE)</f>
        <v>Rags to Riches</v>
      </c>
      <c r="J1048" s="2" t="str">
        <f>VLOOKUP(ORDERS[[#This Row],[CustomerID]],customers[],4,FALSE)</f>
        <v>Las Vegas</v>
      </c>
      <c r="K1048" s="2" t="str">
        <f>VLOOKUP(ORDERS[[#This Row],[ProductID]],Products[],3,FALSE)</f>
        <v>Both</v>
      </c>
      <c r="L1048" s="2">
        <f>DAY(ORDERS[[#This Row],[OrderDate]])</f>
        <v>18</v>
      </c>
      <c r="M1048" s="2">
        <f>YEAR(ORDERS[[#This Row],[OrderDate]])</f>
        <v>2014</v>
      </c>
    </row>
    <row r="1049" spans="1:13" x14ac:dyDescent="0.3">
      <c r="A1049">
        <v>1048</v>
      </c>
      <c r="B1049">
        <v>6</v>
      </c>
      <c r="C1049">
        <v>2</v>
      </c>
      <c r="D1049" s="1">
        <v>41747</v>
      </c>
      <c r="E1049">
        <v>64</v>
      </c>
      <c r="F1049">
        <f>VLOOKUP(ORDERS[[#This Row],[ProductID]],Products[],4,FALSE)</f>
        <v>30</v>
      </c>
      <c r="G1049">
        <v>0</v>
      </c>
      <c r="H1049">
        <f>(ORDERS[[#This Row],[UnitsOrdered]]*ORDERS[[#This Row],[unit price]])-(ORDERS[[#This Row],[UnitsOrdered]]*ORDERS[[#This Row],[unit price]]*ORDERS[[#This Row],[Discount]])</f>
        <v>1920</v>
      </c>
      <c r="I1049" t="str">
        <f>VLOOKUP(ORDERS[[#This Row],[CustomerID]],customers[],2,FALSE)</f>
        <v>Abracadaba Ink</v>
      </c>
      <c r="J1049" s="2" t="str">
        <f>VLOOKUP(ORDERS[[#This Row],[CustomerID]],customers[],4,FALSE)</f>
        <v>Salt Lake City</v>
      </c>
      <c r="K1049" s="2" t="str">
        <f>VLOOKUP(ORDERS[[#This Row],[ProductID]],Products[],3,FALSE)</f>
        <v>Both</v>
      </c>
      <c r="L1049" s="2">
        <f>DAY(ORDERS[[#This Row],[OrderDate]])</f>
        <v>18</v>
      </c>
      <c r="M1049" s="2">
        <f>YEAR(ORDERS[[#This Row],[OrderDate]])</f>
        <v>2014</v>
      </c>
    </row>
    <row r="1050" spans="1:13" x14ac:dyDescent="0.3">
      <c r="A1050">
        <v>1049</v>
      </c>
      <c r="B1050">
        <v>2</v>
      </c>
      <c r="C1050">
        <v>1</v>
      </c>
      <c r="D1050" s="1">
        <v>41748</v>
      </c>
      <c r="E1050">
        <v>146</v>
      </c>
      <c r="F1050">
        <f>VLOOKUP(ORDERS[[#This Row],[ProductID]],Products[],4,FALSE)</f>
        <v>20</v>
      </c>
      <c r="G1050">
        <v>0.10000000100000001</v>
      </c>
      <c r="H1050">
        <f>(ORDERS[[#This Row],[UnitsOrdered]]*ORDERS[[#This Row],[unit price]])-(ORDERS[[#This Row],[UnitsOrdered]]*ORDERS[[#This Row],[unit price]]*ORDERS[[#This Row],[Discount]])</f>
        <v>2627.99999708</v>
      </c>
      <c r="I1050" t="str">
        <f>VLOOKUP(ORDERS[[#This Row],[CustomerID]],customers[],2,FALSE)</f>
        <v>A Shirts Life</v>
      </c>
      <c r="J1050" s="2" t="str">
        <f>VLOOKUP(ORDERS[[#This Row],[CustomerID]],customers[],4,FALSE)</f>
        <v>Portland</v>
      </c>
      <c r="K1050" s="2" t="str">
        <f>VLOOKUP(ORDERS[[#This Row],[ProductID]],Products[],3,FALSE)</f>
        <v>Both</v>
      </c>
      <c r="L1050" s="2">
        <f>DAY(ORDERS[[#This Row],[OrderDate]])</f>
        <v>19</v>
      </c>
      <c r="M1050" s="2">
        <f>YEAR(ORDERS[[#This Row],[OrderDate]])</f>
        <v>2014</v>
      </c>
    </row>
    <row r="1051" spans="1:13" x14ac:dyDescent="0.3">
      <c r="A1051">
        <v>1050</v>
      </c>
      <c r="B1051">
        <v>1</v>
      </c>
      <c r="C1051">
        <v>7</v>
      </c>
      <c r="D1051" s="1">
        <v>41749</v>
      </c>
      <c r="E1051">
        <v>127</v>
      </c>
      <c r="F1051">
        <f>VLOOKUP(ORDERS[[#This Row],[ProductID]],Products[],4,FALSE)</f>
        <v>38</v>
      </c>
      <c r="G1051">
        <v>0</v>
      </c>
      <c r="H1051">
        <f>(ORDERS[[#This Row],[UnitsOrdered]]*ORDERS[[#This Row],[unit price]])-(ORDERS[[#This Row],[UnitsOrdered]]*ORDERS[[#This Row],[unit price]]*ORDERS[[#This Row],[Discount]])</f>
        <v>4826</v>
      </c>
      <c r="I1051" t="str">
        <f>VLOOKUP(ORDERS[[#This Row],[CustomerID]],customers[],2,FALSE)</f>
        <v>Threads</v>
      </c>
      <c r="J1051" s="2" t="str">
        <f>VLOOKUP(ORDERS[[#This Row],[CustomerID]],customers[],4,FALSE)</f>
        <v>Seattle</v>
      </c>
      <c r="K1051" s="2" t="str">
        <f>VLOOKUP(ORDERS[[#This Row],[ProductID]],Products[],3,FALSE)</f>
        <v>Female</v>
      </c>
      <c r="L1051" s="2">
        <f>DAY(ORDERS[[#This Row],[OrderDate]])</f>
        <v>20</v>
      </c>
      <c r="M1051" s="2">
        <f>YEAR(ORDERS[[#This Row],[OrderDate]])</f>
        <v>2014</v>
      </c>
    </row>
    <row r="1052" spans="1:13" x14ac:dyDescent="0.3">
      <c r="A1052">
        <v>1051</v>
      </c>
      <c r="B1052">
        <v>3</v>
      </c>
      <c r="C1052">
        <v>10</v>
      </c>
      <c r="D1052" s="1">
        <v>41749</v>
      </c>
      <c r="E1052">
        <v>105</v>
      </c>
      <c r="F1052">
        <f>VLOOKUP(ORDERS[[#This Row],[ProductID]],Products[],4,FALSE)</f>
        <v>35</v>
      </c>
      <c r="G1052">
        <v>0</v>
      </c>
      <c r="H1052">
        <f>(ORDERS[[#This Row],[UnitsOrdered]]*ORDERS[[#This Row],[unit price]])-(ORDERS[[#This Row],[UnitsOrdered]]*ORDERS[[#This Row],[unit price]]*ORDERS[[#This Row],[Discount]])</f>
        <v>3675</v>
      </c>
      <c r="I1052" t="str">
        <f>VLOOKUP(ORDERS[[#This Row],[CustomerID]],customers[],2,FALSE)</f>
        <v>Shirts R Us</v>
      </c>
      <c r="J1052" s="2" t="str">
        <f>VLOOKUP(ORDERS[[#This Row],[CustomerID]],customers[],4,FALSE)</f>
        <v>Los Angeles</v>
      </c>
      <c r="K1052" s="2" t="str">
        <f>VLOOKUP(ORDERS[[#This Row],[ProductID]],Products[],3,FALSE)</f>
        <v>Male</v>
      </c>
      <c r="L1052" s="2">
        <f>DAY(ORDERS[[#This Row],[OrderDate]])</f>
        <v>20</v>
      </c>
      <c r="M1052" s="2">
        <f>YEAR(ORDERS[[#This Row],[OrderDate]])</f>
        <v>2014</v>
      </c>
    </row>
    <row r="1053" spans="1:13" x14ac:dyDescent="0.3">
      <c r="A1053">
        <v>1052</v>
      </c>
      <c r="B1053">
        <v>4</v>
      </c>
      <c r="C1053">
        <v>10</v>
      </c>
      <c r="D1053" s="1">
        <v>41749</v>
      </c>
      <c r="E1053">
        <v>129</v>
      </c>
      <c r="F1053">
        <f>VLOOKUP(ORDERS[[#This Row],[ProductID]],Products[],4,FALSE)</f>
        <v>35</v>
      </c>
      <c r="G1053">
        <v>0</v>
      </c>
      <c r="H1053">
        <f>(ORDERS[[#This Row],[UnitsOrdered]]*ORDERS[[#This Row],[unit price]])-(ORDERS[[#This Row],[UnitsOrdered]]*ORDERS[[#This Row],[unit price]]*ORDERS[[#This Row],[Discount]])</f>
        <v>4515</v>
      </c>
      <c r="I1053" t="str">
        <f>VLOOKUP(ORDERS[[#This Row],[CustomerID]],customers[],2,FALSE)</f>
        <v>Tshirt Unlimited</v>
      </c>
      <c r="J1053" s="2" t="str">
        <f>VLOOKUP(ORDERS[[#This Row],[CustomerID]],customers[],4,FALSE)</f>
        <v>Phoenix</v>
      </c>
      <c r="K1053" s="2" t="str">
        <f>VLOOKUP(ORDERS[[#This Row],[ProductID]],Products[],3,FALSE)</f>
        <v>Male</v>
      </c>
      <c r="L1053" s="2">
        <f>DAY(ORDERS[[#This Row],[OrderDate]])</f>
        <v>20</v>
      </c>
      <c r="M1053" s="2">
        <f>YEAR(ORDERS[[#This Row],[OrderDate]])</f>
        <v>2014</v>
      </c>
    </row>
    <row r="1054" spans="1:13" x14ac:dyDescent="0.3">
      <c r="A1054">
        <v>1053</v>
      </c>
      <c r="B1054">
        <v>1</v>
      </c>
      <c r="C1054">
        <v>4</v>
      </c>
      <c r="D1054" s="1">
        <v>41751</v>
      </c>
      <c r="E1054">
        <v>121</v>
      </c>
      <c r="F1054">
        <f>VLOOKUP(ORDERS[[#This Row],[ProductID]],Products[],4,FALSE)</f>
        <v>30</v>
      </c>
      <c r="G1054">
        <v>0</v>
      </c>
      <c r="H1054">
        <f>(ORDERS[[#This Row],[UnitsOrdered]]*ORDERS[[#This Row],[unit price]])-(ORDERS[[#This Row],[UnitsOrdered]]*ORDERS[[#This Row],[unit price]]*ORDERS[[#This Row],[Discount]])</f>
        <v>3630</v>
      </c>
      <c r="I1054" t="str">
        <f>VLOOKUP(ORDERS[[#This Row],[CustomerID]],customers[],2,FALSE)</f>
        <v>Threads</v>
      </c>
      <c r="J1054" s="2" t="str">
        <f>VLOOKUP(ORDERS[[#This Row],[CustomerID]],customers[],4,FALSE)</f>
        <v>Seattle</v>
      </c>
      <c r="K1054" s="2" t="str">
        <f>VLOOKUP(ORDERS[[#This Row],[ProductID]],Products[],3,FALSE)</f>
        <v>Both</v>
      </c>
      <c r="L1054" s="2">
        <f>DAY(ORDERS[[#This Row],[OrderDate]])</f>
        <v>22</v>
      </c>
      <c r="M1054" s="2">
        <f>YEAR(ORDERS[[#This Row],[OrderDate]])</f>
        <v>2014</v>
      </c>
    </row>
    <row r="1055" spans="1:13" x14ac:dyDescent="0.3">
      <c r="A1055">
        <v>1054</v>
      </c>
      <c r="B1055">
        <v>6</v>
      </c>
      <c r="C1055">
        <v>5</v>
      </c>
      <c r="D1055" s="1">
        <v>41752</v>
      </c>
      <c r="E1055">
        <v>81</v>
      </c>
      <c r="F1055">
        <f>VLOOKUP(ORDERS[[#This Row],[ProductID]],Products[],4,FALSE)</f>
        <v>16</v>
      </c>
      <c r="G1055">
        <v>0</v>
      </c>
      <c r="H1055">
        <f>(ORDERS[[#This Row],[UnitsOrdered]]*ORDERS[[#This Row],[unit price]])-(ORDERS[[#This Row],[UnitsOrdered]]*ORDERS[[#This Row],[unit price]]*ORDERS[[#This Row],[Discount]])</f>
        <v>1296</v>
      </c>
      <c r="I1055" t="str">
        <f>VLOOKUP(ORDERS[[#This Row],[CustomerID]],customers[],2,FALSE)</f>
        <v>Abracadaba Ink</v>
      </c>
      <c r="J1055" s="2" t="str">
        <f>VLOOKUP(ORDERS[[#This Row],[CustomerID]],customers[],4,FALSE)</f>
        <v>Salt Lake City</v>
      </c>
      <c r="K1055" s="2" t="str">
        <f>VLOOKUP(ORDERS[[#This Row],[ProductID]],Products[],3,FALSE)</f>
        <v>Female</v>
      </c>
      <c r="L1055" s="2">
        <f>DAY(ORDERS[[#This Row],[OrderDate]])</f>
        <v>23</v>
      </c>
      <c r="M1055" s="2">
        <f>YEAR(ORDERS[[#This Row],[OrderDate]])</f>
        <v>2014</v>
      </c>
    </row>
    <row r="1056" spans="1:13" x14ac:dyDescent="0.3">
      <c r="A1056">
        <v>1055</v>
      </c>
      <c r="B1056">
        <v>4</v>
      </c>
      <c r="C1056">
        <v>1</v>
      </c>
      <c r="D1056" s="1">
        <v>41753</v>
      </c>
      <c r="E1056">
        <v>138</v>
      </c>
      <c r="F1056">
        <f>VLOOKUP(ORDERS[[#This Row],[ProductID]],Products[],4,FALSE)</f>
        <v>20</v>
      </c>
      <c r="G1056">
        <v>0</v>
      </c>
      <c r="H1056">
        <f>(ORDERS[[#This Row],[UnitsOrdered]]*ORDERS[[#This Row],[unit price]])-(ORDERS[[#This Row],[UnitsOrdered]]*ORDERS[[#This Row],[unit price]]*ORDERS[[#This Row],[Discount]])</f>
        <v>2760</v>
      </c>
      <c r="I1056" t="str">
        <f>VLOOKUP(ORDERS[[#This Row],[CustomerID]],customers[],2,FALSE)</f>
        <v>Tshirt Unlimited</v>
      </c>
      <c r="J1056" s="2" t="str">
        <f>VLOOKUP(ORDERS[[#This Row],[CustomerID]],customers[],4,FALSE)</f>
        <v>Phoenix</v>
      </c>
      <c r="K1056" s="2" t="str">
        <f>VLOOKUP(ORDERS[[#This Row],[ProductID]],Products[],3,FALSE)</f>
        <v>Both</v>
      </c>
      <c r="L1056" s="2">
        <f>DAY(ORDERS[[#This Row],[OrderDate]])</f>
        <v>24</v>
      </c>
      <c r="M1056" s="2">
        <f>YEAR(ORDERS[[#This Row],[OrderDate]])</f>
        <v>2014</v>
      </c>
    </row>
    <row r="1057" spans="1:13" x14ac:dyDescent="0.3">
      <c r="A1057">
        <v>1056</v>
      </c>
      <c r="B1057">
        <v>4</v>
      </c>
      <c r="C1057">
        <v>1</v>
      </c>
      <c r="D1057" s="1">
        <v>41754</v>
      </c>
      <c r="E1057">
        <v>80</v>
      </c>
      <c r="F1057">
        <f>VLOOKUP(ORDERS[[#This Row],[ProductID]],Products[],4,FALSE)</f>
        <v>20</v>
      </c>
      <c r="G1057">
        <v>0</v>
      </c>
      <c r="H1057">
        <f>(ORDERS[[#This Row],[UnitsOrdered]]*ORDERS[[#This Row],[unit price]])-(ORDERS[[#This Row],[UnitsOrdered]]*ORDERS[[#This Row],[unit price]]*ORDERS[[#This Row],[Discount]])</f>
        <v>1600</v>
      </c>
      <c r="I1057" t="str">
        <f>VLOOKUP(ORDERS[[#This Row],[CustomerID]],customers[],2,FALSE)</f>
        <v>Tshirt Unlimited</v>
      </c>
      <c r="J1057" s="2" t="str">
        <f>VLOOKUP(ORDERS[[#This Row],[CustomerID]],customers[],4,FALSE)</f>
        <v>Phoenix</v>
      </c>
      <c r="K1057" s="2" t="str">
        <f>VLOOKUP(ORDERS[[#This Row],[ProductID]],Products[],3,FALSE)</f>
        <v>Both</v>
      </c>
      <c r="L1057" s="2">
        <f>DAY(ORDERS[[#This Row],[OrderDate]])</f>
        <v>25</v>
      </c>
      <c r="M1057" s="2">
        <f>YEAR(ORDERS[[#This Row],[OrderDate]])</f>
        <v>2014</v>
      </c>
    </row>
    <row r="1058" spans="1:13" x14ac:dyDescent="0.3">
      <c r="A1058">
        <v>1057</v>
      </c>
      <c r="B1058">
        <v>5</v>
      </c>
      <c r="C1058">
        <v>9</v>
      </c>
      <c r="D1058" s="1">
        <v>41754</v>
      </c>
      <c r="E1058">
        <v>89</v>
      </c>
      <c r="F1058">
        <f>VLOOKUP(ORDERS[[#This Row],[ProductID]],Products[],4,FALSE)</f>
        <v>25</v>
      </c>
      <c r="G1058">
        <v>0</v>
      </c>
      <c r="H1058">
        <f>(ORDERS[[#This Row],[UnitsOrdered]]*ORDERS[[#This Row],[unit price]])-(ORDERS[[#This Row],[UnitsOrdered]]*ORDERS[[#This Row],[unit price]]*ORDERS[[#This Row],[Discount]])</f>
        <v>2225</v>
      </c>
      <c r="I1058" t="str">
        <f>VLOOKUP(ORDERS[[#This Row],[CustomerID]],customers[],2,FALSE)</f>
        <v>Rags to Riches</v>
      </c>
      <c r="J1058" s="2" t="str">
        <f>VLOOKUP(ORDERS[[#This Row],[CustomerID]],customers[],4,FALSE)</f>
        <v>Las Vegas</v>
      </c>
      <c r="K1058" s="2" t="str">
        <f>VLOOKUP(ORDERS[[#This Row],[ProductID]],Products[],3,FALSE)</f>
        <v>Male</v>
      </c>
      <c r="L1058" s="2">
        <f>DAY(ORDERS[[#This Row],[OrderDate]])</f>
        <v>25</v>
      </c>
      <c r="M1058" s="2">
        <f>YEAR(ORDERS[[#This Row],[OrderDate]])</f>
        <v>2014</v>
      </c>
    </row>
    <row r="1059" spans="1:13" x14ac:dyDescent="0.3">
      <c r="A1059">
        <v>1058</v>
      </c>
      <c r="B1059">
        <v>2</v>
      </c>
      <c r="C1059">
        <v>7</v>
      </c>
      <c r="D1059" s="1">
        <v>41756</v>
      </c>
      <c r="E1059">
        <v>72</v>
      </c>
      <c r="F1059">
        <f>VLOOKUP(ORDERS[[#This Row],[ProductID]],Products[],4,FALSE)</f>
        <v>38</v>
      </c>
      <c r="G1059">
        <v>0</v>
      </c>
      <c r="H1059">
        <f>(ORDERS[[#This Row],[UnitsOrdered]]*ORDERS[[#This Row],[unit price]])-(ORDERS[[#This Row],[UnitsOrdered]]*ORDERS[[#This Row],[unit price]]*ORDERS[[#This Row],[Discount]])</f>
        <v>2736</v>
      </c>
      <c r="I1059" t="str">
        <f>VLOOKUP(ORDERS[[#This Row],[CustomerID]],customers[],2,FALSE)</f>
        <v>A Shirts Life</v>
      </c>
      <c r="J1059" s="2" t="str">
        <f>VLOOKUP(ORDERS[[#This Row],[CustomerID]],customers[],4,FALSE)</f>
        <v>Portland</v>
      </c>
      <c r="K1059" s="2" t="str">
        <f>VLOOKUP(ORDERS[[#This Row],[ProductID]],Products[],3,FALSE)</f>
        <v>Female</v>
      </c>
      <c r="L1059" s="2">
        <f>DAY(ORDERS[[#This Row],[OrderDate]])</f>
        <v>27</v>
      </c>
      <c r="M1059" s="2">
        <f>YEAR(ORDERS[[#This Row],[OrderDate]])</f>
        <v>2014</v>
      </c>
    </row>
    <row r="1060" spans="1:13" x14ac:dyDescent="0.3">
      <c r="A1060">
        <v>1059</v>
      </c>
      <c r="B1060">
        <v>1</v>
      </c>
      <c r="C1060">
        <v>1</v>
      </c>
      <c r="D1060" s="1">
        <v>41757</v>
      </c>
      <c r="E1060">
        <v>62</v>
      </c>
      <c r="F1060">
        <f>VLOOKUP(ORDERS[[#This Row],[ProductID]],Products[],4,FALSE)</f>
        <v>20</v>
      </c>
      <c r="G1060">
        <v>0</v>
      </c>
      <c r="H1060">
        <f>(ORDERS[[#This Row],[UnitsOrdered]]*ORDERS[[#This Row],[unit price]])-(ORDERS[[#This Row],[UnitsOrdered]]*ORDERS[[#This Row],[unit price]]*ORDERS[[#This Row],[Discount]])</f>
        <v>1240</v>
      </c>
      <c r="I1060" t="str">
        <f>VLOOKUP(ORDERS[[#This Row],[CustomerID]],customers[],2,FALSE)</f>
        <v>Threads</v>
      </c>
      <c r="J1060" s="2" t="str">
        <f>VLOOKUP(ORDERS[[#This Row],[CustomerID]],customers[],4,FALSE)</f>
        <v>Seattle</v>
      </c>
      <c r="K1060" s="2" t="str">
        <f>VLOOKUP(ORDERS[[#This Row],[ProductID]],Products[],3,FALSE)</f>
        <v>Both</v>
      </c>
      <c r="L1060" s="2">
        <f>DAY(ORDERS[[#This Row],[OrderDate]])</f>
        <v>28</v>
      </c>
      <c r="M1060" s="2">
        <f>YEAR(ORDERS[[#This Row],[OrderDate]])</f>
        <v>2014</v>
      </c>
    </row>
    <row r="1061" spans="1:13" x14ac:dyDescent="0.3">
      <c r="A1061">
        <v>1060</v>
      </c>
      <c r="B1061">
        <v>4</v>
      </c>
      <c r="C1061">
        <v>4</v>
      </c>
      <c r="D1061" s="1">
        <v>41757</v>
      </c>
      <c r="E1061">
        <v>86</v>
      </c>
      <c r="F1061">
        <f>VLOOKUP(ORDERS[[#This Row],[ProductID]],Products[],4,FALSE)</f>
        <v>30</v>
      </c>
      <c r="G1061">
        <v>5.0000001000000002E-2</v>
      </c>
      <c r="H1061">
        <f>(ORDERS[[#This Row],[UnitsOrdered]]*ORDERS[[#This Row],[unit price]])-(ORDERS[[#This Row],[UnitsOrdered]]*ORDERS[[#This Row],[unit price]]*ORDERS[[#This Row],[Discount]])</f>
        <v>2450.99999742</v>
      </c>
      <c r="I1061" t="str">
        <f>VLOOKUP(ORDERS[[#This Row],[CustomerID]],customers[],2,FALSE)</f>
        <v>Tshirt Unlimited</v>
      </c>
      <c r="J1061" s="2" t="str">
        <f>VLOOKUP(ORDERS[[#This Row],[CustomerID]],customers[],4,FALSE)</f>
        <v>Phoenix</v>
      </c>
      <c r="K1061" s="2" t="str">
        <f>VLOOKUP(ORDERS[[#This Row],[ProductID]],Products[],3,FALSE)</f>
        <v>Both</v>
      </c>
      <c r="L1061" s="2">
        <f>DAY(ORDERS[[#This Row],[OrderDate]])</f>
        <v>28</v>
      </c>
      <c r="M1061" s="2">
        <f>YEAR(ORDERS[[#This Row],[OrderDate]])</f>
        <v>2014</v>
      </c>
    </row>
    <row r="1062" spans="1:13" x14ac:dyDescent="0.3">
      <c r="A1062">
        <v>1061</v>
      </c>
      <c r="B1062">
        <v>4</v>
      </c>
      <c r="C1062">
        <v>9</v>
      </c>
      <c r="D1062" s="1">
        <v>41758</v>
      </c>
      <c r="E1062">
        <v>67</v>
      </c>
      <c r="F1062">
        <f>VLOOKUP(ORDERS[[#This Row],[ProductID]],Products[],4,FALSE)</f>
        <v>25</v>
      </c>
      <c r="G1062">
        <v>0</v>
      </c>
      <c r="H1062">
        <f>(ORDERS[[#This Row],[UnitsOrdered]]*ORDERS[[#This Row],[unit price]])-(ORDERS[[#This Row],[UnitsOrdered]]*ORDERS[[#This Row],[unit price]]*ORDERS[[#This Row],[Discount]])</f>
        <v>1675</v>
      </c>
      <c r="I1062" t="str">
        <f>VLOOKUP(ORDERS[[#This Row],[CustomerID]],customers[],2,FALSE)</f>
        <v>Tshirt Unlimited</v>
      </c>
      <c r="J1062" s="2" t="str">
        <f>VLOOKUP(ORDERS[[#This Row],[CustomerID]],customers[],4,FALSE)</f>
        <v>Phoenix</v>
      </c>
      <c r="K1062" s="2" t="str">
        <f>VLOOKUP(ORDERS[[#This Row],[ProductID]],Products[],3,FALSE)</f>
        <v>Male</v>
      </c>
      <c r="L1062" s="2">
        <f>DAY(ORDERS[[#This Row],[OrderDate]])</f>
        <v>29</v>
      </c>
      <c r="M1062" s="2">
        <f>YEAR(ORDERS[[#This Row],[OrderDate]])</f>
        <v>2014</v>
      </c>
    </row>
    <row r="1063" spans="1:13" x14ac:dyDescent="0.3">
      <c r="A1063">
        <v>1062</v>
      </c>
      <c r="B1063">
        <v>1</v>
      </c>
      <c r="C1063">
        <v>10</v>
      </c>
      <c r="D1063" s="1">
        <v>41759</v>
      </c>
      <c r="E1063">
        <v>147</v>
      </c>
      <c r="F1063">
        <f>VLOOKUP(ORDERS[[#This Row],[ProductID]],Products[],4,FALSE)</f>
        <v>35</v>
      </c>
      <c r="G1063">
        <v>0</v>
      </c>
      <c r="H1063">
        <f>(ORDERS[[#This Row],[UnitsOrdered]]*ORDERS[[#This Row],[unit price]])-(ORDERS[[#This Row],[UnitsOrdered]]*ORDERS[[#This Row],[unit price]]*ORDERS[[#This Row],[Discount]])</f>
        <v>5145</v>
      </c>
      <c r="I1063" t="str">
        <f>VLOOKUP(ORDERS[[#This Row],[CustomerID]],customers[],2,FALSE)</f>
        <v>Threads</v>
      </c>
      <c r="J1063" s="2" t="str">
        <f>VLOOKUP(ORDERS[[#This Row],[CustomerID]],customers[],4,FALSE)</f>
        <v>Seattle</v>
      </c>
      <c r="K1063" s="2" t="str">
        <f>VLOOKUP(ORDERS[[#This Row],[ProductID]],Products[],3,FALSE)</f>
        <v>Male</v>
      </c>
      <c r="L1063" s="2">
        <f>DAY(ORDERS[[#This Row],[OrderDate]])</f>
        <v>30</v>
      </c>
      <c r="M1063" s="2">
        <f>YEAR(ORDERS[[#This Row],[OrderDate]])</f>
        <v>2014</v>
      </c>
    </row>
    <row r="1064" spans="1:13" x14ac:dyDescent="0.3">
      <c r="A1064">
        <v>1063</v>
      </c>
      <c r="B1064">
        <v>1</v>
      </c>
      <c r="C1064">
        <v>6</v>
      </c>
      <c r="D1064" s="1">
        <v>41761</v>
      </c>
      <c r="E1064">
        <v>124</v>
      </c>
      <c r="F1064">
        <f>VLOOKUP(ORDERS[[#This Row],[ProductID]],Products[],4,FALSE)</f>
        <v>28</v>
      </c>
      <c r="G1064">
        <v>0</v>
      </c>
      <c r="H1064">
        <f>(ORDERS[[#This Row],[UnitsOrdered]]*ORDERS[[#This Row],[unit price]])-(ORDERS[[#This Row],[UnitsOrdered]]*ORDERS[[#This Row],[unit price]]*ORDERS[[#This Row],[Discount]])</f>
        <v>3472</v>
      </c>
      <c r="I1064" t="str">
        <f>VLOOKUP(ORDERS[[#This Row],[CustomerID]],customers[],2,FALSE)</f>
        <v>Threads</v>
      </c>
      <c r="J1064" s="2" t="str">
        <f>VLOOKUP(ORDERS[[#This Row],[CustomerID]],customers[],4,FALSE)</f>
        <v>Seattle</v>
      </c>
      <c r="K1064" s="2" t="str">
        <f>VLOOKUP(ORDERS[[#This Row],[ProductID]],Products[],3,FALSE)</f>
        <v>Female</v>
      </c>
      <c r="L1064" s="2">
        <f>DAY(ORDERS[[#This Row],[OrderDate]])</f>
        <v>2</v>
      </c>
      <c r="M1064" s="2">
        <f>YEAR(ORDERS[[#This Row],[OrderDate]])</f>
        <v>2014</v>
      </c>
    </row>
    <row r="1065" spans="1:13" x14ac:dyDescent="0.3">
      <c r="A1065">
        <v>1064</v>
      </c>
      <c r="B1065">
        <v>2</v>
      </c>
      <c r="C1065">
        <v>1</v>
      </c>
      <c r="D1065" s="1">
        <v>41761</v>
      </c>
      <c r="E1065">
        <v>85</v>
      </c>
      <c r="F1065">
        <f>VLOOKUP(ORDERS[[#This Row],[ProductID]],Products[],4,FALSE)</f>
        <v>20</v>
      </c>
      <c r="G1065">
        <v>0.10000000100000001</v>
      </c>
      <c r="H1065">
        <f>(ORDERS[[#This Row],[UnitsOrdered]]*ORDERS[[#This Row],[unit price]])-(ORDERS[[#This Row],[UnitsOrdered]]*ORDERS[[#This Row],[unit price]]*ORDERS[[#This Row],[Discount]])</f>
        <v>1529.9999983</v>
      </c>
      <c r="I1065" t="str">
        <f>VLOOKUP(ORDERS[[#This Row],[CustomerID]],customers[],2,FALSE)</f>
        <v>A Shirts Life</v>
      </c>
      <c r="J1065" s="2" t="str">
        <f>VLOOKUP(ORDERS[[#This Row],[CustomerID]],customers[],4,FALSE)</f>
        <v>Portland</v>
      </c>
      <c r="K1065" s="2" t="str">
        <f>VLOOKUP(ORDERS[[#This Row],[ProductID]],Products[],3,FALSE)</f>
        <v>Both</v>
      </c>
      <c r="L1065" s="2">
        <f>DAY(ORDERS[[#This Row],[OrderDate]])</f>
        <v>2</v>
      </c>
      <c r="M1065" s="2">
        <f>YEAR(ORDERS[[#This Row],[OrderDate]])</f>
        <v>2014</v>
      </c>
    </row>
    <row r="1066" spans="1:13" x14ac:dyDescent="0.3">
      <c r="A1066">
        <v>1065</v>
      </c>
      <c r="B1066">
        <v>4</v>
      </c>
      <c r="C1066">
        <v>2</v>
      </c>
      <c r="D1066" s="1">
        <v>41761</v>
      </c>
      <c r="E1066">
        <v>106</v>
      </c>
      <c r="F1066">
        <f>VLOOKUP(ORDERS[[#This Row],[ProductID]],Products[],4,FALSE)</f>
        <v>30</v>
      </c>
      <c r="G1066">
        <v>0</v>
      </c>
      <c r="H1066">
        <f>(ORDERS[[#This Row],[UnitsOrdered]]*ORDERS[[#This Row],[unit price]])-(ORDERS[[#This Row],[UnitsOrdered]]*ORDERS[[#This Row],[unit price]]*ORDERS[[#This Row],[Discount]])</f>
        <v>3180</v>
      </c>
      <c r="I1066" t="str">
        <f>VLOOKUP(ORDERS[[#This Row],[CustomerID]],customers[],2,FALSE)</f>
        <v>Tshirt Unlimited</v>
      </c>
      <c r="J1066" s="2" t="str">
        <f>VLOOKUP(ORDERS[[#This Row],[CustomerID]],customers[],4,FALSE)</f>
        <v>Phoenix</v>
      </c>
      <c r="K1066" s="2" t="str">
        <f>VLOOKUP(ORDERS[[#This Row],[ProductID]],Products[],3,FALSE)</f>
        <v>Both</v>
      </c>
      <c r="L1066" s="2">
        <f>DAY(ORDERS[[#This Row],[OrderDate]])</f>
        <v>2</v>
      </c>
      <c r="M1066" s="2">
        <f>YEAR(ORDERS[[#This Row],[OrderDate]])</f>
        <v>2014</v>
      </c>
    </row>
    <row r="1067" spans="1:13" x14ac:dyDescent="0.3">
      <c r="A1067">
        <v>1066</v>
      </c>
      <c r="B1067">
        <v>7</v>
      </c>
      <c r="C1067">
        <v>8</v>
      </c>
      <c r="D1067" s="1">
        <v>41762</v>
      </c>
      <c r="E1067">
        <v>31</v>
      </c>
      <c r="F1067">
        <f>VLOOKUP(ORDERS[[#This Row],[ProductID]],Products[],4,FALSE)</f>
        <v>27</v>
      </c>
      <c r="G1067">
        <v>0</v>
      </c>
      <c r="H1067">
        <f>(ORDERS[[#This Row],[UnitsOrdered]]*ORDERS[[#This Row],[unit price]])-(ORDERS[[#This Row],[UnitsOrdered]]*ORDERS[[#This Row],[unit price]]*ORDERS[[#This Row],[Discount]])</f>
        <v>837</v>
      </c>
      <c r="I1067" t="str">
        <f>VLOOKUP(ORDERS[[#This Row],[CustomerID]],customers[],2,FALSE)</f>
        <v>The Shirt on Your Back</v>
      </c>
      <c r="J1067" s="2" t="str">
        <f>VLOOKUP(ORDERS[[#This Row],[CustomerID]],customers[],4,FALSE)</f>
        <v>Bonners Ferry</v>
      </c>
      <c r="K1067" s="2" t="str">
        <f>VLOOKUP(ORDERS[[#This Row],[ProductID]],Products[],3,FALSE)</f>
        <v>Female</v>
      </c>
      <c r="L1067" s="2">
        <f>DAY(ORDERS[[#This Row],[OrderDate]])</f>
        <v>3</v>
      </c>
      <c r="M1067" s="2">
        <f>YEAR(ORDERS[[#This Row],[OrderDate]])</f>
        <v>2014</v>
      </c>
    </row>
    <row r="1068" spans="1:13" x14ac:dyDescent="0.3">
      <c r="A1068">
        <v>1067</v>
      </c>
      <c r="B1068">
        <v>2</v>
      </c>
      <c r="C1068">
        <v>5</v>
      </c>
      <c r="D1068" s="1">
        <v>41764</v>
      </c>
      <c r="E1068">
        <v>97</v>
      </c>
      <c r="F1068">
        <f>VLOOKUP(ORDERS[[#This Row],[ProductID]],Products[],4,FALSE)</f>
        <v>16</v>
      </c>
      <c r="G1068">
        <v>0.15000000599999999</v>
      </c>
      <c r="H1068">
        <f>(ORDERS[[#This Row],[UnitsOrdered]]*ORDERS[[#This Row],[unit price]])-(ORDERS[[#This Row],[UnitsOrdered]]*ORDERS[[#This Row],[unit price]]*ORDERS[[#This Row],[Discount]])</f>
        <v>1319.1999906880001</v>
      </c>
      <c r="I1068" t="str">
        <f>VLOOKUP(ORDERS[[#This Row],[CustomerID]],customers[],2,FALSE)</f>
        <v>A Shirts Life</v>
      </c>
      <c r="J1068" s="2" t="str">
        <f>VLOOKUP(ORDERS[[#This Row],[CustomerID]],customers[],4,FALSE)</f>
        <v>Portland</v>
      </c>
      <c r="K1068" s="2" t="str">
        <f>VLOOKUP(ORDERS[[#This Row],[ProductID]],Products[],3,FALSE)</f>
        <v>Female</v>
      </c>
      <c r="L1068" s="2">
        <f>DAY(ORDERS[[#This Row],[OrderDate]])</f>
        <v>5</v>
      </c>
      <c r="M1068" s="2">
        <f>YEAR(ORDERS[[#This Row],[OrderDate]])</f>
        <v>2014</v>
      </c>
    </row>
    <row r="1069" spans="1:13" x14ac:dyDescent="0.3">
      <c r="A1069">
        <v>1068</v>
      </c>
      <c r="B1069">
        <v>5</v>
      </c>
      <c r="C1069">
        <v>8</v>
      </c>
      <c r="D1069" s="1">
        <v>41764</v>
      </c>
      <c r="E1069">
        <v>49</v>
      </c>
      <c r="F1069">
        <f>VLOOKUP(ORDERS[[#This Row],[ProductID]],Products[],4,FALSE)</f>
        <v>27</v>
      </c>
      <c r="G1069">
        <v>0</v>
      </c>
      <c r="H1069">
        <f>(ORDERS[[#This Row],[UnitsOrdered]]*ORDERS[[#This Row],[unit price]])-(ORDERS[[#This Row],[UnitsOrdered]]*ORDERS[[#This Row],[unit price]]*ORDERS[[#This Row],[Discount]])</f>
        <v>1323</v>
      </c>
      <c r="I1069" t="str">
        <f>VLOOKUP(ORDERS[[#This Row],[CustomerID]],customers[],2,FALSE)</f>
        <v>Rags to Riches</v>
      </c>
      <c r="J1069" s="2" t="str">
        <f>VLOOKUP(ORDERS[[#This Row],[CustomerID]],customers[],4,FALSE)</f>
        <v>Las Vegas</v>
      </c>
      <c r="K1069" s="2" t="str">
        <f>VLOOKUP(ORDERS[[#This Row],[ProductID]],Products[],3,FALSE)</f>
        <v>Female</v>
      </c>
      <c r="L1069" s="2">
        <f>DAY(ORDERS[[#This Row],[OrderDate]])</f>
        <v>5</v>
      </c>
      <c r="M1069" s="2">
        <f>YEAR(ORDERS[[#This Row],[OrderDate]])</f>
        <v>2014</v>
      </c>
    </row>
    <row r="1070" spans="1:13" x14ac:dyDescent="0.3">
      <c r="A1070">
        <v>1069</v>
      </c>
      <c r="B1070">
        <v>2</v>
      </c>
      <c r="C1070">
        <v>4</v>
      </c>
      <c r="D1070" s="1">
        <v>41766</v>
      </c>
      <c r="E1070">
        <v>122</v>
      </c>
      <c r="F1070">
        <f>VLOOKUP(ORDERS[[#This Row],[ProductID]],Products[],4,FALSE)</f>
        <v>30</v>
      </c>
      <c r="G1070">
        <v>0.10000000100000001</v>
      </c>
      <c r="H1070">
        <f>(ORDERS[[#This Row],[UnitsOrdered]]*ORDERS[[#This Row],[unit price]])-(ORDERS[[#This Row],[UnitsOrdered]]*ORDERS[[#This Row],[unit price]]*ORDERS[[#This Row],[Discount]])</f>
        <v>3293.9999963400001</v>
      </c>
      <c r="I1070" t="str">
        <f>VLOOKUP(ORDERS[[#This Row],[CustomerID]],customers[],2,FALSE)</f>
        <v>A Shirts Life</v>
      </c>
      <c r="J1070" s="2" t="str">
        <f>VLOOKUP(ORDERS[[#This Row],[CustomerID]],customers[],4,FALSE)</f>
        <v>Portland</v>
      </c>
      <c r="K1070" s="2" t="str">
        <f>VLOOKUP(ORDERS[[#This Row],[ProductID]],Products[],3,FALSE)</f>
        <v>Both</v>
      </c>
      <c r="L1070" s="2">
        <f>DAY(ORDERS[[#This Row],[OrderDate]])</f>
        <v>7</v>
      </c>
      <c r="M1070" s="2">
        <f>YEAR(ORDERS[[#This Row],[OrderDate]])</f>
        <v>2014</v>
      </c>
    </row>
    <row r="1071" spans="1:13" x14ac:dyDescent="0.3">
      <c r="A1071">
        <v>1070</v>
      </c>
      <c r="B1071">
        <v>5</v>
      </c>
      <c r="C1071">
        <v>6</v>
      </c>
      <c r="D1071" s="1">
        <v>41766</v>
      </c>
      <c r="E1071">
        <v>146</v>
      </c>
      <c r="F1071">
        <f>VLOOKUP(ORDERS[[#This Row],[ProductID]],Products[],4,FALSE)</f>
        <v>28</v>
      </c>
      <c r="G1071">
        <v>0.10000000100000001</v>
      </c>
      <c r="H1071">
        <f>(ORDERS[[#This Row],[UnitsOrdered]]*ORDERS[[#This Row],[unit price]])-(ORDERS[[#This Row],[UnitsOrdered]]*ORDERS[[#This Row],[unit price]]*ORDERS[[#This Row],[Discount]])</f>
        <v>3679.1999959119998</v>
      </c>
      <c r="I1071" t="str">
        <f>VLOOKUP(ORDERS[[#This Row],[CustomerID]],customers[],2,FALSE)</f>
        <v>Rags to Riches</v>
      </c>
      <c r="J1071" s="2" t="str">
        <f>VLOOKUP(ORDERS[[#This Row],[CustomerID]],customers[],4,FALSE)</f>
        <v>Las Vegas</v>
      </c>
      <c r="K1071" s="2" t="str">
        <f>VLOOKUP(ORDERS[[#This Row],[ProductID]],Products[],3,FALSE)</f>
        <v>Female</v>
      </c>
      <c r="L1071" s="2">
        <f>DAY(ORDERS[[#This Row],[OrderDate]])</f>
        <v>7</v>
      </c>
      <c r="M1071" s="2">
        <f>YEAR(ORDERS[[#This Row],[OrderDate]])</f>
        <v>2014</v>
      </c>
    </row>
    <row r="1072" spans="1:13" x14ac:dyDescent="0.3">
      <c r="A1072">
        <v>1071</v>
      </c>
      <c r="B1072">
        <v>5</v>
      </c>
      <c r="C1072">
        <v>9</v>
      </c>
      <c r="D1072" s="1">
        <v>41767</v>
      </c>
      <c r="E1072">
        <v>109</v>
      </c>
      <c r="F1072">
        <f>VLOOKUP(ORDERS[[#This Row],[ProductID]],Products[],4,FALSE)</f>
        <v>25</v>
      </c>
      <c r="G1072">
        <v>0.10000000100000001</v>
      </c>
      <c r="H1072">
        <f>(ORDERS[[#This Row],[UnitsOrdered]]*ORDERS[[#This Row],[unit price]])-(ORDERS[[#This Row],[UnitsOrdered]]*ORDERS[[#This Row],[unit price]]*ORDERS[[#This Row],[Discount]])</f>
        <v>2452.4999972750002</v>
      </c>
      <c r="I1072" t="str">
        <f>VLOOKUP(ORDERS[[#This Row],[CustomerID]],customers[],2,FALSE)</f>
        <v>Rags to Riches</v>
      </c>
      <c r="J1072" s="2" t="str">
        <f>VLOOKUP(ORDERS[[#This Row],[CustomerID]],customers[],4,FALSE)</f>
        <v>Las Vegas</v>
      </c>
      <c r="K1072" s="2" t="str">
        <f>VLOOKUP(ORDERS[[#This Row],[ProductID]],Products[],3,FALSE)</f>
        <v>Male</v>
      </c>
      <c r="L1072" s="2">
        <f>DAY(ORDERS[[#This Row],[OrderDate]])</f>
        <v>8</v>
      </c>
      <c r="M1072" s="2">
        <f>YEAR(ORDERS[[#This Row],[OrderDate]])</f>
        <v>2014</v>
      </c>
    </row>
    <row r="1073" spans="1:13" x14ac:dyDescent="0.3">
      <c r="A1073">
        <v>1072</v>
      </c>
      <c r="B1073">
        <v>2</v>
      </c>
      <c r="C1073">
        <v>3</v>
      </c>
      <c r="D1073" s="1">
        <v>41769</v>
      </c>
      <c r="E1073">
        <v>67</v>
      </c>
      <c r="F1073">
        <f>VLOOKUP(ORDERS[[#This Row],[ProductID]],Products[],4,FALSE)</f>
        <v>22</v>
      </c>
      <c r="G1073">
        <v>0</v>
      </c>
      <c r="H1073">
        <f>(ORDERS[[#This Row],[UnitsOrdered]]*ORDERS[[#This Row],[unit price]])-(ORDERS[[#This Row],[UnitsOrdered]]*ORDERS[[#This Row],[unit price]]*ORDERS[[#This Row],[Discount]])</f>
        <v>1474</v>
      </c>
      <c r="I1073" t="str">
        <f>VLOOKUP(ORDERS[[#This Row],[CustomerID]],customers[],2,FALSE)</f>
        <v>A Shirts Life</v>
      </c>
      <c r="J1073" s="2" t="str">
        <f>VLOOKUP(ORDERS[[#This Row],[CustomerID]],customers[],4,FALSE)</f>
        <v>Portland</v>
      </c>
      <c r="K1073" s="2" t="str">
        <f>VLOOKUP(ORDERS[[#This Row],[ProductID]],Products[],3,FALSE)</f>
        <v>Both</v>
      </c>
      <c r="L1073" s="2">
        <f>DAY(ORDERS[[#This Row],[OrderDate]])</f>
        <v>10</v>
      </c>
      <c r="M1073" s="2">
        <f>YEAR(ORDERS[[#This Row],[OrderDate]])</f>
        <v>2014</v>
      </c>
    </row>
    <row r="1074" spans="1:13" x14ac:dyDescent="0.3">
      <c r="A1074">
        <v>1073</v>
      </c>
      <c r="B1074">
        <v>4</v>
      </c>
      <c r="C1074">
        <v>4</v>
      </c>
      <c r="D1074" s="1">
        <v>41769</v>
      </c>
      <c r="E1074">
        <v>149</v>
      </c>
      <c r="F1074">
        <f>VLOOKUP(ORDERS[[#This Row],[ProductID]],Products[],4,FALSE)</f>
        <v>30</v>
      </c>
      <c r="G1074">
        <v>0</v>
      </c>
      <c r="H1074">
        <f>(ORDERS[[#This Row],[UnitsOrdered]]*ORDERS[[#This Row],[unit price]])-(ORDERS[[#This Row],[UnitsOrdered]]*ORDERS[[#This Row],[unit price]]*ORDERS[[#This Row],[Discount]])</f>
        <v>4470</v>
      </c>
      <c r="I1074" t="str">
        <f>VLOOKUP(ORDERS[[#This Row],[CustomerID]],customers[],2,FALSE)</f>
        <v>Tshirt Unlimited</v>
      </c>
      <c r="J1074" s="2" t="str">
        <f>VLOOKUP(ORDERS[[#This Row],[CustomerID]],customers[],4,FALSE)</f>
        <v>Phoenix</v>
      </c>
      <c r="K1074" s="2" t="str">
        <f>VLOOKUP(ORDERS[[#This Row],[ProductID]],Products[],3,FALSE)</f>
        <v>Both</v>
      </c>
      <c r="L1074" s="2">
        <f>DAY(ORDERS[[#This Row],[OrderDate]])</f>
        <v>10</v>
      </c>
      <c r="M1074" s="2">
        <f>YEAR(ORDERS[[#This Row],[OrderDate]])</f>
        <v>2014</v>
      </c>
    </row>
    <row r="1075" spans="1:13" x14ac:dyDescent="0.3">
      <c r="A1075">
        <v>1074</v>
      </c>
      <c r="B1075">
        <v>6</v>
      </c>
      <c r="C1075">
        <v>2</v>
      </c>
      <c r="D1075" s="1">
        <v>41770</v>
      </c>
      <c r="E1075">
        <v>63</v>
      </c>
      <c r="F1075">
        <f>VLOOKUP(ORDERS[[#This Row],[ProductID]],Products[],4,FALSE)</f>
        <v>30</v>
      </c>
      <c r="G1075">
        <v>0</v>
      </c>
      <c r="H1075">
        <f>(ORDERS[[#This Row],[UnitsOrdered]]*ORDERS[[#This Row],[unit price]])-(ORDERS[[#This Row],[UnitsOrdered]]*ORDERS[[#This Row],[unit price]]*ORDERS[[#This Row],[Discount]])</f>
        <v>1890</v>
      </c>
      <c r="I1075" t="str">
        <f>VLOOKUP(ORDERS[[#This Row],[CustomerID]],customers[],2,FALSE)</f>
        <v>Abracadaba Ink</v>
      </c>
      <c r="J1075" s="2" t="str">
        <f>VLOOKUP(ORDERS[[#This Row],[CustomerID]],customers[],4,FALSE)</f>
        <v>Salt Lake City</v>
      </c>
      <c r="K1075" s="2" t="str">
        <f>VLOOKUP(ORDERS[[#This Row],[ProductID]],Products[],3,FALSE)</f>
        <v>Both</v>
      </c>
      <c r="L1075" s="2">
        <f>DAY(ORDERS[[#This Row],[OrderDate]])</f>
        <v>11</v>
      </c>
      <c r="M1075" s="2">
        <f>YEAR(ORDERS[[#This Row],[OrderDate]])</f>
        <v>2014</v>
      </c>
    </row>
    <row r="1076" spans="1:13" x14ac:dyDescent="0.3">
      <c r="A1076">
        <v>1075</v>
      </c>
      <c r="B1076">
        <v>6</v>
      </c>
      <c r="C1076">
        <v>6</v>
      </c>
      <c r="D1076" s="1">
        <v>41770</v>
      </c>
      <c r="E1076">
        <v>100</v>
      </c>
      <c r="F1076">
        <f>VLOOKUP(ORDERS[[#This Row],[ProductID]],Products[],4,FALSE)</f>
        <v>28</v>
      </c>
      <c r="G1076">
        <v>5.0000001000000002E-2</v>
      </c>
      <c r="H1076">
        <f>(ORDERS[[#This Row],[UnitsOrdered]]*ORDERS[[#This Row],[unit price]])-(ORDERS[[#This Row],[UnitsOrdered]]*ORDERS[[#This Row],[unit price]]*ORDERS[[#This Row],[Discount]])</f>
        <v>2659.9999972000001</v>
      </c>
      <c r="I1076" t="str">
        <f>VLOOKUP(ORDERS[[#This Row],[CustomerID]],customers[],2,FALSE)</f>
        <v>Abracadaba Ink</v>
      </c>
      <c r="J1076" s="2" t="str">
        <f>VLOOKUP(ORDERS[[#This Row],[CustomerID]],customers[],4,FALSE)</f>
        <v>Salt Lake City</v>
      </c>
      <c r="K1076" s="2" t="str">
        <f>VLOOKUP(ORDERS[[#This Row],[ProductID]],Products[],3,FALSE)</f>
        <v>Female</v>
      </c>
      <c r="L1076" s="2">
        <f>DAY(ORDERS[[#This Row],[OrderDate]])</f>
        <v>11</v>
      </c>
      <c r="M1076" s="2">
        <f>YEAR(ORDERS[[#This Row],[OrderDate]])</f>
        <v>2014</v>
      </c>
    </row>
    <row r="1077" spans="1:13" x14ac:dyDescent="0.3">
      <c r="A1077">
        <v>1076</v>
      </c>
      <c r="B1077">
        <v>2</v>
      </c>
      <c r="C1077">
        <v>6</v>
      </c>
      <c r="D1077" s="1">
        <v>41772</v>
      </c>
      <c r="E1077">
        <v>110</v>
      </c>
      <c r="F1077">
        <f>VLOOKUP(ORDERS[[#This Row],[ProductID]],Products[],4,FALSE)</f>
        <v>28</v>
      </c>
      <c r="G1077">
        <v>0</v>
      </c>
      <c r="H1077">
        <f>(ORDERS[[#This Row],[UnitsOrdered]]*ORDERS[[#This Row],[unit price]])-(ORDERS[[#This Row],[UnitsOrdered]]*ORDERS[[#This Row],[unit price]]*ORDERS[[#This Row],[Discount]])</f>
        <v>3080</v>
      </c>
      <c r="I1077" t="str">
        <f>VLOOKUP(ORDERS[[#This Row],[CustomerID]],customers[],2,FALSE)</f>
        <v>A Shirts Life</v>
      </c>
      <c r="J1077" s="2" t="str">
        <f>VLOOKUP(ORDERS[[#This Row],[CustomerID]],customers[],4,FALSE)</f>
        <v>Portland</v>
      </c>
      <c r="K1077" s="2" t="str">
        <f>VLOOKUP(ORDERS[[#This Row],[ProductID]],Products[],3,FALSE)</f>
        <v>Female</v>
      </c>
      <c r="L1077" s="2">
        <f>DAY(ORDERS[[#This Row],[OrderDate]])</f>
        <v>13</v>
      </c>
      <c r="M1077" s="2">
        <f>YEAR(ORDERS[[#This Row],[OrderDate]])</f>
        <v>2014</v>
      </c>
    </row>
    <row r="1078" spans="1:13" x14ac:dyDescent="0.3">
      <c r="A1078">
        <v>1077</v>
      </c>
      <c r="B1078">
        <v>7</v>
      </c>
      <c r="C1078">
        <v>1</v>
      </c>
      <c r="D1078" s="1">
        <v>41772</v>
      </c>
      <c r="E1078">
        <v>79</v>
      </c>
      <c r="F1078">
        <f>VLOOKUP(ORDERS[[#This Row],[ProductID]],Products[],4,FALSE)</f>
        <v>20</v>
      </c>
      <c r="G1078">
        <v>5.0000001000000002E-2</v>
      </c>
      <c r="H1078">
        <f>(ORDERS[[#This Row],[UnitsOrdered]]*ORDERS[[#This Row],[unit price]])-(ORDERS[[#This Row],[UnitsOrdered]]*ORDERS[[#This Row],[unit price]]*ORDERS[[#This Row],[Discount]])</f>
        <v>1500.9999984199999</v>
      </c>
      <c r="I1078" t="str">
        <f>VLOOKUP(ORDERS[[#This Row],[CustomerID]],customers[],2,FALSE)</f>
        <v>The Shirt on Your Back</v>
      </c>
      <c r="J1078" s="2" t="str">
        <f>VLOOKUP(ORDERS[[#This Row],[CustomerID]],customers[],4,FALSE)</f>
        <v>Bonners Ferry</v>
      </c>
      <c r="K1078" s="2" t="str">
        <f>VLOOKUP(ORDERS[[#This Row],[ProductID]],Products[],3,FALSE)</f>
        <v>Both</v>
      </c>
      <c r="L1078" s="2">
        <f>DAY(ORDERS[[#This Row],[OrderDate]])</f>
        <v>13</v>
      </c>
      <c r="M1078" s="2">
        <f>YEAR(ORDERS[[#This Row],[OrderDate]])</f>
        <v>2014</v>
      </c>
    </row>
    <row r="1079" spans="1:13" x14ac:dyDescent="0.3">
      <c r="A1079">
        <v>1078</v>
      </c>
      <c r="B1079">
        <v>1</v>
      </c>
      <c r="C1079">
        <v>1</v>
      </c>
      <c r="D1079" s="1">
        <v>41773</v>
      </c>
      <c r="E1079">
        <v>134</v>
      </c>
      <c r="F1079">
        <f>VLOOKUP(ORDERS[[#This Row],[ProductID]],Products[],4,FALSE)</f>
        <v>20</v>
      </c>
      <c r="G1079">
        <v>0.10000000100000001</v>
      </c>
      <c r="H1079">
        <f>(ORDERS[[#This Row],[UnitsOrdered]]*ORDERS[[#This Row],[unit price]])-(ORDERS[[#This Row],[UnitsOrdered]]*ORDERS[[#This Row],[unit price]]*ORDERS[[#This Row],[Discount]])</f>
        <v>2411.9999973200001</v>
      </c>
      <c r="I1079" t="str">
        <f>VLOOKUP(ORDERS[[#This Row],[CustomerID]],customers[],2,FALSE)</f>
        <v>Threads</v>
      </c>
      <c r="J1079" s="2" t="str">
        <f>VLOOKUP(ORDERS[[#This Row],[CustomerID]],customers[],4,FALSE)</f>
        <v>Seattle</v>
      </c>
      <c r="K1079" s="2" t="str">
        <f>VLOOKUP(ORDERS[[#This Row],[ProductID]],Products[],3,FALSE)</f>
        <v>Both</v>
      </c>
      <c r="L1079" s="2">
        <f>DAY(ORDERS[[#This Row],[OrderDate]])</f>
        <v>14</v>
      </c>
      <c r="M1079" s="2">
        <f>YEAR(ORDERS[[#This Row],[OrderDate]])</f>
        <v>2014</v>
      </c>
    </row>
    <row r="1080" spans="1:13" x14ac:dyDescent="0.3">
      <c r="A1080">
        <v>1079</v>
      </c>
      <c r="B1080">
        <v>1</v>
      </c>
      <c r="C1080">
        <v>4</v>
      </c>
      <c r="D1080" s="1">
        <v>41773</v>
      </c>
      <c r="E1080">
        <v>98</v>
      </c>
      <c r="F1080">
        <f>VLOOKUP(ORDERS[[#This Row],[ProductID]],Products[],4,FALSE)</f>
        <v>30</v>
      </c>
      <c r="G1080">
        <v>0</v>
      </c>
      <c r="H1080">
        <f>(ORDERS[[#This Row],[UnitsOrdered]]*ORDERS[[#This Row],[unit price]])-(ORDERS[[#This Row],[UnitsOrdered]]*ORDERS[[#This Row],[unit price]]*ORDERS[[#This Row],[Discount]])</f>
        <v>2940</v>
      </c>
      <c r="I1080" t="str">
        <f>VLOOKUP(ORDERS[[#This Row],[CustomerID]],customers[],2,FALSE)</f>
        <v>Threads</v>
      </c>
      <c r="J1080" s="2" t="str">
        <f>VLOOKUP(ORDERS[[#This Row],[CustomerID]],customers[],4,FALSE)</f>
        <v>Seattle</v>
      </c>
      <c r="K1080" s="2" t="str">
        <f>VLOOKUP(ORDERS[[#This Row],[ProductID]],Products[],3,FALSE)</f>
        <v>Both</v>
      </c>
      <c r="L1080" s="2">
        <f>DAY(ORDERS[[#This Row],[OrderDate]])</f>
        <v>14</v>
      </c>
      <c r="M1080" s="2">
        <f>YEAR(ORDERS[[#This Row],[OrderDate]])</f>
        <v>2014</v>
      </c>
    </row>
    <row r="1081" spans="1:13" x14ac:dyDescent="0.3">
      <c r="A1081">
        <v>1080</v>
      </c>
      <c r="B1081">
        <v>3</v>
      </c>
      <c r="C1081">
        <v>1</v>
      </c>
      <c r="D1081" s="1">
        <v>41773</v>
      </c>
      <c r="E1081">
        <v>58</v>
      </c>
      <c r="F1081">
        <f>VLOOKUP(ORDERS[[#This Row],[ProductID]],Products[],4,FALSE)</f>
        <v>20</v>
      </c>
      <c r="G1081">
        <v>5.0000001000000002E-2</v>
      </c>
      <c r="H1081">
        <f>(ORDERS[[#This Row],[UnitsOrdered]]*ORDERS[[#This Row],[unit price]])-(ORDERS[[#This Row],[UnitsOrdered]]*ORDERS[[#This Row],[unit price]]*ORDERS[[#This Row],[Discount]])</f>
        <v>1101.99999884</v>
      </c>
      <c r="I1081" t="str">
        <f>VLOOKUP(ORDERS[[#This Row],[CustomerID]],customers[],2,FALSE)</f>
        <v>Shirts R Us</v>
      </c>
      <c r="J1081" s="2" t="str">
        <f>VLOOKUP(ORDERS[[#This Row],[CustomerID]],customers[],4,FALSE)</f>
        <v>Los Angeles</v>
      </c>
      <c r="K1081" s="2" t="str">
        <f>VLOOKUP(ORDERS[[#This Row],[ProductID]],Products[],3,FALSE)</f>
        <v>Both</v>
      </c>
      <c r="L1081" s="2">
        <f>DAY(ORDERS[[#This Row],[OrderDate]])</f>
        <v>14</v>
      </c>
      <c r="M1081" s="2">
        <f>YEAR(ORDERS[[#This Row],[OrderDate]])</f>
        <v>2014</v>
      </c>
    </row>
    <row r="1082" spans="1:13" x14ac:dyDescent="0.3">
      <c r="A1082">
        <v>1081</v>
      </c>
      <c r="B1082">
        <v>3</v>
      </c>
      <c r="C1082">
        <v>7</v>
      </c>
      <c r="D1082" s="1">
        <v>41773</v>
      </c>
      <c r="E1082">
        <v>48</v>
      </c>
      <c r="F1082">
        <f>VLOOKUP(ORDERS[[#This Row],[ProductID]],Products[],4,FALSE)</f>
        <v>38</v>
      </c>
      <c r="G1082">
        <v>0</v>
      </c>
      <c r="H1082">
        <f>(ORDERS[[#This Row],[UnitsOrdered]]*ORDERS[[#This Row],[unit price]])-(ORDERS[[#This Row],[UnitsOrdered]]*ORDERS[[#This Row],[unit price]]*ORDERS[[#This Row],[Discount]])</f>
        <v>1824</v>
      </c>
      <c r="I1082" t="str">
        <f>VLOOKUP(ORDERS[[#This Row],[CustomerID]],customers[],2,FALSE)</f>
        <v>Shirts R Us</v>
      </c>
      <c r="J1082" s="2" t="str">
        <f>VLOOKUP(ORDERS[[#This Row],[CustomerID]],customers[],4,FALSE)</f>
        <v>Los Angeles</v>
      </c>
      <c r="K1082" s="2" t="str">
        <f>VLOOKUP(ORDERS[[#This Row],[ProductID]],Products[],3,FALSE)</f>
        <v>Female</v>
      </c>
      <c r="L1082" s="2">
        <f>DAY(ORDERS[[#This Row],[OrderDate]])</f>
        <v>14</v>
      </c>
      <c r="M1082" s="2">
        <f>YEAR(ORDERS[[#This Row],[OrderDate]])</f>
        <v>2014</v>
      </c>
    </row>
    <row r="1083" spans="1:13" x14ac:dyDescent="0.3">
      <c r="A1083">
        <v>1082</v>
      </c>
      <c r="B1083">
        <v>4</v>
      </c>
      <c r="C1083">
        <v>7</v>
      </c>
      <c r="D1083" s="1">
        <v>41774</v>
      </c>
      <c r="E1083">
        <v>149</v>
      </c>
      <c r="F1083">
        <f>VLOOKUP(ORDERS[[#This Row],[ProductID]],Products[],4,FALSE)</f>
        <v>38</v>
      </c>
      <c r="G1083">
        <v>5.0000001000000002E-2</v>
      </c>
      <c r="H1083">
        <f>(ORDERS[[#This Row],[UnitsOrdered]]*ORDERS[[#This Row],[unit price]])-(ORDERS[[#This Row],[UnitsOrdered]]*ORDERS[[#This Row],[unit price]]*ORDERS[[#This Row],[Discount]])</f>
        <v>5378.8999943380004</v>
      </c>
      <c r="I1083" t="str">
        <f>VLOOKUP(ORDERS[[#This Row],[CustomerID]],customers[],2,FALSE)</f>
        <v>Tshirt Unlimited</v>
      </c>
      <c r="J1083" s="2" t="str">
        <f>VLOOKUP(ORDERS[[#This Row],[CustomerID]],customers[],4,FALSE)</f>
        <v>Phoenix</v>
      </c>
      <c r="K1083" s="2" t="str">
        <f>VLOOKUP(ORDERS[[#This Row],[ProductID]],Products[],3,FALSE)</f>
        <v>Female</v>
      </c>
      <c r="L1083" s="2">
        <f>DAY(ORDERS[[#This Row],[OrderDate]])</f>
        <v>15</v>
      </c>
      <c r="M1083" s="2">
        <f>YEAR(ORDERS[[#This Row],[OrderDate]])</f>
        <v>2014</v>
      </c>
    </row>
    <row r="1084" spans="1:13" x14ac:dyDescent="0.3">
      <c r="A1084">
        <v>1083</v>
      </c>
      <c r="B1084">
        <v>1</v>
      </c>
      <c r="C1084">
        <v>4</v>
      </c>
      <c r="D1084" s="1">
        <v>41776</v>
      </c>
      <c r="E1084">
        <v>25</v>
      </c>
      <c r="F1084">
        <f>VLOOKUP(ORDERS[[#This Row],[ProductID]],Products[],4,FALSE)</f>
        <v>30</v>
      </c>
      <c r="G1084">
        <v>0</v>
      </c>
      <c r="H1084">
        <f>(ORDERS[[#This Row],[UnitsOrdered]]*ORDERS[[#This Row],[unit price]])-(ORDERS[[#This Row],[UnitsOrdered]]*ORDERS[[#This Row],[unit price]]*ORDERS[[#This Row],[Discount]])</f>
        <v>750</v>
      </c>
      <c r="I1084" t="str">
        <f>VLOOKUP(ORDERS[[#This Row],[CustomerID]],customers[],2,FALSE)</f>
        <v>Threads</v>
      </c>
      <c r="J1084" s="2" t="str">
        <f>VLOOKUP(ORDERS[[#This Row],[CustomerID]],customers[],4,FALSE)</f>
        <v>Seattle</v>
      </c>
      <c r="K1084" s="2" t="str">
        <f>VLOOKUP(ORDERS[[#This Row],[ProductID]],Products[],3,FALSE)</f>
        <v>Both</v>
      </c>
      <c r="L1084" s="2">
        <f>DAY(ORDERS[[#This Row],[OrderDate]])</f>
        <v>17</v>
      </c>
      <c r="M1084" s="2">
        <f>YEAR(ORDERS[[#This Row],[OrderDate]])</f>
        <v>2014</v>
      </c>
    </row>
    <row r="1085" spans="1:13" x14ac:dyDescent="0.3">
      <c r="A1085">
        <v>1084</v>
      </c>
      <c r="B1085">
        <v>1</v>
      </c>
      <c r="C1085">
        <v>10</v>
      </c>
      <c r="D1085" s="1">
        <v>41777</v>
      </c>
      <c r="E1085">
        <v>54</v>
      </c>
      <c r="F1085">
        <f>VLOOKUP(ORDERS[[#This Row],[ProductID]],Products[],4,FALSE)</f>
        <v>35</v>
      </c>
      <c r="G1085">
        <v>5.0000001000000002E-2</v>
      </c>
      <c r="H1085">
        <f>(ORDERS[[#This Row],[UnitsOrdered]]*ORDERS[[#This Row],[unit price]])-(ORDERS[[#This Row],[UnitsOrdered]]*ORDERS[[#This Row],[unit price]]*ORDERS[[#This Row],[Discount]])</f>
        <v>1795.49999811</v>
      </c>
      <c r="I1085" t="str">
        <f>VLOOKUP(ORDERS[[#This Row],[CustomerID]],customers[],2,FALSE)</f>
        <v>Threads</v>
      </c>
      <c r="J1085" s="2" t="str">
        <f>VLOOKUP(ORDERS[[#This Row],[CustomerID]],customers[],4,FALSE)</f>
        <v>Seattle</v>
      </c>
      <c r="K1085" s="2" t="str">
        <f>VLOOKUP(ORDERS[[#This Row],[ProductID]],Products[],3,FALSE)</f>
        <v>Male</v>
      </c>
      <c r="L1085" s="2">
        <f>DAY(ORDERS[[#This Row],[OrderDate]])</f>
        <v>18</v>
      </c>
      <c r="M1085" s="2">
        <f>YEAR(ORDERS[[#This Row],[OrderDate]])</f>
        <v>2014</v>
      </c>
    </row>
    <row r="1086" spans="1:13" x14ac:dyDescent="0.3">
      <c r="A1086">
        <v>1085</v>
      </c>
      <c r="B1086">
        <v>3</v>
      </c>
      <c r="C1086">
        <v>8</v>
      </c>
      <c r="D1086" s="1">
        <v>41779</v>
      </c>
      <c r="E1086">
        <v>102</v>
      </c>
      <c r="F1086">
        <f>VLOOKUP(ORDERS[[#This Row],[ProductID]],Products[],4,FALSE)</f>
        <v>27</v>
      </c>
      <c r="G1086">
        <v>0</v>
      </c>
      <c r="H1086">
        <f>(ORDERS[[#This Row],[UnitsOrdered]]*ORDERS[[#This Row],[unit price]])-(ORDERS[[#This Row],[UnitsOrdered]]*ORDERS[[#This Row],[unit price]]*ORDERS[[#This Row],[Discount]])</f>
        <v>2754</v>
      </c>
      <c r="I1086" t="str">
        <f>VLOOKUP(ORDERS[[#This Row],[CustomerID]],customers[],2,FALSE)</f>
        <v>Shirts R Us</v>
      </c>
      <c r="J1086" s="2" t="str">
        <f>VLOOKUP(ORDERS[[#This Row],[CustomerID]],customers[],4,FALSE)</f>
        <v>Los Angeles</v>
      </c>
      <c r="K1086" s="2" t="str">
        <f>VLOOKUP(ORDERS[[#This Row],[ProductID]],Products[],3,FALSE)</f>
        <v>Female</v>
      </c>
      <c r="L1086" s="2">
        <f>DAY(ORDERS[[#This Row],[OrderDate]])</f>
        <v>20</v>
      </c>
      <c r="M1086" s="2">
        <f>YEAR(ORDERS[[#This Row],[OrderDate]])</f>
        <v>2014</v>
      </c>
    </row>
    <row r="1087" spans="1:13" x14ac:dyDescent="0.3">
      <c r="A1087">
        <v>1086</v>
      </c>
      <c r="B1087">
        <v>5</v>
      </c>
      <c r="C1087">
        <v>5</v>
      </c>
      <c r="D1087" s="1">
        <v>41779</v>
      </c>
      <c r="E1087">
        <v>119</v>
      </c>
      <c r="F1087">
        <f>VLOOKUP(ORDERS[[#This Row],[ProductID]],Products[],4,FALSE)</f>
        <v>16</v>
      </c>
      <c r="G1087">
        <v>0</v>
      </c>
      <c r="H1087">
        <f>(ORDERS[[#This Row],[UnitsOrdered]]*ORDERS[[#This Row],[unit price]])-(ORDERS[[#This Row],[UnitsOrdered]]*ORDERS[[#This Row],[unit price]]*ORDERS[[#This Row],[Discount]])</f>
        <v>1904</v>
      </c>
      <c r="I1087" t="str">
        <f>VLOOKUP(ORDERS[[#This Row],[CustomerID]],customers[],2,FALSE)</f>
        <v>Rags to Riches</v>
      </c>
      <c r="J1087" s="2" t="str">
        <f>VLOOKUP(ORDERS[[#This Row],[CustomerID]],customers[],4,FALSE)</f>
        <v>Las Vegas</v>
      </c>
      <c r="K1087" s="2" t="str">
        <f>VLOOKUP(ORDERS[[#This Row],[ProductID]],Products[],3,FALSE)</f>
        <v>Female</v>
      </c>
      <c r="L1087" s="2">
        <f>DAY(ORDERS[[#This Row],[OrderDate]])</f>
        <v>20</v>
      </c>
      <c r="M1087" s="2">
        <f>YEAR(ORDERS[[#This Row],[OrderDate]])</f>
        <v>2014</v>
      </c>
    </row>
    <row r="1088" spans="1:13" x14ac:dyDescent="0.3">
      <c r="A1088">
        <v>1087</v>
      </c>
      <c r="B1088">
        <v>1</v>
      </c>
      <c r="C1088">
        <v>5</v>
      </c>
      <c r="D1088" s="1">
        <v>41781</v>
      </c>
      <c r="E1088">
        <v>40</v>
      </c>
      <c r="F1088">
        <f>VLOOKUP(ORDERS[[#This Row],[ProductID]],Products[],4,FALSE)</f>
        <v>16</v>
      </c>
      <c r="G1088">
        <v>0</v>
      </c>
      <c r="H1088">
        <f>(ORDERS[[#This Row],[UnitsOrdered]]*ORDERS[[#This Row],[unit price]])-(ORDERS[[#This Row],[UnitsOrdered]]*ORDERS[[#This Row],[unit price]]*ORDERS[[#This Row],[Discount]])</f>
        <v>640</v>
      </c>
      <c r="I1088" t="str">
        <f>VLOOKUP(ORDERS[[#This Row],[CustomerID]],customers[],2,FALSE)</f>
        <v>Threads</v>
      </c>
      <c r="J1088" s="2" t="str">
        <f>VLOOKUP(ORDERS[[#This Row],[CustomerID]],customers[],4,FALSE)</f>
        <v>Seattle</v>
      </c>
      <c r="K1088" s="2" t="str">
        <f>VLOOKUP(ORDERS[[#This Row],[ProductID]],Products[],3,FALSE)</f>
        <v>Female</v>
      </c>
      <c r="L1088" s="2">
        <f>DAY(ORDERS[[#This Row],[OrderDate]])</f>
        <v>22</v>
      </c>
      <c r="M1088" s="2">
        <f>YEAR(ORDERS[[#This Row],[OrderDate]])</f>
        <v>2014</v>
      </c>
    </row>
    <row r="1089" spans="1:13" x14ac:dyDescent="0.3">
      <c r="A1089">
        <v>1088</v>
      </c>
      <c r="B1089">
        <v>4</v>
      </c>
      <c r="C1089">
        <v>9</v>
      </c>
      <c r="D1089" s="1">
        <v>41781</v>
      </c>
      <c r="E1089">
        <v>133</v>
      </c>
      <c r="F1089">
        <f>VLOOKUP(ORDERS[[#This Row],[ProductID]],Products[],4,FALSE)</f>
        <v>25</v>
      </c>
      <c r="G1089">
        <v>5.0000001000000002E-2</v>
      </c>
      <c r="H1089">
        <f>(ORDERS[[#This Row],[UnitsOrdered]]*ORDERS[[#This Row],[unit price]])-(ORDERS[[#This Row],[UnitsOrdered]]*ORDERS[[#This Row],[unit price]]*ORDERS[[#This Row],[Discount]])</f>
        <v>3158.7499966750001</v>
      </c>
      <c r="I1089" t="str">
        <f>VLOOKUP(ORDERS[[#This Row],[CustomerID]],customers[],2,FALSE)</f>
        <v>Tshirt Unlimited</v>
      </c>
      <c r="J1089" s="2" t="str">
        <f>VLOOKUP(ORDERS[[#This Row],[CustomerID]],customers[],4,FALSE)</f>
        <v>Phoenix</v>
      </c>
      <c r="K1089" s="2" t="str">
        <f>VLOOKUP(ORDERS[[#This Row],[ProductID]],Products[],3,FALSE)</f>
        <v>Male</v>
      </c>
      <c r="L1089" s="2">
        <f>DAY(ORDERS[[#This Row],[OrderDate]])</f>
        <v>22</v>
      </c>
      <c r="M1089" s="2">
        <f>YEAR(ORDERS[[#This Row],[OrderDate]])</f>
        <v>2014</v>
      </c>
    </row>
    <row r="1090" spans="1:13" x14ac:dyDescent="0.3">
      <c r="A1090">
        <v>1089</v>
      </c>
      <c r="B1090">
        <v>6</v>
      </c>
      <c r="C1090">
        <v>4</v>
      </c>
      <c r="D1090" s="1">
        <v>41781</v>
      </c>
      <c r="E1090">
        <v>133</v>
      </c>
      <c r="F1090">
        <f>VLOOKUP(ORDERS[[#This Row],[ProductID]],Products[],4,FALSE)</f>
        <v>30</v>
      </c>
      <c r="G1090">
        <v>0</v>
      </c>
      <c r="H1090">
        <f>(ORDERS[[#This Row],[UnitsOrdered]]*ORDERS[[#This Row],[unit price]])-(ORDERS[[#This Row],[UnitsOrdered]]*ORDERS[[#This Row],[unit price]]*ORDERS[[#This Row],[Discount]])</f>
        <v>3990</v>
      </c>
      <c r="I1090" t="str">
        <f>VLOOKUP(ORDERS[[#This Row],[CustomerID]],customers[],2,FALSE)</f>
        <v>Abracadaba Ink</v>
      </c>
      <c r="J1090" s="2" t="str">
        <f>VLOOKUP(ORDERS[[#This Row],[CustomerID]],customers[],4,FALSE)</f>
        <v>Salt Lake City</v>
      </c>
      <c r="K1090" s="2" t="str">
        <f>VLOOKUP(ORDERS[[#This Row],[ProductID]],Products[],3,FALSE)</f>
        <v>Both</v>
      </c>
      <c r="L1090" s="2">
        <f>DAY(ORDERS[[#This Row],[OrderDate]])</f>
        <v>22</v>
      </c>
      <c r="M1090" s="2">
        <f>YEAR(ORDERS[[#This Row],[OrderDate]])</f>
        <v>2014</v>
      </c>
    </row>
    <row r="1091" spans="1:13" x14ac:dyDescent="0.3">
      <c r="A1091">
        <v>1090</v>
      </c>
      <c r="B1091">
        <v>1</v>
      </c>
      <c r="C1091">
        <v>1</v>
      </c>
      <c r="D1091" s="1">
        <v>41782</v>
      </c>
      <c r="E1091">
        <v>149</v>
      </c>
      <c r="F1091">
        <f>VLOOKUP(ORDERS[[#This Row],[ProductID]],Products[],4,FALSE)</f>
        <v>20</v>
      </c>
      <c r="G1091">
        <v>0</v>
      </c>
      <c r="H1091">
        <f>(ORDERS[[#This Row],[UnitsOrdered]]*ORDERS[[#This Row],[unit price]])-(ORDERS[[#This Row],[UnitsOrdered]]*ORDERS[[#This Row],[unit price]]*ORDERS[[#This Row],[Discount]])</f>
        <v>2980</v>
      </c>
      <c r="I1091" t="str">
        <f>VLOOKUP(ORDERS[[#This Row],[CustomerID]],customers[],2,FALSE)</f>
        <v>Threads</v>
      </c>
      <c r="J1091" s="2" t="str">
        <f>VLOOKUP(ORDERS[[#This Row],[CustomerID]],customers[],4,FALSE)</f>
        <v>Seattle</v>
      </c>
      <c r="K1091" s="2" t="str">
        <f>VLOOKUP(ORDERS[[#This Row],[ProductID]],Products[],3,FALSE)</f>
        <v>Both</v>
      </c>
      <c r="L1091" s="2">
        <f>DAY(ORDERS[[#This Row],[OrderDate]])</f>
        <v>23</v>
      </c>
      <c r="M1091" s="2">
        <f>YEAR(ORDERS[[#This Row],[OrderDate]])</f>
        <v>2014</v>
      </c>
    </row>
    <row r="1092" spans="1:13" x14ac:dyDescent="0.3">
      <c r="A1092">
        <v>1091</v>
      </c>
      <c r="B1092">
        <v>2</v>
      </c>
      <c r="C1092">
        <v>5</v>
      </c>
      <c r="D1092" s="1">
        <v>41782</v>
      </c>
      <c r="E1092">
        <v>54</v>
      </c>
      <c r="F1092">
        <f>VLOOKUP(ORDERS[[#This Row],[ProductID]],Products[],4,FALSE)</f>
        <v>16</v>
      </c>
      <c r="G1092">
        <v>0</v>
      </c>
      <c r="H1092">
        <f>(ORDERS[[#This Row],[UnitsOrdered]]*ORDERS[[#This Row],[unit price]])-(ORDERS[[#This Row],[UnitsOrdered]]*ORDERS[[#This Row],[unit price]]*ORDERS[[#This Row],[Discount]])</f>
        <v>864</v>
      </c>
      <c r="I1092" t="str">
        <f>VLOOKUP(ORDERS[[#This Row],[CustomerID]],customers[],2,FALSE)</f>
        <v>A Shirts Life</v>
      </c>
      <c r="J1092" s="2" t="str">
        <f>VLOOKUP(ORDERS[[#This Row],[CustomerID]],customers[],4,FALSE)</f>
        <v>Portland</v>
      </c>
      <c r="K1092" s="2" t="str">
        <f>VLOOKUP(ORDERS[[#This Row],[ProductID]],Products[],3,FALSE)</f>
        <v>Female</v>
      </c>
      <c r="L1092" s="2">
        <f>DAY(ORDERS[[#This Row],[OrderDate]])</f>
        <v>23</v>
      </c>
      <c r="M1092" s="2">
        <f>YEAR(ORDERS[[#This Row],[OrderDate]])</f>
        <v>2014</v>
      </c>
    </row>
    <row r="1093" spans="1:13" x14ac:dyDescent="0.3">
      <c r="A1093">
        <v>1092</v>
      </c>
      <c r="B1093">
        <v>2</v>
      </c>
      <c r="C1093">
        <v>8</v>
      </c>
      <c r="D1093" s="1">
        <v>41782</v>
      </c>
      <c r="E1093">
        <v>147</v>
      </c>
      <c r="F1093">
        <f>VLOOKUP(ORDERS[[#This Row],[ProductID]],Products[],4,FALSE)</f>
        <v>27</v>
      </c>
      <c r="G1093">
        <v>5.0000001000000002E-2</v>
      </c>
      <c r="H1093">
        <f>(ORDERS[[#This Row],[UnitsOrdered]]*ORDERS[[#This Row],[unit price]])-(ORDERS[[#This Row],[UnitsOrdered]]*ORDERS[[#This Row],[unit price]]*ORDERS[[#This Row],[Discount]])</f>
        <v>3770.5499960309999</v>
      </c>
      <c r="I1093" t="str">
        <f>VLOOKUP(ORDERS[[#This Row],[CustomerID]],customers[],2,FALSE)</f>
        <v>A Shirts Life</v>
      </c>
      <c r="J1093" s="2" t="str">
        <f>VLOOKUP(ORDERS[[#This Row],[CustomerID]],customers[],4,FALSE)</f>
        <v>Portland</v>
      </c>
      <c r="K1093" s="2" t="str">
        <f>VLOOKUP(ORDERS[[#This Row],[ProductID]],Products[],3,FALSE)</f>
        <v>Female</v>
      </c>
      <c r="L1093" s="2">
        <f>DAY(ORDERS[[#This Row],[OrderDate]])</f>
        <v>23</v>
      </c>
      <c r="M1093" s="2">
        <f>YEAR(ORDERS[[#This Row],[OrderDate]])</f>
        <v>2014</v>
      </c>
    </row>
    <row r="1094" spans="1:13" x14ac:dyDescent="0.3">
      <c r="A1094">
        <v>1093</v>
      </c>
      <c r="B1094">
        <v>6</v>
      </c>
      <c r="C1094">
        <v>2</v>
      </c>
      <c r="D1094" s="1">
        <v>41783</v>
      </c>
      <c r="E1094">
        <v>121</v>
      </c>
      <c r="F1094">
        <f>VLOOKUP(ORDERS[[#This Row],[ProductID]],Products[],4,FALSE)</f>
        <v>30</v>
      </c>
      <c r="G1094">
        <v>0</v>
      </c>
      <c r="H1094">
        <f>(ORDERS[[#This Row],[UnitsOrdered]]*ORDERS[[#This Row],[unit price]])-(ORDERS[[#This Row],[UnitsOrdered]]*ORDERS[[#This Row],[unit price]]*ORDERS[[#This Row],[Discount]])</f>
        <v>3630</v>
      </c>
      <c r="I1094" t="str">
        <f>VLOOKUP(ORDERS[[#This Row],[CustomerID]],customers[],2,FALSE)</f>
        <v>Abracadaba Ink</v>
      </c>
      <c r="J1094" s="2" t="str">
        <f>VLOOKUP(ORDERS[[#This Row],[CustomerID]],customers[],4,FALSE)</f>
        <v>Salt Lake City</v>
      </c>
      <c r="K1094" s="2" t="str">
        <f>VLOOKUP(ORDERS[[#This Row],[ProductID]],Products[],3,FALSE)</f>
        <v>Both</v>
      </c>
      <c r="L1094" s="2">
        <f>DAY(ORDERS[[#This Row],[OrderDate]])</f>
        <v>24</v>
      </c>
      <c r="M1094" s="2">
        <f>YEAR(ORDERS[[#This Row],[OrderDate]])</f>
        <v>2014</v>
      </c>
    </row>
    <row r="1095" spans="1:13" x14ac:dyDescent="0.3">
      <c r="A1095">
        <v>1094</v>
      </c>
      <c r="B1095">
        <v>5</v>
      </c>
      <c r="C1095">
        <v>5</v>
      </c>
      <c r="D1095" s="1">
        <v>41784</v>
      </c>
      <c r="E1095">
        <v>42</v>
      </c>
      <c r="F1095">
        <f>VLOOKUP(ORDERS[[#This Row],[ProductID]],Products[],4,FALSE)</f>
        <v>16</v>
      </c>
      <c r="G1095">
        <v>0</v>
      </c>
      <c r="H1095">
        <f>(ORDERS[[#This Row],[UnitsOrdered]]*ORDERS[[#This Row],[unit price]])-(ORDERS[[#This Row],[UnitsOrdered]]*ORDERS[[#This Row],[unit price]]*ORDERS[[#This Row],[Discount]])</f>
        <v>672</v>
      </c>
      <c r="I1095" t="str">
        <f>VLOOKUP(ORDERS[[#This Row],[CustomerID]],customers[],2,FALSE)</f>
        <v>Rags to Riches</v>
      </c>
      <c r="J1095" s="2" t="str">
        <f>VLOOKUP(ORDERS[[#This Row],[CustomerID]],customers[],4,FALSE)</f>
        <v>Las Vegas</v>
      </c>
      <c r="K1095" s="2" t="str">
        <f>VLOOKUP(ORDERS[[#This Row],[ProductID]],Products[],3,FALSE)</f>
        <v>Female</v>
      </c>
      <c r="L1095" s="2">
        <f>DAY(ORDERS[[#This Row],[OrderDate]])</f>
        <v>25</v>
      </c>
      <c r="M1095" s="2">
        <f>YEAR(ORDERS[[#This Row],[OrderDate]])</f>
        <v>2014</v>
      </c>
    </row>
    <row r="1096" spans="1:13" x14ac:dyDescent="0.3">
      <c r="A1096">
        <v>1095</v>
      </c>
      <c r="B1096">
        <v>6</v>
      </c>
      <c r="C1096">
        <v>10</v>
      </c>
      <c r="D1096" s="1">
        <v>41784</v>
      </c>
      <c r="E1096">
        <v>91</v>
      </c>
      <c r="F1096">
        <f>VLOOKUP(ORDERS[[#This Row],[ProductID]],Products[],4,FALSE)</f>
        <v>35</v>
      </c>
      <c r="G1096">
        <v>0</v>
      </c>
      <c r="H1096">
        <f>(ORDERS[[#This Row],[UnitsOrdered]]*ORDERS[[#This Row],[unit price]])-(ORDERS[[#This Row],[UnitsOrdered]]*ORDERS[[#This Row],[unit price]]*ORDERS[[#This Row],[Discount]])</f>
        <v>3185</v>
      </c>
      <c r="I1096" t="str">
        <f>VLOOKUP(ORDERS[[#This Row],[CustomerID]],customers[],2,FALSE)</f>
        <v>Abracadaba Ink</v>
      </c>
      <c r="J1096" s="2" t="str">
        <f>VLOOKUP(ORDERS[[#This Row],[CustomerID]],customers[],4,FALSE)</f>
        <v>Salt Lake City</v>
      </c>
      <c r="K1096" s="2" t="str">
        <f>VLOOKUP(ORDERS[[#This Row],[ProductID]],Products[],3,FALSE)</f>
        <v>Male</v>
      </c>
      <c r="L1096" s="2">
        <f>DAY(ORDERS[[#This Row],[OrderDate]])</f>
        <v>25</v>
      </c>
      <c r="M1096" s="2">
        <f>YEAR(ORDERS[[#This Row],[OrderDate]])</f>
        <v>2014</v>
      </c>
    </row>
    <row r="1097" spans="1:13" x14ac:dyDescent="0.3">
      <c r="A1097">
        <v>1096</v>
      </c>
      <c r="B1097">
        <v>7</v>
      </c>
      <c r="C1097">
        <v>6</v>
      </c>
      <c r="D1097" s="1">
        <v>41785</v>
      </c>
      <c r="E1097">
        <v>44</v>
      </c>
      <c r="F1097">
        <f>VLOOKUP(ORDERS[[#This Row],[ProductID]],Products[],4,FALSE)</f>
        <v>28</v>
      </c>
      <c r="G1097">
        <v>0</v>
      </c>
      <c r="H1097">
        <f>(ORDERS[[#This Row],[UnitsOrdered]]*ORDERS[[#This Row],[unit price]])-(ORDERS[[#This Row],[UnitsOrdered]]*ORDERS[[#This Row],[unit price]]*ORDERS[[#This Row],[Discount]])</f>
        <v>1232</v>
      </c>
      <c r="I1097" t="str">
        <f>VLOOKUP(ORDERS[[#This Row],[CustomerID]],customers[],2,FALSE)</f>
        <v>The Shirt on Your Back</v>
      </c>
      <c r="J1097" s="2" t="str">
        <f>VLOOKUP(ORDERS[[#This Row],[CustomerID]],customers[],4,FALSE)</f>
        <v>Bonners Ferry</v>
      </c>
      <c r="K1097" s="2" t="str">
        <f>VLOOKUP(ORDERS[[#This Row],[ProductID]],Products[],3,FALSE)</f>
        <v>Female</v>
      </c>
      <c r="L1097" s="2">
        <f>DAY(ORDERS[[#This Row],[OrderDate]])</f>
        <v>26</v>
      </c>
      <c r="M1097" s="2">
        <f>YEAR(ORDERS[[#This Row],[OrderDate]])</f>
        <v>2014</v>
      </c>
    </row>
    <row r="1098" spans="1:13" x14ac:dyDescent="0.3">
      <c r="A1098">
        <v>1097</v>
      </c>
      <c r="B1098">
        <v>6</v>
      </c>
      <c r="C1098">
        <v>5</v>
      </c>
      <c r="D1098" s="1">
        <v>41786</v>
      </c>
      <c r="E1098">
        <v>142</v>
      </c>
      <c r="F1098">
        <f>VLOOKUP(ORDERS[[#This Row],[ProductID]],Products[],4,FALSE)</f>
        <v>16</v>
      </c>
      <c r="G1098">
        <v>0</v>
      </c>
      <c r="H1098">
        <f>(ORDERS[[#This Row],[UnitsOrdered]]*ORDERS[[#This Row],[unit price]])-(ORDERS[[#This Row],[UnitsOrdered]]*ORDERS[[#This Row],[unit price]]*ORDERS[[#This Row],[Discount]])</f>
        <v>2272</v>
      </c>
      <c r="I1098" t="str">
        <f>VLOOKUP(ORDERS[[#This Row],[CustomerID]],customers[],2,FALSE)</f>
        <v>Abracadaba Ink</v>
      </c>
      <c r="J1098" s="2" t="str">
        <f>VLOOKUP(ORDERS[[#This Row],[CustomerID]],customers[],4,FALSE)</f>
        <v>Salt Lake City</v>
      </c>
      <c r="K1098" s="2" t="str">
        <f>VLOOKUP(ORDERS[[#This Row],[ProductID]],Products[],3,FALSE)</f>
        <v>Female</v>
      </c>
      <c r="L1098" s="2">
        <f>DAY(ORDERS[[#This Row],[OrderDate]])</f>
        <v>27</v>
      </c>
      <c r="M1098" s="2">
        <f>YEAR(ORDERS[[#This Row],[OrderDate]])</f>
        <v>2014</v>
      </c>
    </row>
    <row r="1099" spans="1:13" x14ac:dyDescent="0.3">
      <c r="A1099">
        <v>1098</v>
      </c>
      <c r="B1099">
        <v>6</v>
      </c>
      <c r="C1099">
        <v>6</v>
      </c>
      <c r="D1099" s="1">
        <v>41786</v>
      </c>
      <c r="E1099">
        <v>53</v>
      </c>
      <c r="F1099">
        <f>VLOOKUP(ORDERS[[#This Row],[ProductID]],Products[],4,FALSE)</f>
        <v>28</v>
      </c>
      <c r="G1099">
        <v>0</v>
      </c>
      <c r="H1099">
        <f>(ORDERS[[#This Row],[UnitsOrdered]]*ORDERS[[#This Row],[unit price]])-(ORDERS[[#This Row],[UnitsOrdered]]*ORDERS[[#This Row],[unit price]]*ORDERS[[#This Row],[Discount]])</f>
        <v>1484</v>
      </c>
      <c r="I1099" t="str">
        <f>VLOOKUP(ORDERS[[#This Row],[CustomerID]],customers[],2,FALSE)</f>
        <v>Abracadaba Ink</v>
      </c>
      <c r="J1099" s="2" t="str">
        <f>VLOOKUP(ORDERS[[#This Row],[CustomerID]],customers[],4,FALSE)</f>
        <v>Salt Lake City</v>
      </c>
      <c r="K1099" s="2" t="str">
        <f>VLOOKUP(ORDERS[[#This Row],[ProductID]],Products[],3,FALSE)</f>
        <v>Female</v>
      </c>
      <c r="L1099" s="2">
        <f>DAY(ORDERS[[#This Row],[OrderDate]])</f>
        <v>27</v>
      </c>
      <c r="M1099" s="2">
        <f>YEAR(ORDERS[[#This Row],[OrderDate]])</f>
        <v>2014</v>
      </c>
    </row>
    <row r="1100" spans="1:13" x14ac:dyDescent="0.3">
      <c r="A1100">
        <v>1099</v>
      </c>
      <c r="B1100">
        <v>2</v>
      </c>
      <c r="C1100">
        <v>2</v>
      </c>
      <c r="D1100" s="1">
        <v>41787</v>
      </c>
      <c r="E1100">
        <v>148</v>
      </c>
      <c r="F1100">
        <f>VLOOKUP(ORDERS[[#This Row],[ProductID]],Products[],4,FALSE)</f>
        <v>30</v>
      </c>
      <c r="G1100">
        <v>0</v>
      </c>
      <c r="H1100">
        <f>(ORDERS[[#This Row],[UnitsOrdered]]*ORDERS[[#This Row],[unit price]])-(ORDERS[[#This Row],[UnitsOrdered]]*ORDERS[[#This Row],[unit price]]*ORDERS[[#This Row],[Discount]])</f>
        <v>4440</v>
      </c>
      <c r="I1100" t="str">
        <f>VLOOKUP(ORDERS[[#This Row],[CustomerID]],customers[],2,FALSE)</f>
        <v>A Shirts Life</v>
      </c>
      <c r="J1100" s="2" t="str">
        <f>VLOOKUP(ORDERS[[#This Row],[CustomerID]],customers[],4,FALSE)</f>
        <v>Portland</v>
      </c>
      <c r="K1100" s="2" t="str">
        <f>VLOOKUP(ORDERS[[#This Row],[ProductID]],Products[],3,FALSE)</f>
        <v>Both</v>
      </c>
      <c r="L1100" s="2">
        <f>DAY(ORDERS[[#This Row],[OrderDate]])</f>
        <v>28</v>
      </c>
      <c r="M1100" s="2">
        <f>YEAR(ORDERS[[#This Row],[OrderDate]])</f>
        <v>2014</v>
      </c>
    </row>
    <row r="1101" spans="1:13" x14ac:dyDescent="0.3">
      <c r="A1101">
        <v>1100</v>
      </c>
      <c r="B1101">
        <v>2</v>
      </c>
      <c r="C1101">
        <v>2</v>
      </c>
      <c r="D1101" s="1">
        <v>41788</v>
      </c>
      <c r="E1101">
        <v>126</v>
      </c>
      <c r="F1101">
        <f>VLOOKUP(ORDERS[[#This Row],[ProductID]],Products[],4,FALSE)</f>
        <v>30</v>
      </c>
      <c r="G1101">
        <v>0</v>
      </c>
      <c r="H1101">
        <f>(ORDERS[[#This Row],[UnitsOrdered]]*ORDERS[[#This Row],[unit price]])-(ORDERS[[#This Row],[UnitsOrdered]]*ORDERS[[#This Row],[unit price]]*ORDERS[[#This Row],[Discount]])</f>
        <v>3780</v>
      </c>
      <c r="I1101" t="str">
        <f>VLOOKUP(ORDERS[[#This Row],[CustomerID]],customers[],2,FALSE)</f>
        <v>A Shirts Life</v>
      </c>
      <c r="J1101" s="2" t="str">
        <f>VLOOKUP(ORDERS[[#This Row],[CustomerID]],customers[],4,FALSE)</f>
        <v>Portland</v>
      </c>
      <c r="K1101" s="2" t="str">
        <f>VLOOKUP(ORDERS[[#This Row],[ProductID]],Products[],3,FALSE)</f>
        <v>Both</v>
      </c>
      <c r="L1101" s="2">
        <f>DAY(ORDERS[[#This Row],[OrderDate]])</f>
        <v>29</v>
      </c>
      <c r="M1101" s="2">
        <f>YEAR(ORDERS[[#This Row],[OrderDate]])</f>
        <v>2014</v>
      </c>
    </row>
    <row r="1102" spans="1:13" x14ac:dyDescent="0.3">
      <c r="A1102">
        <v>1101</v>
      </c>
      <c r="B1102">
        <v>2</v>
      </c>
      <c r="C1102">
        <v>4</v>
      </c>
      <c r="D1102" s="1">
        <v>41789</v>
      </c>
      <c r="E1102">
        <v>106</v>
      </c>
      <c r="F1102">
        <f>VLOOKUP(ORDERS[[#This Row],[ProductID]],Products[],4,FALSE)</f>
        <v>30</v>
      </c>
      <c r="G1102">
        <v>0</v>
      </c>
      <c r="H1102">
        <f>(ORDERS[[#This Row],[UnitsOrdered]]*ORDERS[[#This Row],[unit price]])-(ORDERS[[#This Row],[UnitsOrdered]]*ORDERS[[#This Row],[unit price]]*ORDERS[[#This Row],[Discount]])</f>
        <v>3180</v>
      </c>
      <c r="I1102" t="str">
        <f>VLOOKUP(ORDERS[[#This Row],[CustomerID]],customers[],2,FALSE)</f>
        <v>A Shirts Life</v>
      </c>
      <c r="J1102" s="2" t="str">
        <f>VLOOKUP(ORDERS[[#This Row],[CustomerID]],customers[],4,FALSE)</f>
        <v>Portland</v>
      </c>
      <c r="K1102" s="2" t="str">
        <f>VLOOKUP(ORDERS[[#This Row],[ProductID]],Products[],3,FALSE)</f>
        <v>Both</v>
      </c>
      <c r="L1102" s="2">
        <f>DAY(ORDERS[[#This Row],[OrderDate]])</f>
        <v>30</v>
      </c>
      <c r="M1102" s="2">
        <f>YEAR(ORDERS[[#This Row],[OrderDate]])</f>
        <v>2014</v>
      </c>
    </row>
    <row r="1103" spans="1:13" x14ac:dyDescent="0.3">
      <c r="A1103">
        <v>1102</v>
      </c>
      <c r="B1103">
        <v>2</v>
      </c>
      <c r="C1103">
        <v>10</v>
      </c>
      <c r="D1103" s="1">
        <v>41789</v>
      </c>
      <c r="E1103">
        <v>143</v>
      </c>
      <c r="F1103">
        <f>VLOOKUP(ORDERS[[#This Row],[ProductID]],Products[],4,FALSE)</f>
        <v>35</v>
      </c>
      <c r="G1103">
        <v>0</v>
      </c>
      <c r="H1103">
        <f>(ORDERS[[#This Row],[UnitsOrdered]]*ORDERS[[#This Row],[unit price]])-(ORDERS[[#This Row],[UnitsOrdered]]*ORDERS[[#This Row],[unit price]]*ORDERS[[#This Row],[Discount]])</f>
        <v>5005</v>
      </c>
      <c r="I1103" t="str">
        <f>VLOOKUP(ORDERS[[#This Row],[CustomerID]],customers[],2,FALSE)</f>
        <v>A Shirts Life</v>
      </c>
      <c r="J1103" s="2" t="str">
        <f>VLOOKUP(ORDERS[[#This Row],[CustomerID]],customers[],4,FALSE)</f>
        <v>Portland</v>
      </c>
      <c r="K1103" s="2" t="str">
        <f>VLOOKUP(ORDERS[[#This Row],[ProductID]],Products[],3,FALSE)</f>
        <v>Male</v>
      </c>
      <c r="L1103" s="2">
        <f>DAY(ORDERS[[#This Row],[OrderDate]])</f>
        <v>30</v>
      </c>
      <c r="M1103" s="2">
        <f>YEAR(ORDERS[[#This Row],[OrderDate]])</f>
        <v>2014</v>
      </c>
    </row>
    <row r="1104" spans="1:13" x14ac:dyDescent="0.3">
      <c r="A1104">
        <v>1103</v>
      </c>
      <c r="B1104">
        <v>1</v>
      </c>
      <c r="C1104">
        <v>2</v>
      </c>
      <c r="D1104" s="1">
        <v>41790</v>
      </c>
      <c r="E1104">
        <v>91</v>
      </c>
      <c r="F1104">
        <f>VLOOKUP(ORDERS[[#This Row],[ProductID]],Products[],4,FALSE)</f>
        <v>30</v>
      </c>
      <c r="G1104">
        <v>0</v>
      </c>
      <c r="H1104">
        <f>(ORDERS[[#This Row],[UnitsOrdered]]*ORDERS[[#This Row],[unit price]])-(ORDERS[[#This Row],[UnitsOrdered]]*ORDERS[[#This Row],[unit price]]*ORDERS[[#This Row],[Discount]])</f>
        <v>2730</v>
      </c>
      <c r="I1104" t="str">
        <f>VLOOKUP(ORDERS[[#This Row],[CustomerID]],customers[],2,FALSE)</f>
        <v>Threads</v>
      </c>
      <c r="J1104" s="2" t="str">
        <f>VLOOKUP(ORDERS[[#This Row],[CustomerID]],customers[],4,FALSE)</f>
        <v>Seattle</v>
      </c>
      <c r="K1104" s="2" t="str">
        <f>VLOOKUP(ORDERS[[#This Row],[ProductID]],Products[],3,FALSE)</f>
        <v>Both</v>
      </c>
      <c r="L1104" s="2">
        <f>DAY(ORDERS[[#This Row],[OrderDate]])</f>
        <v>31</v>
      </c>
      <c r="M1104" s="2">
        <f>YEAR(ORDERS[[#This Row],[OrderDate]])</f>
        <v>2014</v>
      </c>
    </row>
    <row r="1105" spans="1:13" x14ac:dyDescent="0.3">
      <c r="A1105">
        <v>1104</v>
      </c>
      <c r="B1105">
        <v>3</v>
      </c>
      <c r="C1105">
        <v>4</v>
      </c>
      <c r="D1105" s="1">
        <v>41790</v>
      </c>
      <c r="E1105">
        <v>44</v>
      </c>
      <c r="F1105">
        <f>VLOOKUP(ORDERS[[#This Row],[ProductID]],Products[],4,FALSE)</f>
        <v>30</v>
      </c>
      <c r="G1105">
        <v>0</v>
      </c>
      <c r="H1105">
        <f>(ORDERS[[#This Row],[UnitsOrdered]]*ORDERS[[#This Row],[unit price]])-(ORDERS[[#This Row],[UnitsOrdered]]*ORDERS[[#This Row],[unit price]]*ORDERS[[#This Row],[Discount]])</f>
        <v>1320</v>
      </c>
      <c r="I1105" t="str">
        <f>VLOOKUP(ORDERS[[#This Row],[CustomerID]],customers[],2,FALSE)</f>
        <v>Shirts R Us</v>
      </c>
      <c r="J1105" s="2" t="str">
        <f>VLOOKUP(ORDERS[[#This Row],[CustomerID]],customers[],4,FALSE)</f>
        <v>Los Angeles</v>
      </c>
      <c r="K1105" s="2" t="str">
        <f>VLOOKUP(ORDERS[[#This Row],[ProductID]],Products[],3,FALSE)</f>
        <v>Both</v>
      </c>
      <c r="L1105" s="2">
        <f>DAY(ORDERS[[#This Row],[OrderDate]])</f>
        <v>31</v>
      </c>
      <c r="M1105" s="2">
        <f>YEAR(ORDERS[[#This Row],[OrderDate]])</f>
        <v>2014</v>
      </c>
    </row>
    <row r="1106" spans="1:13" x14ac:dyDescent="0.3">
      <c r="A1106">
        <v>1105</v>
      </c>
      <c r="B1106">
        <v>4</v>
      </c>
      <c r="C1106">
        <v>6</v>
      </c>
      <c r="D1106" s="1">
        <v>41791</v>
      </c>
      <c r="E1106">
        <v>50</v>
      </c>
      <c r="F1106">
        <f>VLOOKUP(ORDERS[[#This Row],[ProductID]],Products[],4,FALSE)</f>
        <v>28</v>
      </c>
      <c r="G1106">
        <v>0</v>
      </c>
      <c r="H1106">
        <f>(ORDERS[[#This Row],[UnitsOrdered]]*ORDERS[[#This Row],[unit price]])-(ORDERS[[#This Row],[UnitsOrdered]]*ORDERS[[#This Row],[unit price]]*ORDERS[[#This Row],[Discount]])</f>
        <v>1400</v>
      </c>
      <c r="I1106" t="str">
        <f>VLOOKUP(ORDERS[[#This Row],[CustomerID]],customers[],2,FALSE)</f>
        <v>Tshirt Unlimited</v>
      </c>
      <c r="J1106" s="2" t="str">
        <f>VLOOKUP(ORDERS[[#This Row],[CustomerID]],customers[],4,FALSE)</f>
        <v>Phoenix</v>
      </c>
      <c r="K1106" s="2" t="str">
        <f>VLOOKUP(ORDERS[[#This Row],[ProductID]],Products[],3,FALSE)</f>
        <v>Female</v>
      </c>
      <c r="L1106" s="2">
        <f>DAY(ORDERS[[#This Row],[OrderDate]])</f>
        <v>1</v>
      </c>
      <c r="M1106" s="2">
        <f>YEAR(ORDERS[[#This Row],[OrderDate]])</f>
        <v>2014</v>
      </c>
    </row>
    <row r="1107" spans="1:13" x14ac:dyDescent="0.3">
      <c r="A1107">
        <v>1106</v>
      </c>
      <c r="B1107">
        <v>5</v>
      </c>
      <c r="C1107">
        <v>7</v>
      </c>
      <c r="D1107" s="1">
        <v>41791</v>
      </c>
      <c r="E1107">
        <v>71</v>
      </c>
      <c r="F1107">
        <f>VLOOKUP(ORDERS[[#This Row],[ProductID]],Products[],4,FALSE)</f>
        <v>38</v>
      </c>
      <c r="G1107">
        <v>0</v>
      </c>
      <c r="H1107">
        <f>(ORDERS[[#This Row],[UnitsOrdered]]*ORDERS[[#This Row],[unit price]])-(ORDERS[[#This Row],[UnitsOrdered]]*ORDERS[[#This Row],[unit price]]*ORDERS[[#This Row],[Discount]])</f>
        <v>2698</v>
      </c>
      <c r="I1107" t="str">
        <f>VLOOKUP(ORDERS[[#This Row],[CustomerID]],customers[],2,FALSE)</f>
        <v>Rags to Riches</v>
      </c>
      <c r="J1107" s="2" t="str">
        <f>VLOOKUP(ORDERS[[#This Row],[CustomerID]],customers[],4,FALSE)</f>
        <v>Las Vegas</v>
      </c>
      <c r="K1107" s="2" t="str">
        <f>VLOOKUP(ORDERS[[#This Row],[ProductID]],Products[],3,FALSE)</f>
        <v>Female</v>
      </c>
      <c r="L1107" s="2">
        <f>DAY(ORDERS[[#This Row],[OrderDate]])</f>
        <v>1</v>
      </c>
      <c r="M1107" s="2">
        <f>YEAR(ORDERS[[#This Row],[OrderDate]])</f>
        <v>2014</v>
      </c>
    </row>
    <row r="1108" spans="1:13" x14ac:dyDescent="0.3">
      <c r="A1108">
        <v>1107</v>
      </c>
      <c r="B1108">
        <v>3</v>
      </c>
      <c r="C1108">
        <v>6</v>
      </c>
      <c r="D1108" s="1">
        <v>41792</v>
      </c>
      <c r="E1108">
        <v>92</v>
      </c>
      <c r="F1108">
        <f>VLOOKUP(ORDERS[[#This Row],[ProductID]],Products[],4,FALSE)</f>
        <v>28</v>
      </c>
      <c r="G1108">
        <v>0</v>
      </c>
      <c r="H1108">
        <f>(ORDERS[[#This Row],[UnitsOrdered]]*ORDERS[[#This Row],[unit price]])-(ORDERS[[#This Row],[UnitsOrdered]]*ORDERS[[#This Row],[unit price]]*ORDERS[[#This Row],[Discount]])</f>
        <v>2576</v>
      </c>
      <c r="I1108" t="str">
        <f>VLOOKUP(ORDERS[[#This Row],[CustomerID]],customers[],2,FALSE)</f>
        <v>Shirts R Us</v>
      </c>
      <c r="J1108" s="2" t="str">
        <f>VLOOKUP(ORDERS[[#This Row],[CustomerID]],customers[],4,FALSE)</f>
        <v>Los Angeles</v>
      </c>
      <c r="K1108" s="2" t="str">
        <f>VLOOKUP(ORDERS[[#This Row],[ProductID]],Products[],3,FALSE)</f>
        <v>Female</v>
      </c>
      <c r="L1108" s="2">
        <f>DAY(ORDERS[[#This Row],[OrderDate]])</f>
        <v>2</v>
      </c>
      <c r="M1108" s="2">
        <f>YEAR(ORDERS[[#This Row],[OrderDate]])</f>
        <v>2014</v>
      </c>
    </row>
    <row r="1109" spans="1:13" x14ac:dyDescent="0.3">
      <c r="A1109">
        <v>1108</v>
      </c>
      <c r="B1109">
        <v>7</v>
      </c>
      <c r="C1109">
        <v>6</v>
      </c>
      <c r="D1109" s="1">
        <v>41793</v>
      </c>
      <c r="E1109">
        <v>29</v>
      </c>
      <c r="F1109">
        <f>VLOOKUP(ORDERS[[#This Row],[ProductID]],Products[],4,FALSE)</f>
        <v>28</v>
      </c>
      <c r="G1109">
        <v>0</v>
      </c>
      <c r="H1109">
        <f>(ORDERS[[#This Row],[UnitsOrdered]]*ORDERS[[#This Row],[unit price]])-(ORDERS[[#This Row],[UnitsOrdered]]*ORDERS[[#This Row],[unit price]]*ORDERS[[#This Row],[Discount]])</f>
        <v>812</v>
      </c>
      <c r="I1109" t="str">
        <f>VLOOKUP(ORDERS[[#This Row],[CustomerID]],customers[],2,FALSE)</f>
        <v>The Shirt on Your Back</v>
      </c>
      <c r="J1109" s="2" t="str">
        <f>VLOOKUP(ORDERS[[#This Row],[CustomerID]],customers[],4,FALSE)</f>
        <v>Bonners Ferry</v>
      </c>
      <c r="K1109" s="2" t="str">
        <f>VLOOKUP(ORDERS[[#This Row],[ProductID]],Products[],3,FALSE)</f>
        <v>Female</v>
      </c>
      <c r="L1109" s="2">
        <f>DAY(ORDERS[[#This Row],[OrderDate]])</f>
        <v>3</v>
      </c>
      <c r="M1109" s="2">
        <f>YEAR(ORDERS[[#This Row],[OrderDate]])</f>
        <v>2014</v>
      </c>
    </row>
    <row r="1110" spans="1:13" x14ac:dyDescent="0.3">
      <c r="A1110">
        <v>1109</v>
      </c>
      <c r="B1110">
        <v>3</v>
      </c>
      <c r="C1110">
        <v>4</v>
      </c>
      <c r="D1110" s="1">
        <v>41794</v>
      </c>
      <c r="E1110">
        <v>139</v>
      </c>
      <c r="F1110">
        <f>VLOOKUP(ORDERS[[#This Row],[ProductID]],Products[],4,FALSE)</f>
        <v>30</v>
      </c>
      <c r="G1110">
        <v>0</v>
      </c>
      <c r="H1110">
        <f>(ORDERS[[#This Row],[UnitsOrdered]]*ORDERS[[#This Row],[unit price]])-(ORDERS[[#This Row],[UnitsOrdered]]*ORDERS[[#This Row],[unit price]]*ORDERS[[#This Row],[Discount]])</f>
        <v>4170</v>
      </c>
      <c r="I1110" t="str">
        <f>VLOOKUP(ORDERS[[#This Row],[CustomerID]],customers[],2,FALSE)</f>
        <v>Shirts R Us</v>
      </c>
      <c r="J1110" s="2" t="str">
        <f>VLOOKUP(ORDERS[[#This Row],[CustomerID]],customers[],4,FALSE)</f>
        <v>Los Angeles</v>
      </c>
      <c r="K1110" s="2" t="str">
        <f>VLOOKUP(ORDERS[[#This Row],[ProductID]],Products[],3,FALSE)</f>
        <v>Both</v>
      </c>
      <c r="L1110" s="2">
        <f>DAY(ORDERS[[#This Row],[OrderDate]])</f>
        <v>4</v>
      </c>
      <c r="M1110" s="2">
        <f>YEAR(ORDERS[[#This Row],[OrderDate]])</f>
        <v>2014</v>
      </c>
    </row>
    <row r="1111" spans="1:13" x14ac:dyDescent="0.3">
      <c r="A1111">
        <v>1110</v>
      </c>
      <c r="B1111">
        <v>3</v>
      </c>
      <c r="C1111">
        <v>8</v>
      </c>
      <c r="D1111" s="1">
        <v>41794</v>
      </c>
      <c r="E1111">
        <v>71</v>
      </c>
      <c r="F1111">
        <f>VLOOKUP(ORDERS[[#This Row],[ProductID]],Products[],4,FALSE)</f>
        <v>27</v>
      </c>
      <c r="G1111">
        <v>0</v>
      </c>
      <c r="H1111">
        <f>(ORDERS[[#This Row],[UnitsOrdered]]*ORDERS[[#This Row],[unit price]])-(ORDERS[[#This Row],[UnitsOrdered]]*ORDERS[[#This Row],[unit price]]*ORDERS[[#This Row],[Discount]])</f>
        <v>1917</v>
      </c>
      <c r="I1111" t="str">
        <f>VLOOKUP(ORDERS[[#This Row],[CustomerID]],customers[],2,FALSE)</f>
        <v>Shirts R Us</v>
      </c>
      <c r="J1111" s="2" t="str">
        <f>VLOOKUP(ORDERS[[#This Row],[CustomerID]],customers[],4,FALSE)</f>
        <v>Los Angeles</v>
      </c>
      <c r="K1111" s="2" t="str">
        <f>VLOOKUP(ORDERS[[#This Row],[ProductID]],Products[],3,FALSE)</f>
        <v>Female</v>
      </c>
      <c r="L1111" s="2">
        <f>DAY(ORDERS[[#This Row],[OrderDate]])</f>
        <v>4</v>
      </c>
      <c r="M1111" s="2">
        <f>YEAR(ORDERS[[#This Row],[OrderDate]])</f>
        <v>2014</v>
      </c>
    </row>
    <row r="1112" spans="1:13" x14ac:dyDescent="0.3">
      <c r="A1112">
        <v>1111</v>
      </c>
      <c r="B1112">
        <v>6</v>
      </c>
      <c r="C1112">
        <v>10</v>
      </c>
      <c r="D1112" s="1">
        <v>41794</v>
      </c>
      <c r="E1112">
        <v>113</v>
      </c>
      <c r="F1112">
        <f>VLOOKUP(ORDERS[[#This Row],[ProductID]],Products[],4,FALSE)</f>
        <v>35</v>
      </c>
      <c r="G1112">
        <v>0</v>
      </c>
      <c r="H1112">
        <f>(ORDERS[[#This Row],[UnitsOrdered]]*ORDERS[[#This Row],[unit price]])-(ORDERS[[#This Row],[UnitsOrdered]]*ORDERS[[#This Row],[unit price]]*ORDERS[[#This Row],[Discount]])</f>
        <v>3955</v>
      </c>
      <c r="I1112" t="str">
        <f>VLOOKUP(ORDERS[[#This Row],[CustomerID]],customers[],2,FALSE)</f>
        <v>Abracadaba Ink</v>
      </c>
      <c r="J1112" s="2" t="str">
        <f>VLOOKUP(ORDERS[[#This Row],[CustomerID]],customers[],4,FALSE)</f>
        <v>Salt Lake City</v>
      </c>
      <c r="K1112" s="2" t="str">
        <f>VLOOKUP(ORDERS[[#This Row],[ProductID]],Products[],3,FALSE)</f>
        <v>Male</v>
      </c>
      <c r="L1112" s="2">
        <f>DAY(ORDERS[[#This Row],[OrderDate]])</f>
        <v>4</v>
      </c>
      <c r="M1112" s="2">
        <f>YEAR(ORDERS[[#This Row],[OrderDate]])</f>
        <v>2014</v>
      </c>
    </row>
    <row r="1113" spans="1:13" x14ac:dyDescent="0.3">
      <c r="A1113">
        <v>1112</v>
      </c>
      <c r="B1113">
        <v>6</v>
      </c>
      <c r="C1113">
        <v>1</v>
      </c>
      <c r="D1113" s="1">
        <v>41795</v>
      </c>
      <c r="E1113">
        <v>116</v>
      </c>
      <c r="F1113">
        <f>VLOOKUP(ORDERS[[#This Row],[ProductID]],Products[],4,FALSE)</f>
        <v>20</v>
      </c>
      <c r="G1113">
        <v>5.0000001000000002E-2</v>
      </c>
      <c r="H1113">
        <f>(ORDERS[[#This Row],[UnitsOrdered]]*ORDERS[[#This Row],[unit price]])-(ORDERS[[#This Row],[UnitsOrdered]]*ORDERS[[#This Row],[unit price]]*ORDERS[[#This Row],[Discount]])</f>
        <v>2203.99999768</v>
      </c>
      <c r="I1113" t="str">
        <f>VLOOKUP(ORDERS[[#This Row],[CustomerID]],customers[],2,FALSE)</f>
        <v>Abracadaba Ink</v>
      </c>
      <c r="J1113" s="2" t="str">
        <f>VLOOKUP(ORDERS[[#This Row],[CustomerID]],customers[],4,FALSE)</f>
        <v>Salt Lake City</v>
      </c>
      <c r="K1113" s="2" t="str">
        <f>VLOOKUP(ORDERS[[#This Row],[ProductID]],Products[],3,FALSE)</f>
        <v>Both</v>
      </c>
      <c r="L1113" s="2">
        <f>DAY(ORDERS[[#This Row],[OrderDate]])</f>
        <v>5</v>
      </c>
      <c r="M1113" s="2">
        <f>YEAR(ORDERS[[#This Row],[OrderDate]])</f>
        <v>2014</v>
      </c>
    </row>
    <row r="1114" spans="1:13" x14ac:dyDescent="0.3">
      <c r="A1114">
        <v>1113</v>
      </c>
      <c r="B1114">
        <v>3</v>
      </c>
      <c r="C1114">
        <v>8</v>
      </c>
      <c r="D1114" s="1">
        <v>41796</v>
      </c>
      <c r="E1114">
        <v>124</v>
      </c>
      <c r="F1114">
        <f>VLOOKUP(ORDERS[[#This Row],[ProductID]],Products[],4,FALSE)</f>
        <v>27</v>
      </c>
      <c r="G1114">
        <v>0</v>
      </c>
      <c r="H1114">
        <f>(ORDERS[[#This Row],[UnitsOrdered]]*ORDERS[[#This Row],[unit price]])-(ORDERS[[#This Row],[UnitsOrdered]]*ORDERS[[#This Row],[unit price]]*ORDERS[[#This Row],[Discount]])</f>
        <v>3348</v>
      </c>
      <c r="I1114" t="str">
        <f>VLOOKUP(ORDERS[[#This Row],[CustomerID]],customers[],2,FALSE)</f>
        <v>Shirts R Us</v>
      </c>
      <c r="J1114" s="2" t="str">
        <f>VLOOKUP(ORDERS[[#This Row],[CustomerID]],customers[],4,FALSE)</f>
        <v>Los Angeles</v>
      </c>
      <c r="K1114" s="2" t="str">
        <f>VLOOKUP(ORDERS[[#This Row],[ProductID]],Products[],3,FALSE)</f>
        <v>Female</v>
      </c>
      <c r="L1114" s="2">
        <f>DAY(ORDERS[[#This Row],[OrderDate]])</f>
        <v>6</v>
      </c>
      <c r="M1114" s="2">
        <f>YEAR(ORDERS[[#This Row],[OrderDate]])</f>
        <v>2014</v>
      </c>
    </row>
    <row r="1115" spans="1:13" x14ac:dyDescent="0.3">
      <c r="A1115">
        <v>1114</v>
      </c>
      <c r="B1115">
        <v>2</v>
      </c>
      <c r="C1115">
        <v>4</v>
      </c>
      <c r="D1115" s="1">
        <v>41798</v>
      </c>
      <c r="E1115">
        <v>96</v>
      </c>
      <c r="F1115">
        <f>VLOOKUP(ORDERS[[#This Row],[ProductID]],Products[],4,FALSE)</f>
        <v>30</v>
      </c>
      <c r="G1115">
        <v>0</v>
      </c>
      <c r="H1115">
        <f>(ORDERS[[#This Row],[UnitsOrdered]]*ORDERS[[#This Row],[unit price]])-(ORDERS[[#This Row],[UnitsOrdered]]*ORDERS[[#This Row],[unit price]]*ORDERS[[#This Row],[Discount]])</f>
        <v>2880</v>
      </c>
      <c r="I1115" t="str">
        <f>VLOOKUP(ORDERS[[#This Row],[CustomerID]],customers[],2,FALSE)</f>
        <v>A Shirts Life</v>
      </c>
      <c r="J1115" s="2" t="str">
        <f>VLOOKUP(ORDERS[[#This Row],[CustomerID]],customers[],4,FALSE)</f>
        <v>Portland</v>
      </c>
      <c r="K1115" s="2" t="str">
        <f>VLOOKUP(ORDERS[[#This Row],[ProductID]],Products[],3,FALSE)</f>
        <v>Both</v>
      </c>
      <c r="L1115" s="2">
        <f>DAY(ORDERS[[#This Row],[OrderDate]])</f>
        <v>8</v>
      </c>
      <c r="M1115" s="2">
        <f>YEAR(ORDERS[[#This Row],[OrderDate]])</f>
        <v>2014</v>
      </c>
    </row>
    <row r="1116" spans="1:13" x14ac:dyDescent="0.3">
      <c r="A1116">
        <v>1115</v>
      </c>
      <c r="B1116">
        <v>4</v>
      </c>
      <c r="C1116">
        <v>10</v>
      </c>
      <c r="D1116" s="1">
        <v>41799</v>
      </c>
      <c r="E1116">
        <v>147</v>
      </c>
      <c r="F1116">
        <f>VLOOKUP(ORDERS[[#This Row],[ProductID]],Products[],4,FALSE)</f>
        <v>35</v>
      </c>
      <c r="G1116">
        <v>5.0000001000000002E-2</v>
      </c>
      <c r="H1116">
        <f>(ORDERS[[#This Row],[UnitsOrdered]]*ORDERS[[#This Row],[unit price]])-(ORDERS[[#This Row],[UnitsOrdered]]*ORDERS[[#This Row],[unit price]]*ORDERS[[#This Row],[Discount]])</f>
        <v>4887.7499948550003</v>
      </c>
      <c r="I1116" t="str">
        <f>VLOOKUP(ORDERS[[#This Row],[CustomerID]],customers[],2,FALSE)</f>
        <v>Tshirt Unlimited</v>
      </c>
      <c r="J1116" s="2" t="str">
        <f>VLOOKUP(ORDERS[[#This Row],[CustomerID]],customers[],4,FALSE)</f>
        <v>Phoenix</v>
      </c>
      <c r="K1116" s="2" t="str">
        <f>VLOOKUP(ORDERS[[#This Row],[ProductID]],Products[],3,FALSE)</f>
        <v>Male</v>
      </c>
      <c r="L1116" s="2">
        <f>DAY(ORDERS[[#This Row],[OrderDate]])</f>
        <v>9</v>
      </c>
      <c r="M1116" s="2">
        <f>YEAR(ORDERS[[#This Row],[OrderDate]])</f>
        <v>2014</v>
      </c>
    </row>
    <row r="1117" spans="1:13" x14ac:dyDescent="0.3">
      <c r="A1117">
        <v>1116</v>
      </c>
      <c r="B1117">
        <v>1</v>
      </c>
      <c r="C1117">
        <v>7</v>
      </c>
      <c r="D1117" s="1">
        <v>41800</v>
      </c>
      <c r="E1117">
        <v>142</v>
      </c>
      <c r="F1117">
        <f>VLOOKUP(ORDERS[[#This Row],[ProductID]],Products[],4,FALSE)</f>
        <v>38</v>
      </c>
      <c r="G1117">
        <v>0</v>
      </c>
      <c r="H1117">
        <f>(ORDERS[[#This Row],[UnitsOrdered]]*ORDERS[[#This Row],[unit price]])-(ORDERS[[#This Row],[UnitsOrdered]]*ORDERS[[#This Row],[unit price]]*ORDERS[[#This Row],[Discount]])</f>
        <v>5396</v>
      </c>
      <c r="I1117" t="str">
        <f>VLOOKUP(ORDERS[[#This Row],[CustomerID]],customers[],2,FALSE)</f>
        <v>Threads</v>
      </c>
      <c r="J1117" s="2" t="str">
        <f>VLOOKUP(ORDERS[[#This Row],[CustomerID]],customers[],4,FALSE)</f>
        <v>Seattle</v>
      </c>
      <c r="K1117" s="2" t="str">
        <f>VLOOKUP(ORDERS[[#This Row],[ProductID]],Products[],3,FALSE)</f>
        <v>Female</v>
      </c>
      <c r="L1117" s="2">
        <f>DAY(ORDERS[[#This Row],[OrderDate]])</f>
        <v>10</v>
      </c>
      <c r="M1117" s="2">
        <f>YEAR(ORDERS[[#This Row],[OrderDate]])</f>
        <v>2014</v>
      </c>
    </row>
    <row r="1118" spans="1:13" x14ac:dyDescent="0.3">
      <c r="A1118">
        <v>1117</v>
      </c>
      <c r="B1118">
        <v>6</v>
      </c>
      <c r="C1118">
        <v>1</v>
      </c>
      <c r="D1118" s="1">
        <v>41800</v>
      </c>
      <c r="E1118">
        <v>77</v>
      </c>
      <c r="F1118">
        <f>VLOOKUP(ORDERS[[#This Row],[ProductID]],Products[],4,FALSE)</f>
        <v>20</v>
      </c>
      <c r="G1118">
        <v>0</v>
      </c>
      <c r="H1118">
        <f>(ORDERS[[#This Row],[UnitsOrdered]]*ORDERS[[#This Row],[unit price]])-(ORDERS[[#This Row],[UnitsOrdered]]*ORDERS[[#This Row],[unit price]]*ORDERS[[#This Row],[Discount]])</f>
        <v>1540</v>
      </c>
      <c r="I1118" t="str">
        <f>VLOOKUP(ORDERS[[#This Row],[CustomerID]],customers[],2,FALSE)</f>
        <v>Abracadaba Ink</v>
      </c>
      <c r="J1118" s="2" t="str">
        <f>VLOOKUP(ORDERS[[#This Row],[CustomerID]],customers[],4,FALSE)</f>
        <v>Salt Lake City</v>
      </c>
      <c r="K1118" s="2" t="str">
        <f>VLOOKUP(ORDERS[[#This Row],[ProductID]],Products[],3,FALSE)</f>
        <v>Both</v>
      </c>
      <c r="L1118" s="2">
        <f>DAY(ORDERS[[#This Row],[OrderDate]])</f>
        <v>10</v>
      </c>
      <c r="M1118" s="2">
        <f>YEAR(ORDERS[[#This Row],[OrderDate]])</f>
        <v>2014</v>
      </c>
    </row>
    <row r="1119" spans="1:13" x14ac:dyDescent="0.3">
      <c r="A1119">
        <v>1118</v>
      </c>
      <c r="B1119">
        <v>3</v>
      </c>
      <c r="C1119">
        <v>2</v>
      </c>
      <c r="D1119" s="1">
        <v>41801</v>
      </c>
      <c r="E1119">
        <v>58</v>
      </c>
      <c r="F1119">
        <f>VLOOKUP(ORDERS[[#This Row],[ProductID]],Products[],4,FALSE)</f>
        <v>30</v>
      </c>
      <c r="G1119">
        <v>0</v>
      </c>
      <c r="H1119">
        <f>(ORDERS[[#This Row],[UnitsOrdered]]*ORDERS[[#This Row],[unit price]])-(ORDERS[[#This Row],[UnitsOrdered]]*ORDERS[[#This Row],[unit price]]*ORDERS[[#This Row],[Discount]])</f>
        <v>1740</v>
      </c>
      <c r="I1119" t="str">
        <f>VLOOKUP(ORDERS[[#This Row],[CustomerID]],customers[],2,FALSE)</f>
        <v>Shirts R Us</v>
      </c>
      <c r="J1119" s="2" t="str">
        <f>VLOOKUP(ORDERS[[#This Row],[CustomerID]],customers[],4,FALSE)</f>
        <v>Los Angeles</v>
      </c>
      <c r="K1119" s="2" t="str">
        <f>VLOOKUP(ORDERS[[#This Row],[ProductID]],Products[],3,FALSE)</f>
        <v>Both</v>
      </c>
      <c r="L1119" s="2">
        <f>DAY(ORDERS[[#This Row],[OrderDate]])</f>
        <v>11</v>
      </c>
      <c r="M1119" s="2">
        <f>YEAR(ORDERS[[#This Row],[OrderDate]])</f>
        <v>2014</v>
      </c>
    </row>
    <row r="1120" spans="1:13" x14ac:dyDescent="0.3">
      <c r="A1120">
        <v>1119</v>
      </c>
      <c r="B1120">
        <v>2</v>
      </c>
      <c r="C1120">
        <v>10</v>
      </c>
      <c r="D1120" s="1">
        <v>41803</v>
      </c>
      <c r="E1120">
        <v>115</v>
      </c>
      <c r="F1120">
        <f>VLOOKUP(ORDERS[[#This Row],[ProductID]],Products[],4,FALSE)</f>
        <v>35</v>
      </c>
      <c r="G1120">
        <v>0</v>
      </c>
      <c r="H1120">
        <f>(ORDERS[[#This Row],[UnitsOrdered]]*ORDERS[[#This Row],[unit price]])-(ORDERS[[#This Row],[UnitsOrdered]]*ORDERS[[#This Row],[unit price]]*ORDERS[[#This Row],[Discount]])</f>
        <v>4025</v>
      </c>
      <c r="I1120" t="str">
        <f>VLOOKUP(ORDERS[[#This Row],[CustomerID]],customers[],2,FALSE)</f>
        <v>A Shirts Life</v>
      </c>
      <c r="J1120" s="2" t="str">
        <f>VLOOKUP(ORDERS[[#This Row],[CustomerID]],customers[],4,FALSE)</f>
        <v>Portland</v>
      </c>
      <c r="K1120" s="2" t="str">
        <f>VLOOKUP(ORDERS[[#This Row],[ProductID]],Products[],3,FALSE)</f>
        <v>Male</v>
      </c>
      <c r="L1120" s="2">
        <f>DAY(ORDERS[[#This Row],[OrderDate]])</f>
        <v>13</v>
      </c>
      <c r="M1120" s="2">
        <f>YEAR(ORDERS[[#This Row],[OrderDate]])</f>
        <v>2014</v>
      </c>
    </row>
    <row r="1121" spans="1:13" x14ac:dyDescent="0.3">
      <c r="A1121">
        <v>1120</v>
      </c>
      <c r="B1121">
        <v>2</v>
      </c>
      <c r="C1121">
        <v>9</v>
      </c>
      <c r="D1121" s="1">
        <v>41804</v>
      </c>
      <c r="E1121">
        <v>56</v>
      </c>
      <c r="F1121">
        <f>VLOOKUP(ORDERS[[#This Row],[ProductID]],Products[],4,FALSE)</f>
        <v>25</v>
      </c>
      <c r="G1121">
        <v>0</v>
      </c>
      <c r="H1121">
        <f>(ORDERS[[#This Row],[UnitsOrdered]]*ORDERS[[#This Row],[unit price]])-(ORDERS[[#This Row],[UnitsOrdered]]*ORDERS[[#This Row],[unit price]]*ORDERS[[#This Row],[Discount]])</f>
        <v>1400</v>
      </c>
      <c r="I1121" t="str">
        <f>VLOOKUP(ORDERS[[#This Row],[CustomerID]],customers[],2,FALSE)</f>
        <v>A Shirts Life</v>
      </c>
      <c r="J1121" s="2" t="str">
        <f>VLOOKUP(ORDERS[[#This Row],[CustomerID]],customers[],4,FALSE)</f>
        <v>Portland</v>
      </c>
      <c r="K1121" s="2" t="str">
        <f>VLOOKUP(ORDERS[[#This Row],[ProductID]],Products[],3,FALSE)</f>
        <v>Male</v>
      </c>
      <c r="L1121" s="2">
        <f>DAY(ORDERS[[#This Row],[OrderDate]])</f>
        <v>14</v>
      </c>
      <c r="M1121" s="2">
        <f>YEAR(ORDERS[[#This Row],[OrderDate]])</f>
        <v>2014</v>
      </c>
    </row>
    <row r="1122" spans="1:13" x14ac:dyDescent="0.3">
      <c r="A1122">
        <v>1121</v>
      </c>
      <c r="B1122">
        <v>4</v>
      </c>
      <c r="C1122">
        <v>8</v>
      </c>
      <c r="D1122" s="1">
        <v>41805</v>
      </c>
      <c r="E1122">
        <v>34</v>
      </c>
      <c r="F1122">
        <f>VLOOKUP(ORDERS[[#This Row],[ProductID]],Products[],4,FALSE)</f>
        <v>27</v>
      </c>
      <c r="G1122">
        <v>5.0000001000000002E-2</v>
      </c>
      <c r="H1122">
        <f>(ORDERS[[#This Row],[UnitsOrdered]]*ORDERS[[#This Row],[unit price]])-(ORDERS[[#This Row],[UnitsOrdered]]*ORDERS[[#This Row],[unit price]]*ORDERS[[#This Row],[Discount]])</f>
        <v>872.09999908199995</v>
      </c>
      <c r="I1122" t="str">
        <f>VLOOKUP(ORDERS[[#This Row],[CustomerID]],customers[],2,FALSE)</f>
        <v>Tshirt Unlimited</v>
      </c>
      <c r="J1122" s="2" t="str">
        <f>VLOOKUP(ORDERS[[#This Row],[CustomerID]],customers[],4,FALSE)</f>
        <v>Phoenix</v>
      </c>
      <c r="K1122" s="2" t="str">
        <f>VLOOKUP(ORDERS[[#This Row],[ProductID]],Products[],3,FALSE)</f>
        <v>Female</v>
      </c>
      <c r="L1122" s="2">
        <f>DAY(ORDERS[[#This Row],[OrderDate]])</f>
        <v>15</v>
      </c>
      <c r="M1122" s="2">
        <f>YEAR(ORDERS[[#This Row],[OrderDate]])</f>
        <v>2014</v>
      </c>
    </row>
    <row r="1123" spans="1:13" x14ac:dyDescent="0.3">
      <c r="A1123">
        <v>1122</v>
      </c>
      <c r="B1123">
        <v>4</v>
      </c>
      <c r="C1123">
        <v>1</v>
      </c>
      <c r="D1123" s="1">
        <v>41806</v>
      </c>
      <c r="E1123">
        <v>105</v>
      </c>
      <c r="F1123">
        <f>VLOOKUP(ORDERS[[#This Row],[ProductID]],Products[],4,FALSE)</f>
        <v>20</v>
      </c>
      <c r="G1123">
        <v>0</v>
      </c>
      <c r="H1123">
        <f>(ORDERS[[#This Row],[UnitsOrdered]]*ORDERS[[#This Row],[unit price]])-(ORDERS[[#This Row],[UnitsOrdered]]*ORDERS[[#This Row],[unit price]]*ORDERS[[#This Row],[Discount]])</f>
        <v>2100</v>
      </c>
      <c r="I1123" t="str">
        <f>VLOOKUP(ORDERS[[#This Row],[CustomerID]],customers[],2,FALSE)</f>
        <v>Tshirt Unlimited</v>
      </c>
      <c r="J1123" s="2" t="str">
        <f>VLOOKUP(ORDERS[[#This Row],[CustomerID]],customers[],4,FALSE)</f>
        <v>Phoenix</v>
      </c>
      <c r="K1123" s="2" t="str">
        <f>VLOOKUP(ORDERS[[#This Row],[ProductID]],Products[],3,FALSE)</f>
        <v>Both</v>
      </c>
      <c r="L1123" s="2">
        <f>DAY(ORDERS[[#This Row],[OrderDate]])</f>
        <v>16</v>
      </c>
      <c r="M1123" s="2">
        <f>YEAR(ORDERS[[#This Row],[OrderDate]])</f>
        <v>2014</v>
      </c>
    </row>
    <row r="1124" spans="1:13" x14ac:dyDescent="0.3">
      <c r="A1124">
        <v>1123</v>
      </c>
      <c r="B1124">
        <v>7</v>
      </c>
      <c r="C1124">
        <v>4</v>
      </c>
      <c r="D1124" s="1">
        <v>41806</v>
      </c>
      <c r="E1124">
        <v>30</v>
      </c>
      <c r="F1124">
        <f>VLOOKUP(ORDERS[[#This Row],[ProductID]],Products[],4,FALSE)</f>
        <v>30</v>
      </c>
      <c r="G1124">
        <v>0.15000000599999999</v>
      </c>
      <c r="H1124">
        <f>(ORDERS[[#This Row],[UnitsOrdered]]*ORDERS[[#This Row],[unit price]])-(ORDERS[[#This Row],[UnitsOrdered]]*ORDERS[[#This Row],[unit price]]*ORDERS[[#This Row],[Discount]])</f>
        <v>764.99999460000004</v>
      </c>
      <c r="I1124" t="str">
        <f>VLOOKUP(ORDERS[[#This Row],[CustomerID]],customers[],2,FALSE)</f>
        <v>The Shirt on Your Back</v>
      </c>
      <c r="J1124" s="2" t="str">
        <f>VLOOKUP(ORDERS[[#This Row],[CustomerID]],customers[],4,FALSE)</f>
        <v>Bonners Ferry</v>
      </c>
      <c r="K1124" s="2" t="str">
        <f>VLOOKUP(ORDERS[[#This Row],[ProductID]],Products[],3,FALSE)</f>
        <v>Both</v>
      </c>
      <c r="L1124" s="2">
        <f>DAY(ORDERS[[#This Row],[OrderDate]])</f>
        <v>16</v>
      </c>
      <c r="M1124" s="2">
        <f>YEAR(ORDERS[[#This Row],[OrderDate]])</f>
        <v>2014</v>
      </c>
    </row>
    <row r="1125" spans="1:13" x14ac:dyDescent="0.3">
      <c r="A1125">
        <v>1124</v>
      </c>
      <c r="B1125">
        <v>1</v>
      </c>
      <c r="C1125">
        <v>1</v>
      </c>
      <c r="D1125" s="1">
        <v>41809</v>
      </c>
      <c r="E1125">
        <v>88</v>
      </c>
      <c r="F1125">
        <f>VLOOKUP(ORDERS[[#This Row],[ProductID]],Products[],4,FALSE)</f>
        <v>20</v>
      </c>
      <c r="G1125">
        <v>0</v>
      </c>
      <c r="H1125">
        <f>(ORDERS[[#This Row],[UnitsOrdered]]*ORDERS[[#This Row],[unit price]])-(ORDERS[[#This Row],[UnitsOrdered]]*ORDERS[[#This Row],[unit price]]*ORDERS[[#This Row],[Discount]])</f>
        <v>1760</v>
      </c>
      <c r="I1125" t="str">
        <f>VLOOKUP(ORDERS[[#This Row],[CustomerID]],customers[],2,FALSE)</f>
        <v>Threads</v>
      </c>
      <c r="J1125" s="2" t="str">
        <f>VLOOKUP(ORDERS[[#This Row],[CustomerID]],customers[],4,FALSE)</f>
        <v>Seattle</v>
      </c>
      <c r="K1125" s="2" t="str">
        <f>VLOOKUP(ORDERS[[#This Row],[ProductID]],Products[],3,FALSE)</f>
        <v>Both</v>
      </c>
      <c r="L1125" s="2">
        <f>DAY(ORDERS[[#This Row],[OrderDate]])</f>
        <v>19</v>
      </c>
      <c r="M1125" s="2">
        <f>YEAR(ORDERS[[#This Row],[OrderDate]])</f>
        <v>2014</v>
      </c>
    </row>
    <row r="1126" spans="1:13" x14ac:dyDescent="0.3">
      <c r="A1126">
        <v>1125</v>
      </c>
      <c r="B1126">
        <v>2</v>
      </c>
      <c r="C1126">
        <v>3</v>
      </c>
      <c r="D1126" s="1">
        <v>41809</v>
      </c>
      <c r="E1126">
        <v>64</v>
      </c>
      <c r="F1126">
        <f>VLOOKUP(ORDERS[[#This Row],[ProductID]],Products[],4,FALSE)</f>
        <v>22</v>
      </c>
      <c r="G1126">
        <v>0</v>
      </c>
      <c r="H1126">
        <f>(ORDERS[[#This Row],[UnitsOrdered]]*ORDERS[[#This Row],[unit price]])-(ORDERS[[#This Row],[UnitsOrdered]]*ORDERS[[#This Row],[unit price]]*ORDERS[[#This Row],[Discount]])</f>
        <v>1408</v>
      </c>
      <c r="I1126" t="str">
        <f>VLOOKUP(ORDERS[[#This Row],[CustomerID]],customers[],2,FALSE)</f>
        <v>A Shirts Life</v>
      </c>
      <c r="J1126" s="2" t="str">
        <f>VLOOKUP(ORDERS[[#This Row],[CustomerID]],customers[],4,FALSE)</f>
        <v>Portland</v>
      </c>
      <c r="K1126" s="2" t="str">
        <f>VLOOKUP(ORDERS[[#This Row],[ProductID]],Products[],3,FALSE)</f>
        <v>Both</v>
      </c>
      <c r="L1126" s="2">
        <f>DAY(ORDERS[[#This Row],[OrderDate]])</f>
        <v>19</v>
      </c>
      <c r="M1126" s="2">
        <f>YEAR(ORDERS[[#This Row],[OrderDate]])</f>
        <v>2014</v>
      </c>
    </row>
    <row r="1127" spans="1:13" x14ac:dyDescent="0.3">
      <c r="A1127">
        <v>1126</v>
      </c>
      <c r="B1127">
        <v>6</v>
      </c>
      <c r="C1127">
        <v>4</v>
      </c>
      <c r="D1127" s="1">
        <v>41810</v>
      </c>
      <c r="E1127">
        <v>142</v>
      </c>
      <c r="F1127">
        <f>VLOOKUP(ORDERS[[#This Row],[ProductID]],Products[],4,FALSE)</f>
        <v>30</v>
      </c>
      <c r="G1127">
        <v>0.10000000100000001</v>
      </c>
      <c r="H1127">
        <f>(ORDERS[[#This Row],[UnitsOrdered]]*ORDERS[[#This Row],[unit price]])-(ORDERS[[#This Row],[UnitsOrdered]]*ORDERS[[#This Row],[unit price]]*ORDERS[[#This Row],[Discount]])</f>
        <v>3833.99999574</v>
      </c>
      <c r="I1127" t="str">
        <f>VLOOKUP(ORDERS[[#This Row],[CustomerID]],customers[],2,FALSE)</f>
        <v>Abracadaba Ink</v>
      </c>
      <c r="J1127" s="2" t="str">
        <f>VLOOKUP(ORDERS[[#This Row],[CustomerID]],customers[],4,FALSE)</f>
        <v>Salt Lake City</v>
      </c>
      <c r="K1127" s="2" t="str">
        <f>VLOOKUP(ORDERS[[#This Row],[ProductID]],Products[],3,FALSE)</f>
        <v>Both</v>
      </c>
      <c r="L1127" s="2">
        <f>DAY(ORDERS[[#This Row],[OrderDate]])</f>
        <v>20</v>
      </c>
      <c r="M1127" s="2">
        <f>YEAR(ORDERS[[#This Row],[OrderDate]])</f>
        <v>2014</v>
      </c>
    </row>
    <row r="1128" spans="1:13" x14ac:dyDescent="0.3">
      <c r="A1128">
        <v>1127</v>
      </c>
      <c r="B1128">
        <v>7</v>
      </c>
      <c r="C1128">
        <v>2</v>
      </c>
      <c r="D1128" s="1">
        <v>41810</v>
      </c>
      <c r="E1128">
        <v>116</v>
      </c>
      <c r="F1128">
        <f>VLOOKUP(ORDERS[[#This Row],[ProductID]],Products[],4,FALSE)</f>
        <v>30</v>
      </c>
      <c r="G1128">
        <v>0</v>
      </c>
      <c r="H1128">
        <f>(ORDERS[[#This Row],[UnitsOrdered]]*ORDERS[[#This Row],[unit price]])-(ORDERS[[#This Row],[UnitsOrdered]]*ORDERS[[#This Row],[unit price]]*ORDERS[[#This Row],[Discount]])</f>
        <v>3480</v>
      </c>
      <c r="I1128" t="str">
        <f>VLOOKUP(ORDERS[[#This Row],[CustomerID]],customers[],2,FALSE)</f>
        <v>The Shirt on Your Back</v>
      </c>
      <c r="J1128" s="2" t="str">
        <f>VLOOKUP(ORDERS[[#This Row],[CustomerID]],customers[],4,FALSE)</f>
        <v>Bonners Ferry</v>
      </c>
      <c r="K1128" s="2" t="str">
        <f>VLOOKUP(ORDERS[[#This Row],[ProductID]],Products[],3,FALSE)</f>
        <v>Both</v>
      </c>
      <c r="L1128" s="2">
        <f>DAY(ORDERS[[#This Row],[OrderDate]])</f>
        <v>20</v>
      </c>
      <c r="M1128" s="2">
        <f>YEAR(ORDERS[[#This Row],[OrderDate]])</f>
        <v>2014</v>
      </c>
    </row>
    <row r="1129" spans="1:13" x14ac:dyDescent="0.3">
      <c r="A1129">
        <v>1128</v>
      </c>
      <c r="B1129">
        <v>2</v>
      </c>
      <c r="C1129">
        <v>3</v>
      </c>
      <c r="D1129" s="1">
        <v>41811</v>
      </c>
      <c r="E1129">
        <v>53</v>
      </c>
      <c r="F1129">
        <f>VLOOKUP(ORDERS[[#This Row],[ProductID]],Products[],4,FALSE)</f>
        <v>22</v>
      </c>
      <c r="G1129">
        <v>0</v>
      </c>
      <c r="H1129">
        <f>(ORDERS[[#This Row],[UnitsOrdered]]*ORDERS[[#This Row],[unit price]])-(ORDERS[[#This Row],[UnitsOrdered]]*ORDERS[[#This Row],[unit price]]*ORDERS[[#This Row],[Discount]])</f>
        <v>1166</v>
      </c>
      <c r="I1129" t="str">
        <f>VLOOKUP(ORDERS[[#This Row],[CustomerID]],customers[],2,FALSE)</f>
        <v>A Shirts Life</v>
      </c>
      <c r="J1129" s="2" t="str">
        <f>VLOOKUP(ORDERS[[#This Row],[CustomerID]],customers[],4,FALSE)</f>
        <v>Portland</v>
      </c>
      <c r="K1129" s="2" t="str">
        <f>VLOOKUP(ORDERS[[#This Row],[ProductID]],Products[],3,FALSE)</f>
        <v>Both</v>
      </c>
      <c r="L1129" s="2">
        <f>DAY(ORDERS[[#This Row],[OrderDate]])</f>
        <v>21</v>
      </c>
      <c r="M1129" s="2">
        <f>YEAR(ORDERS[[#This Row],[OrderDate]])</f>
        <v>2014</v>
      </c>
    </row>
    <row r="1130" spans="1:13" x14ac:dyDescent="0.3">
      <c r="A1130">
        <v>1129</v>
      </c>
      <c r="B1130">
        <v>5</v>
      </c>
      <c r="C1130">
        <v>8</v>
      </c>
      <c r="D1130" s="1">
        <v>41811</v>
      </c>
      <c r="E1130">
        <v>137</v>
      </c>
      <c r="F1130">
        <f>VLOOKUP(ORDERS[[#This Row],[ProductID]],Products[],4,FALSE)</f>
        <v>27</v>
      </c>
      <c r="G1130">
        <v>0</v>
      </c>
      <c r="H1130">
        <f>(ORDERS[[#This Row],[UnitsOrdered]]*ORDERS[[#This Row],[unit price]])-(ORDERS[[#This Row],[UnitsOrdered]]*ORDERS[[#This Row],[unit price]]*ORDERS[[#This Row],[Discount]])</f>
        <v>3699</v>
      </c>
      <c r="I1130" t="str">
        <f>VLOOKUP(ORDERS[[#This Row],[CustomerID]],customers[],2,FALSE)</f>
        <v>Rags to Riches</v>
      </c>
      <c r="J1130" s="2" t="str">
        <f>VLOOKUP(ORDERS[[#This Row],[CustomerID]],customers[],4,FALSE)</f>
        <v>Las Vegas</v>
      </c>
      <c r="K1130" s="2" t="str">
        <f>VLOOKUP(ORDERS[[#This Row],[ProductID]],Products[],3,FALSE)</f>
        <v>Female</v>
      </c>
      <c r="L1130" s="2">
        <f>DAY(ORDERS[[#This Row],[OrderDate]])</f>
        <v>21</v>
      </c>
      <c r="M1130" s="2">
        <f>YEAR(ORDERS[[#This Row],[OrderDate]])</f>
        <v>2014</v>
      </c>
    </row>
    <row r="1131" spans="1:13" x14ac:dyDescent="0.3">
      <c r="A1131">
        <v>1130</v>
      </c>
      <c r="B1131">
        <v>5</v>
      </c>
      <c r="C1131">
        <v>9</v>
      </c>
      <c r="D1131" s="1">
        <v>41811</v>
      </c>
      <c r="E1131">
        <v>26</v>
      </c>
      <c r="F1131">
        <f>VLOOKUP(ORDERS[[#This Row],[ProductID]],Products[],4,FALSE)</f>
        <v>25</v>
      </c>
      <c r="G1131">
        <v>0</v>
      </c>
      <c r="H1131">
        <f>(ORDERS[[#This Row],[UnitsOrdered]]*ORDERS[[#This Row],[unit price]])-(ORDERS[[#This Row],[UnitsOrdered]]*ORDERS[[#This Row],[unit price]]*ORDERS[[#This Row],[Discount]])</f>
        <v>650</v>
      </c>
      <c r="I1131" t="str">
        <f>VLOOKUP(ORDERS[[#This Row],[CustomerID]],customers[],2,FALSE)</f>
        <v>Rags to Riches</v>
      </c>
      <c r="J1131" s="2" t="str">
        <f>VLOOKUP(ORDERS[[#This Row],[CustomerID]],customers[],4,FALSE)</f>
        <v>Las Vegas</v>
      </c>
      <c r="K1131" s="2" t="str">
        <f>VLOOKUP(ORDERS[[#This Row],[ProductID]],Products[],3,FALSE)</f>
        <v>Male</v>
      </c>
      <c r="L1131" s="2">
        <f>DAY(ORDERS[[#This Row],[OrderDate]])</f>
        <v>21</v>
      </c>
      <c r="M1131" s="2">
        <f>YEAR(ORDERS[[#This Row],[OrderDate]])</f>
        <v>2014</v>
      </c>
    </row>
    <row r="1132" spans="1:13" x14ac:dyDescent="0.3">
      <c r="A1132">
        <v>1131</v>
      </c>
      <c r="B1132">
        <v>5</v>
      </c>
      <c r="C1132">
        <v>10</v>
      </c>
      <c r="D1132" s="1">
        <v>41812</v>
      </c>
      <c r="E1132">
        <v>33</v>
      </c>
      <c r="F1132">
        <f>VLOOKUP(ORDERS[[#This Row],[ProductID]],Products[],4,FALSE)</f>
        <v>35</v>
      </c>
      <c r="G1132">
        <v>0</v>
      </c>
      <c r="H1132">
        <f>(ORDERS[[#This Row],[UnitsOrdered]]*ORDERS[[#This Row],[unit price]])-(ORDERS[[#This Row],[UnitsOrdered]]*ORDERS[[#This Row],[unit price]]*ORDERS[[#This Row],[Discount]])</f>
        <v>1155</v>
      </c>
      <c r="I1132" t="str">
        <f>VLOOKUP(ORDERS[[#This Row],[CustomerID]],customers[],2,FALSE)</f>
        <v>Rags to Riches</v>
      </c>
      <c r="J1132" s="2" t="str">
        <f>VLOOKUP(ORDERS[[#This Row],[CustomerID]],customers[],4,FALSE)</f>
        <v>Las Vegas</v>
      </c>
      <c r="K1132" s="2" t="str">
        <f>VLOOKUP(ORDERS[[#This Row],[ProductID]],Products[],3,FALSE)</f>
        <v>Male</v>
      </c>
      <c r="L1132" s="2">
        <f>DAY(ORDERS[[#This Row],[OrderDate]])</f>
        <v>22</v>
      </c>
      <c r="M1132" s="2">
        <f>YEAR(ORDERS[[#This Row],[OrderDate]])</f>
        <v>2014</v>
      </c>
    </row>
    <row r="1133" spans="1:13" x14ac:dyDescent="0.3">
      <c r="A1133">
        <v>1132</v>
      </c>
      <c r="B1133">
        <v>7</v>
      </c>
      <c r="C1133">
        <v>6</v>
      </c>
      <c r="D1133" s="1">
        <v>41813</v>
      </c>
      <c r="E1133">
        <v>139</v>
      </c>
      <c r="F1133">
        <f>VLOOKUP(ORDERS[[#This Row],[ProductID]],Products[],4,FALSE)</f>
        <v>28</v>
      </c>
      <c r="G1133">
        <v>0</v>
      </c>
      <c r="H1133">
        <f>(ORDERS[[#This Row],[UnitsOrdered]]*ORDERS[[#This Row],[unit price]])-(ORDERS[[#This Row],[UnitsOrdered]]*ORDERS[[#This Row],[unit price]]*ORDERS[[#This Row],[Discount]])</f>
        <v>3892</v>
      </c>
      <c r="I1133" t="str">
        <f>VLOOKUP(ORDERS[[#This Row],[CustomerID]],customers[],2,FALSE)</f>
        <v>The Shirt on Your Back</v>
      </c>
      <c r="J1133" s="2" t="str">
        <f>VLOOKUP(ORDERS[[#This Row],[CustomerID]],customers[],4,FALSE)</f>
        <v>Bonners Ferry</v>
      </c>
      <c r="K1133" s="2" t="str">
        <f>VLOOKUP(ORDERS[[#This Row],[ProductID]],Products[],3,FALSE)</f>
        <v>Female</v>
      </c>
      <c r="L1133" s="2">
        <f>DAY(ORDERS[[#This Row],[OrderDate]])</f>
        <v>23</v>
      </c>
      <c r="M1133" s="2">
        <f>YEAR(ORDERS[[#This Row],[OrderDate]])</f>
        <v>2014</v>
      </c>
    </row>
    <row r="1134" spans="1:13" x14ac:dyDescent="0.3">
      <c r="A1134">
        <v>1133</v>
      </c>
      <c r="B1134">
        <v>4</v>
      </c>
      <c r="C1134">
        <v>7</v>
      </c>
      <c r="D1134" s="1">
        <v>41814</v>
      </c>
      <c r="E1134">
        <v>83</v>
      </c>
      <c r="F1134">
        <f>VLOOKUP(ORDERS[[#This Row],[ProductID]],Products[],4,FALSE)</f>
        <v>38</v>
      </c>
      <c r="G1134">
        <v>0</v>
      </c>
      <c r="H1134">
        <f>(ORDERS[[#This Row],[UnitsOrdered]]*ORDERS[[#This Row],[unit price]])-(ORDERS[[#This Row],[UnitsOrdered]]*ORDERS[[#This Row],[unit price]]*ORDERS[[#This Row],[Discount]])</f>
        <v>3154</v>
      </c>
      <c r="I1134" t="str">
        <f>VLOOKUP(ORDERS[[#This Row],[CustomerID]],customers[],2,FALSE)</f>
        <v>Tshirt Unlimited</v>
      </c>
      <c r="J1134" s="2" t="str">
        <f>VLOOKUP(ORDERS[[#This Row],[CustomerID]],customers[],4,FALSE)</f>
        <v>Phoenix</v>
      </c>
      <c r="K1134" s="2" t="str">
        <f>VLOOKUP(ORDERS[[#This Row],[ProductID]],Products[],3,FALSE)</f>
        <v>Female</v>
      </c>
      <c r="L1134" s="2">
        <f>DAY(ORDERS[[#This Row],[OrderDate]])</f>
        <v>24</v>
      </c>
      <c r="M1134" s="2">
        <f>YEAR(ORDERS[[#This Row],[OrderDate]])</f>
        <v>2014</v>
      </c>
    </row>
    <row r="1135" spans="1:13" x14ac:dyDescent="0.3">
      <c r="A1135">
        <v>1134</v>
      </c>
      <c r="B1135">
        <v>3</v>
      </c>
      <c r="C1135">
        <v>10</v>
      </c>
      <c r="D1135" s="1">
        <v>41815</v>
      </c>
      <c r="E1135">
        <v>80</v>
      </c>
      <c r="F1135">
        <f>VLOOKUP(ORDERS[[#This Row],[ProductID]],Products[],4,FALSE)</f>
        <v>35</v>
      </c>
      <c r="G1135">
        <v>0</v>
      </c>
      <c r="H1135">
        <f>(ORDERS[[#This Row],[UnitsOrdered]]*ORDERS[[#This Row],[unit price]])-(ORDERS[[#This Row],[UnitsOrdered]]*ORDERS[[#This Row],[unit price]]*ORDERS[[#This Row],[Discount]])</f>
        <v>2800</v>
      </c>
      <c r="I1135" t="str">
        <f>VLOOKUP(ORDERS[[#This Row],[CustomerID]],customers[],2,FALSE)</f>
        <v>Shirts R Us</v>
      </c>
      <c r="J1135" s="2" t="str">
        <f>VLOOKUP(ORDERS[[#This Row],[CustomerID]],customers[],4,FALSE)</f>
        <v>Los Angeles</v>
      </c>
      <c r="K1135" s="2" t="str">
        <f>VLOOKUP(ORDERS[[#This Row],[ProductID]],Products[],3,FALSE)</f>
        <v>Male</v>
      </c>
      <c r="L1135" s="2">
        <f>DAY(ORDERS[[#This Row],[OrderDate]])</f>
        <v>25</v>
      </c>
      <c r="M1135" s="2">
        <f>YEAR(ORDERS[[#This Row],[OrderDate]])</f>
        <v>2014</v>
      </c>
    </row>
    <row r="1136" spans="1:13" x14ac:dyDescent="0.3">
      <c r="A1136">
        <v>1135</v>
      </c>
      <c r="B1136">
        <v>7</v>
      </c>
      <c r="C1136">
        <v>8</v>
      </c>
      <c r="D1136" s="1">
        <v>41815</v>
      </c>
      <c r="E1136">
        <v>83</v>
      </c>
      <c r="F1136">
        <f>VLOOKUP(ORDERS[[#This Row],[ProductID]],Products[],4,FALSE)</f>
        <v>27</v>
      </c>
      <c r="G1136">
        <v>0</v>
      </c>
      <c r="H1136">
        <f>(ORDERS[[#This Row],[UnitsOrdered]]*ORDERS[[#This Row],[unit price]])-(ORDERS[[#This Row],[UnitsOrdered]]*ORDERS[[#This Row],[unit price]]*ORDERS[[#This Row],[Discount]])</f>
        <v>2241</v>
      </c>
      <c r="I1136" t="str">
        <f>VLOOKUP(ORDERS[[#This Row],[CustomerID]],customers[],2,FALSE)</f>
        <v>The Shirt on Your Back</v>
      </c>
      <c r="J1136" s="2" t="str">
        <f>VLOOKUP(ORDERS[[#This Row],[CustomerID]],customers[],4,FALSE)</f>
        <v>Bonners Ferry</v>
      </c>
      <c r="K1136" s="2" t="str">
        <f>VLOOKUP(ORDERS[[#This Row],[ProductID]],Products[],3,FALSE)</f>
        <v>Female</v>
      </c>
      <c r="L1136" s="2">
        <f>DAY(ORDERS[[#This Row],[OrderDate]])</f>
        <v>25</v>
      </c>
      <c r="M1136" s="2">
        <f>YEAR(ORDERS[[#This Row],[OrderDate]])</f>
        <v>2014</v>
      </c>
    </row>
    <row r="1137" spans="1:13" x14ac:dyDescent="0.3">
      <c r="A1137">
        <v>1136</v>
      </c>
      <c r="B1137">
        <v>3</v>
      </c>
      <c r="C1137">
        <v>5</v>
      </c>
      <c r="D1137" s="1">
        <v>41816</v>
      </c>
      <c r="E1137">
        <v>99</v>
      </c>
      <c r="F1137">
        <f>VLOOKUP(ORDERS[[#This Row],[ProductID]],Products[],4,FALSE)</f>
        <v>16</v>
      </c>
      <c r="G1137">
        <v>0</v>
      </c>
      <c r="H1137">
        <f>(ORDERS[[#This Row],[UnitsOrdered]]*ORDERS[[#This Row],[unit price]])-(ORDERS[[#This Row],[UnitsOrdered]]*ORDERS[[#This Row],[unit price]]*ORDERS[[#This Row],[Discount]])</f>
        <v>1584</v>
      </c>
      <c r="I1137" t="str">
        <f>VLOOKUP(ORDERS[[#This Row],[CustomerID]],customers[],2,FALSE)</f>
        <v>Shirts R Us</v>
      </c>
      <c r="J1137" s="2" t="str">
        <f>VLOOKUP(ORDERS[[#This Row],[CustomerID]],customers[],4,FALSE)</f>
        <v>Los Angeles</v>
      </c>
      <c r="K1137" s="2" t="str">
        <f>VLOOKUP(ORDERS[[#This Row],[ProductID]],Products[],3,FALSE)</f>
        <v>Female</v>
      </c>
      <c r="L1137" s="2">
        <f>DAY(ORDERS[[#This Row],[OrderDate]])</f>
        <v>26</v>
      </c>
      <c r="M1137" s="2">
        <f>YEAR(ORDERS[[#This Row],[OrderDate]])</f>
        <v>2014</v>
      </c>
    </row>
    <row r="1138" spans="1:13" x14ac:dyDescent="0.3">
      <c r="A1138">
        <v>1137</v>
      </c>
      <c r="B1138">
        <v>1</v>
      </c>
      <c r="C1138">
        <v>7</v>
      </c>
      <c r="D1138" s="1">
        <v>41817</v>
      </c>
      <c r="E1138">
        <v>46</v>
      </c>
      <c r="F1138">
        <f>VLOOKUP(ORDERS[[#This Row],[ProductID]],Products[],4,FALSE)</f>
        <v>38</v>
      </c>
      <c r="G1138">
        <v>0</v>
      </c>
      <c r="H1138">
        <f>(ORDERS[[#This Row],[UnitsOrdered]]*ORDERS[[#This Row],[unit price]])-(ORDERS[[#This Row],[UnitsOrdered]]*ORDERS[[#This Row],[unit price]]*ORDERS[[#This Row],[Discount]])</f>
        <v>1748</v>
      </c>
      <c r="I1138" t="str">
        <f>VLOOKUP(ORDERS[[#This Row],[CustomerID]],customers[],2,FALSE)</f>
        <v>Threads</v>
      </c>
      <c r="J1138" s="2" t="str">
        <f>VLOOKUP(ORDERS[[#This Row],[CustomerID]],customers[],4,FALSE)</f>
        <v>Seattle</v>
      </c>
      <c r="K1138" s="2" t="str">
        <f>VLOOKUP(ORDERS[[#This Row],[ProductID]],Products[],3,FALSE)</f>
        <v>Female</v>
      </c>
      <c r="L1138" s="2">
        <f>DAY(ORDERS[[#This Row],[OrderDate]])</f>
        <v>27</v>
      </c>
      <c r="M1138" s="2">
        <f>YEAR(ORDERS[[#This Row],[OrderDate]])</f>
        <v>2014</v>
      </c>
    </row>
    <row r="1139" spans="1:13" x14ac:dyDescent="0.3">
      <c r="A1139">
        <v>1138</v>
      </c>
      <c r="B1139">
        <v>3</v>
      </c>
      <c r="C1139">
        <v>4</v>
      </c>
      <c r="D1139" s="1">
        <v>41817</v>
      </c>
      <c r="E1139">
        <v>107</v>
      </c>
      <c r="F1139">
        <f>VLOOKUP(ORDERS[[#This Row],[ProductID]],Products[],4,FALSE)</f>
        <v>30</v>
      </c>
      <c r="G1139">
        <v>0</v>
      </c>
      <c r="H1139">
        <f>(ORDERS[[#This Row],[UnitsOrdered]]*ORDERS[[#This Row],[unit price]])-(ORDERS[[#This Row],[UnitsOrdered]]*ORDERS[[#This Row],[unit price]]*ORDERS[[#This Row],[Discount]])</f>
        <v>3210</v>
      </c>
      <c r="I1139" t="str">
        <f>VLOOKUP(ORDERS[[#This Row],[CustomerID]],customers[],2,FALSE)</f>
        <v>Shirts R Us</v>
      </c>
      <c r="J1139" s="2" t="str">
        <f>VLOOKUP(ORDERS[[#This Row],[CustomerID]],customers[],4,FALSE)</f>
        <v>Los Angeles</v>
      </c>
      <c r="K1139" s="2" t="str">
        <f>VLOOKUP(ORDERS[[#This Row],[ProductID]],Products[],3,FALSE)</f>
        <v>Both</v>
      </c>
      <c r="L1139" s="2">
        <f>DAY(ORDERS[[#This Row],[OrderDate]])</f>
        <v>27</v>
      </c>
      <c r="M1139" s="2">
        <f>YEAR(ORDERS[[#This Row],[OrderDate]])</f>
        <v>2014</v>
      </c>
    </row>
    <row r="1140" spans="1:13" x14ac:dyDescent="0.3">
      <c r="A1140">
        <v>1139</v>
      </c>
      <c r="B1140">
        <v>3</v>
      </c>
      <c r="C1140">
        <v>5</v>
      </c>
      <c r="D1140" s="1">
        <v>41817</v>
      </c>
      <c r="E1140">
        <v>35</v>
      </c>
      <c r="F1140">
        <f>VLOOKUP(ORDERS[[#This Row],[ProductID]],Products[],4,FALSE)</f>
        <v>16</v>
      </c>
      <c r="G1140">
        <v>0</v>
      </c>
      <c r="H1140">
        <f>(ORDERS[[#This Row],[UnitsOrdered]]*ORDERS[[#This Row],[unit price]])-(ORDERS[[#This Row],[UnitsOrdered]]*ORDERS[[#This Row],[unit price]]*ORDERS[[#This Row],[Discount]])</f>
        <v>560</v>
      </c>
      <c r="I1140" t="str">
        <f>VLOOKUP(ORDERS[[#This Row],[CustomerID]],customers[],2,FALSE)</f>
        <v>Shirts R Us</v>
      </c>
      <c r="J1140" s="2" t="str">
        <f>VLOOKUP(ORDERS[[#This Row],[CustomerID]],customers[],4,FALSE)</f>
        <v>Los Angeles</v>
      </c>
      <c r="K1140" s="2" t="str">
        <f>VLOOKUP(ORDERS[[#This Row],[ProductID]],Products[],3,FALSE)</f>
        <v>Female</v>
      </c>
      <c r="L1140" s="2">
        <f>DAY(ORDERS[[#This Row],[OrderDate]])</f>
        <v>27</v>
      </c>
      <c r="M1140" s="2">
        <f>YEAR(ORDERS[[#This Row],[OrderDate]])</f>
        <v>2014</v>
      </c>
    </row>
    <row r="1141" spans="1:13" x14ac:dyDescent="0.3">
      <c r="A1141">
        <v>1140</v>
      </c>
      <c r="B1141">
        <v>5</v>
      </c>
      <c r="C1141">
        <v>7</v>
      </c>
      <c r="D1141" s="1">
        <v>41817</v>
      </c>
      <c r="E1141">
        <v>126</v>
      </c>
      <c r="F1141">
        <f>VLOOKUP(ORDERS[[#This Row],[ProductID]],Products[],4,FALSE)</f>
        <v>38</v>
      </c>
      <c r="G1141">
        <v>0.10000000100000001</v>
      </c>
      <c r="H1141">
        <f>(ORDERS[[#This Row],[UnitsOrdered]]*ORDERS[[#This Row],[unit price]])-(ORDERS[[#This Row],[UnitsOrdered]]*ORDERS[[#This Row],[unit price]]*ORDERS[[#This Row],[Discount]])</f>
        <v>4309.1999952120004</v>
      </c>
      <c r="I1141" t="str">
        <f>VLOOKUP(ORDERS[[#This Row],[CustomerID]],customers[],2,FALSE)</f>
        <v>Rags to Riches</v>
      </c>
      <c r="J1141" s="2" t="str">
        <f>VLOOKUP(ORDERS[[#This Row],[CustomerID]],customers[],4,FALSE)</f>
        <v>Las Vegas</v>
      </c>
      <c r="K1141" s="2" t="str">
        <f>VLOOKUP(ORDERS[[#This Row],[ProductID]],Products[],3,FALSE)</f>
        <v>Female</v>
      </c>
      <c r="L1141" s="2">
        <f>DAY(ORDERS[[#This Row],[OrderDate]])</f>
        <v>27</v>
      </c>
      <c r="M1141" s="2">
        <f>YEAR(ORDERS[[#This Row],[OrderDate]])</f>
        <v>2014</v>
      </c>
    </row>
    <row r="1142" spans="1:13" x14ac:dyDescent="0.3">
      <c r="A1142">
        <v>1141</v>
      </c>
      <c r="B1142">
        <v>7</v>
      </c>
      <c r="C1142">
        <v>4</v>
      </c>
      <c r="D1142" s="1">
        <v>41817</v>
      </c>
      <c r="E1142">
        <v>128</v>
      </c>
      <c r="F1142">
        <f>VLOOKUP(ORDERS[[#This Row],[ProductID]],Products[],4,FALSE)</f>
        <v>30</v>
      </c>
      <c r="G1142">
        <v>0</v>
      </c>
      <c r="H1142">
        <f>(ORDERS[[#This Row],[UnitsOrdered]]*ORDERS[[#This Row],[unit price]])-(ORDERS[[#This Row],[UnitsOrdered]]*ORDERS[[#This Row],[unit price]]*ORDERS[[#This Row],[Discount]])</f>
        <v>3840</v>
      </c>
      <c r="I1142" t="str">
        <f>VLOOKUP(ORDERS[[#This Row],[CustomerID]],customers[],2,FALSE)</f>
        <v>The Shirt on Your Back</v>
      </c>
      <c r="J1142" s="2" t="str">
        <f>VLOOKUP(ORDERS[[#This Row],[CustomerID]],customers[],4,FALSE)</f>
        <v>Bonners Ferry</v>
      </c>
      <c r="K1142" s="2" t="str">
        <f>VLOOKUP(ORDERS[[#This Row],[ProductID]],Products[],3,FALSE)</f>
        <v>Both</v>
      </c>
      <c r="L1142" s="2">
        <f>DAY(ORDERS[[#This Row],[OrderDate]])</f>
        <v>27</v>
      </c>
      <c r="M1142" s="2">
        <f>YEAR(ORDERS[[#This Row],[OrderDate]])</f>
        <v>2014</v>
      </c>
    </row>
    <row r="1143" spans="1:13" x14ac:dyDescent="0.3">
      <c r="A1143">
        <v>1142</v>
      </c>
      <c r="B1143">
        <v>7</v>
      </c>
      <c r="C1143">
        <v>2</v>
      </c>
      <c r="D1143" s="1">
        <v>41818</v>
      </c>
      <c r="E1143">
        <v>128</v>
      </c>
      <c r="F1143">
        <f>VLOOKUP(ORDERS[[#This Row],[ProductID]],Products[],4,FALSE)</f>
        <v>30</v>
      </c>
      <c r="G1143">
        <v>0</v>
      </c>
      <c r="H1143">
        <f>(ORDERS[[#This Row],[UnitsOrdered]]*ORDERS[[#This Row],[unit price]])-(ORDERS[[#This Row],[UnitsOrdered]]*ORDERS[[#This Row],[unit price]]*ORDERS[[#This Row],[Discount]])</f>
        <v>3840</v>
      </c>
      <c r="I1143" t="str">
        <f>VLOOKUP(ORDERS[[#This Row],[CustomerID]],customers[],2,FALSE)</f>
        <v>The Shirt on Your Back</v>
      </c>
      <c r="J1143" s="2" t="str">
        <f>VLOOKUP(ORDERS[[#This Row],[CustomerID]],customers[],4,FALSE)</f>
        <v>Bonners Ferry</v>
      </c>
      <c r="K1143" s="2" t="str">
        <f>VLOOKUP(ORDERS[[#This Row],[ProductID]],Products[],3,FALSE)</f>
        <v>Both</v>
      </c>
      <c r="L1143" s="2">
        <f>DAY(ORDERS[[#This Row],[OrderDate]])</f>
        <v>28</v>
      </c>
      <c r="M1143" s="2">
        <f>YEAR(ORDERS[[#This Row],[OrderDate]])</f>
        <v>2014</v>
      </c>
    </row>
    <row r="1144" spans="1:13" x14ac:dyDescent="0.3">
      <c r="A1144">
        <v>1143</v>
      </c>
      <c r="B1144">
        <v>6</v>
      </c>
      <c r="C1144">
        <v>8</v>
      </c>
      <c r="D1144" s="1">
        <v>41820</v>
      </c>
      <c r="E1144">
        <v>55</v>
      </c>
      <c r="F1144">
        <f>VLOOKUP(ORDERS[[#This Row],[ProductID]],Products[],4,FALSE)</f>
        <v>27</v>
      </c>
      <c r="G1144">
        <v>0</v>
      </c>
      <c r="H1144">
        <f>(ORDERS[[#This Row],[UnitsOrdered]]*ORDERS[[#This Row],[unit price]])-(ORDERS[[#This Row],[UnitsOrdered]]*ORDERS[[#This Row],[unit price]]*ORDERS[[#This Row],[Discount]])</f>
        <v>1485</v>
      </c>
      <c r="I1144" t="str">
        <f>VLOOKUP(ORDERS[[#This Row],[CustomerID]],customers[],2,FALSE)</f>
        <v>Abracadaba Ink</v>
      </c>
      <c r="J1144" s="2" t="str">
        <f>VLOOKUP(ORDERS[[#This Row],[CustomerID]],customers[],4,FALSE)</f>
        <v>Salt Lake City</v>
      </c>
      <c r="K1144" s="2" t="str">
        <f>VLOOKUP(ORDERS[[#This Row],[ProductID]],Products[],3,FALSE)</f>
        <v>Female</v>
      </c>
      <c r="L1144" s="2">
        <f>DAY(ORDERS[[#This Row],[OrderDate]])</f>
        <v>30</v>
      </c>
      <c r="M1144" s="2">
        <f>YEAR(ORDERS[[#This Row],[OrderDate]])</f>
        <v>2014</v>
      </c>
    </row>
    <row r="1145" spans="1:13" x14ac:dyDescent="0.3">
      <c r="A1145">
        <v>1144</v>
      </c>
      <c r="B1145">
        <v>4</v>
      </c>
      <c r="C1145">
        <v>3</v>
      </c>
      <c r="D1145" s="1">
        <v>41821</v>
      </c>
      <c r="E1145">
        <v>127</v>
      </c>
      <c r="F1145">
        <f>VLOOKUP(ORDERS[[#This Row],[ProductID]],Products[],4,FALSE)</f>
        <v>22</v>
      </c>
      <c r="G1145">
        <v>0</v>
      </c>
      <c r="H1145">
        <f>(ORDERS[[#This Row],[UnitsOrdered]]*ORDERS[[#This Row],[unit price]])-(ORDERS[[#This Row],[UnitsOrdered]]*ORDERS[[#This Row],[unit price]]*ORDERS[[#This Row],[Discount]])</f>
        <v>2794</v>
      </c>
      <c r="I1145" t="str">
        <f>VLOOKUP(ORDERS[[#This Row],[CustomerID]],customers[],2,FALSE)</f>
        <v>Tshirt Unlimited</v>
      </c>
      <c r="J1145" s="2" t="str">
        <f>VLOOKUP(ORDERS[[#This Row],[CustomerID]],customers[],4,FALSE)</f>
        <v>Phoenix</v>
      </c>
      <c r="K1145" s="2" t="str">
        <f>VLOOKUP(ORDERS[[#This Row],[ProductID]],Products[],3,FALSE)</f>
        <v>Both</v>
      </c>
      <c r="L1145" s="2">
        <f>DAY(ORDERS[[#This Row],[OrderDate]])</f>
        <v>1</v>
      </c>
      <c r="M1145" s="2">
        <f>YEAR(ORDERS[[#This Row],[OrderDate]])</f>
        <v>2014</v>
      </c>
    </row>
    <row r="1146" spans="1:13" x14ac:dyDescent="0.3">
      <c r="A1146">
        <v>1145</v>
      </c>
      <c r="B1146">
        <v>3</v>
      </c>
      <c r="C1146">
        <v>5</v>
      </c>
      <c r="D1146" s="1">
        <v>41822</v>
      </c>
      <c r="E1146">
        <v>133</v>
      </c>
      <c r="F1146">
        <f>VLOOKUP(ORDERS[[#This Row],[ProductID]],Products[],4,FALSE)</f>
        <v>16</v>
      </c>
      <c r="G1146">
        <v>0</v>
      </c>
      <c r="H1146">
        <f>(ORDERS[[#This Row],[UnitsOrdered]]*ORDERS[[#This Row],[unit price]])-(ORDERS[[#This Row],[UnitsOrdered]]*ORDERS[[#This Row],[unit price]]*ORDERS[[#This Row],[Discount]])</f>
        <v>2128</v>
      </c>
      <c r="I1146" t="str">
        <f>VLOOKUP(ORDERS[[#This Row],[CustomerID]],customers[],2,FALSE)</f>
        <v>Shirts R Us</v>
      </c>
      <c r="J1146" s="2" t="str">
        <f>VLOOKUP(ORDERS[[#This Row],[CustomerID]],customers[],4,FALSE)</f>
        <v>Los Angeles</v>
      </c>
      <c r="K1146" s="2" t="str">
        <f>VLOOKUP(ORDERS[[#This Row],[ProductID]],Products[],3,FALSE)</f>
        <v>Female</v>
      </c>
      <c r="L1146" s="2">
        <f>DAY(ORDERS[[#This Row],[OrderDate]])</f>
        <v>2</v>
      </c>
      <c r="M1146" s="2">
        <f>YEAR(ORDERS[[#This Row],[OrderDate]])</f>
        <v>2014</v>
      </c>
    </row>
    <row r="1147" spans="1:13" x14ac:dyDescent="0.3">
      <c r="A1147">
        <v>1146</v>
      </c>
      <c r="B1147">
        <v>7</v>
      </c>
      <c r="C1147">
        <v>8</v>
      </c>
      <c r="D1147" s="1">
        <v>41822</v>
      </c>
      <c r="E1147">
        <v>80</v>
      </c>
      <c r="F1147">
        <f>VLOOKUP(ORDERS[[#This Row],[ProductID]],Products[],4,FALSE)</f>
        <v>27</v>
      </c>
      <c r="G1147">
        <v>0</v>
      </c>
      <c r="H1147">
        <f>(ORDERS[[#This Row],[UnitsOrdered]]*ORDERS[[#This Row],[unit price]])-(ORDERS[[#This Row],[UnitsOrdered]]*ORDERS[[#This Row],[unit price]]*ORDERS[[#This Row],[Discount]])</f>
        <v>2160</v>
      </c>
      <c r="I1147" t="str">
        <f>VLOOKUP(ORDERS[[#This Row],[CustomerID]],customers[],2,FALSE)</f>
        <v>The Shirt on Your Back</v>
      </c>
      <c r="J1147" s="2" t="str">
        <f>VLOOKUP(ORDERS[[#This Row],[CustomerID]],customers[],4,FALSE)</f>
        <v>Bonners Ferry</v>
      </c>
      <c r="K1147" s="2" t="str">
        <f>VLOOKUP(ORDERS[[#This Row],[ProductID]],Products[],3,FALSE)</f>
        <v>Female</v>
      </c>
      <c r="L1147" s="2">
        <f>DAY(ORDERS[[#This Row],[OrderDate]])</f>
        <v>2</v>
      </c>
      <c r="M1147" s="2">
        <f>YEAR(ORDERS[[#This Row],[OrderDate]])</f>
        <v>2014</v>
      </c>
    </row>
    <row r="1148" spans="1:13" x14ac:dyDescent="0.3">
      <c r="A1148">
        <v>1147</v>
      </c>
      <c r="B1148">
        <v>4</v>
      </c>
      <c r="C1148">
        <v>8</v>
      </c>
      <c r="D1148" s="1">
        <v>41823</v>
      </c>
      <c r="E1148">
        <v>27</v>
      </c>
      <c r="F1148">
        <f>VLOOKUP(ORDERS[[#This Row],[ProductID]],Products[],4,FALSE)</f>
        <v>27</v>
      </c>
      <c r="G1148">
        <v>0.10000000100000001</v>
      </c>
      <c r="H1148">
        <f>(ORDERS[[#This Row],[UnitsOrdered]]*ORDERS[[#This Row],[unit price]])-(ORDERS[[#This Row],[UnitsOrdered]]*ORDERS[[#This Row],[unit price]]*ORDERS[[#This Row],[Discount]])</f>
        <v>656.099999271</v>
      </c>
      <c r="I1148" t="str">
        <f>VLOOKUP(ORDERS[[#This Row],[CustomerID]],customers[],2,FALSE)</f>
        <v>Tshirt Unlimited</v>
      </c>
      <c r="J1148" s="2" t="str">
        <f>VLOOKUP(ORDERS[[#This Row],[CustomerID]],customers[],4,FALSE)</f>
        <v>Phoenix</v>
      </c>
      <c r="K1148" s="2" t="str">
        <f>VLOOKUP(ORDERS[[#This Row],[ProductID]],Products[],3,FALSE)</f>
        <v>Female</v>
      </c>
      <c r="L1148" s="2">
        <f>DAY(ORDERS[[#This Row],[OrderDate]])</f>
        <v>3</v>
      </c>
      <c r="M1148" s="2">
        <f>YEAR(ORDERS[[#This Row],[OrderDate]])</f>
        <v>2014</v>
      </c>
    </row>
    <row r="1149" spans="1:13" x14ac:dyDescent="0.3">
      <c r="A1149">
        <v>1148</v>
      </c>
      <c r="B1149">
        <v>3</v>
      </c>
      <c r="C1149">
        <v>1</v>
      </c>
      <c r="D1149" s="1">
        <v>41824</v>
      </c>
      <c r="E1149">
        <v>40</v>
      </c>
      <c r="F1149">
        <f>VLOOKUP(ORDERS[[#This Row],[ProductID]],Products[],4,FALSE)</f>
        <v>20</v>
      </c>
      <c r="G1149">
        <v>0</v>
      </c>
      <c r="H1149">
        <f>(ORDERS[[#This Row],[UnitsOrdered]]*ORDERS[[#This Row],[unit price]])-(ORDERS[[#This Row],[UnitsOrdered]]*ORDERS[[#This Row],[unit price]]*ORDERS[[#This Row],[Discount]])</f>
        <v>800</v>
      </c>
      <c r="I1149" t="str">
        <f>VLOOKUP(ORDERS[[#This Row],[CustomerID]],customers[],2,FALSE)</f>
        <v>Shirts R Us</v>
      </c>
      <c r="J1149" s="2" t="str">
        <f>VLOOKUP(ORDERS[[#This Row],[CustomerID]],customers[],4,FALSE)</f>
        <v>Los Angeles</v>
      </c>
      <c r="K1149" s="2" t="str">
        <f>VLOOKUP(ORDERS[[#This Row],[ProductID]],Products[],3,FALSE)</f>
        <v>Both</v>
      </c>
      <c r="L1149" s="2">
        <f>DAY(ORDERS[[#This Row],[OrderDate]])</f>
        <v>4</v>
      </c>
      <c r="M1149" s="2">
        <f>YEAR(ORDERS[[#This Row],[OrderDate]])</f>
        <v>2014</v>
      </c>
    </row>
    <row r="1150" spans="1:13" x14ac:dyDescent="0.3">
      <c r="A1150">
        <v>1149</v>
      </c>
      <c r="B1150">
        <v>1</v>
      </c>
      <c r="C1150">
        <v>6</v>
      </c>
      <c r="D1150" s="1">
        <v>41826</v>
      </c>
      <c r="E1150">
        <v>100</v>
      </c>
      <c r="F1150">
        <f>VLOOKUP(ORDERS[[#This Row],[ProductID]],Products[],4,FALSE)</f>
        <v>28</v>
      </c>
      <c r="G1150">
        <v>0</v>
      </c>
      <c r="H1150">
        <f>(ORDERS[[#This Row],[UnitsOrdered]]*ORDERS[[#This Row],[unit price]])-(ORDERS[[#This Row],[UnitsOrdered]]*ORDERS[[#This Row],[unit price]]*ORDERS[[#This Row],[Discount]])</f>
        <v>2800</v>
      </c>
      <c r="I1150" t="str">
        <f>VLOOKUP(ORDERS[[#This Row],[CustomerID]],customers[],2,FALSE)</f>
        <v>Threads</v>
      </c>
      <c r="J1150" s="2" t="str">
        <f>VLOOKUP(ORDERS[[#This Row],[CustomerID]],customers[],4,FALSE)</f>
        <v>Seattle</v>
      </c>
      <c r="K1150" s="2" t="str">
        <f>VLOOKUP(ORDERS[[#This Row],[ProductID]],Products[],3,FALSE)</f>
        <v>Female</v>
      </c>
      <c r="L1150" s="2">
        <f>DAY(ORDERS[[#This Row],[OrderDate]])</f>
        <v>6</v>
      </c>
      <c r="M1150" s="2">
        <f>YEAR(ORDERS[[#This Row],[OrderDate]])</f>
        <v>2014</v>
      </c>
    </row>
    <row r="1151" spans="1:13" x14ac:dyDescent="0.3">
      <c r="A1151">
        <v>1150</v>
      </c>
      <c r="B1151">
        <v>2</v>
      </c>
      <c r="C1151">
        <v>8</v>
      </c>
      <c r="D1151" s="1">
        <v>41826</v>
      </c>
      <c r="E1151">
        <v>135</v>
      </c>
      <c r="F1151">
        <f>VLOOKUP(ORDERS[[#This Row],[ProductID]],Products[],4,FALSE)</f>
        <v>27</v>
      </c>
      <c r="G1151">
        <v>0</v>
      </c>
      <c r="H1151">
        <f>(ORDERS[[#This Row],[UnitsOrdered]]*ORDERS[[#This Row],[unit price]])-(ORDERS[[#This Row],[UnitsOrdered]]*ORDERS[[#This Row],[unit price]]*ORDERS[[#This Row],[Discount]])</f>
        <v>3645</v>
      </c>
      <c r="I1151" t="str">
        <f>VLOOKUP(ORDERS[[#This Row],[CustomerID]],customers[],2,FALSE)</f>
        <v>A Shirts Life</v>
      </c>
      <c r="J1151" s="2" t="str">
        <f>VLOOKUP(ORDERS[[#This Row],[CustomerID]],customers[],4,FALSE)</f>
        <v>Portland</v>
      </c>
      <c r="K1151" s="2" t="str">
        <f>VLOOKUP(ORDERS[[#This Row],[ProductID]],Products[],3,FALSE)</f>
        <v>Female</v>
      </c>
      <c r="L1151" s="2">
        <f>DAY(ORDERS[[#This Row],[OrderDate]])</f>
        <v>6</v>
      </c>
      <c r="M1151" s="2">
        <f>YEAR(ORDERS[[#This Row],[OrderDate]])</f>
        <v>2014</v>
      </c>
    </row>
    <row r="1152" spans="1:13" x14ac:dyDescent="0.3">
      <c r="A1152">
        <v>1151</v>
      </c>
      <c r="B1152">
        <v>6</v>
      </c>
      <c r="C1152">
        <v>9</v>
      </c>
      <c r="D1152" s="1">
        <v>41826</v>
      </c>
      <c r="E1152">
        <v>113</v>
      </c>
      <c r="F1152">
        <f>VLOOKUP(ORDERS[[#This Row],[ProductID]],Products[],4,FALSE)</f>
        <v>25</v>
      </c>
      <c r="G1152">
        <v>0</v>
      </c>
      <c r="H1152">
        <f>(ORDERS[[#This Row],[UnitsOrdered]]*ORDERS[[#This Row],[unit price]])-(ORDERS[[#This Row],[UnitsOrdered]]*ORDERS[[#This Row],[unit price]]*ORDERS[[#This Row],[Discount]])</f>
        <v>2825</v>
      </c>
      <c r="I1152" t="str">
        <f>VLOOKUP(ORDERS[[#This Row],[CustomerID]],customers[],2,FALSE)</f>
        <v>Abracadaba Ink</v>
      </c>
      <c r="J1152" s="2" t="str">
        <f>VLOOKUP(ORDERS[[#This Row],[CustomerID]],customers[],4,FALSE)</f>
        <v>Salt Lake City</v>
      </c>
      <c r="K1152" s="2" t="str">
        <f>VLOOKUP(ORDERS[[#This Row],[ProductID]],Products[],3,FALSE)</f>
        <v>Male</v>
      </c>
      <c r="L1152" s="2">
        <f>DAY(ORDERS[[#This Row],[OrderDate]])</f>
        <v>6</v>
      </c>
      <c r="M1152" s="2">
        <f>YEAR(ORDERS[[#This Row],[OrderDate]])</f>
        <v>2014</v>
      </c>
    </row>
    <row r="1153" spans="1:13" x14ac:dyDescent="0.3">
      <c r="A1153">
        <v>1152</v>
      </c>
      <c r="B1153">
        <v>4</v>
      </c>
      <c r="C1153">
        <v>6</v>
      </c>
      <c r="D1153" s="1">
        <v>41827</v>
      </c>
      <c r="E1153">
        <v>64</v>
      </c>
      <c r="F1153">
        <f>VLOOKUP(ORDERS[[#This Row],[ProductID]],Products[],4,FALSE)</f>
        <v>28</v>
      </c>
      <c r="G1153">
        <v>5.0000001000000002E-2</v>
      </c>
      <c r="H1153">
        <f>(ORDERS[[#This Row],[UnitsOrdered]]*ORDERS[[#This Row],[unit price]])-(ORDERS[[#This Row],[UnitsOrdered]]*ORDERS[[#This Row],[unit price]]*ORDERS[[#This Row],[Discount]])</f>
        <v>1702.3999982079999</v>
      </c>
      <c r="I1153" t="str">
        <f>VLOOKUP(ORDERS[[#This Row],[CustomerID]],customers[],2,FALSE)</f>
        <v>Tshirt Unlimited</v>
      </c>
      <c r="J1153" s="2" t="str">
        <f>VLOOKUP(ORDERS[[#This Row],[CustomerID]],customers[],4,FALSE)</f>
        <v>Phoenix</v>
      </c>
      <c r="K1153" s="2" t="str">
        <f>VLOOKUP(ORDERS[[#This Row],[ProductID]],Products[],3,FALSE)</f>
        <v>Female</v>
      </c>
      <c r="L1153" s="2">
        <f>DAY(ORDERS[[#This Row],[OrderDate]])</f>
        <v>7</v>
      </c>
      <c r="M1153" s="2">
        <f>YEAR(ORDERS[[#This Row],[OrderDate]])</f>
        <v>2014</v>
      </c>
    </row>
    <row r="1154" spans="1:13" x14ac:dyDescent="0.3">
      <c r="A1154">
        <v>1153</v>
      </c>
      <c r="B1154">
        <v>7</v>
      </c>
      <c r="C1154">
        <v>10</v>
      </c>
      <c r="D1154" s="1">
        <v>41827</v>
      </c>
      <c r="E1154">
        <v>67</v>
      </c>
      <c r="F1154">
        <f>VLOOKUP(ORDERS[[#This Row],[ProductID]],Products[],4,FALSE)</f>
        <v>35</v>
      </c>
      <c r="G1154">
        <v>0</v>
      </c>
      <c r="H1154">
        <f>(ORDERS[[#This Row],[UnitsOrdered]]*ORDERS[[#This Row],[unit price]])-(ORDERS[[#This Row],[UnitsOrdered]]*ORDERS[[#This Row],[unit price]]*ORDERS[[#This Row],[Discount]])</f>
        <v>2345</v>
      </c>
      <c r="I1154" t="str">
        <f>VLOOKUP(ORDERS[[#This Row],[CustomerID]],customers[],2,FALSE)</f>
        <v>The Shirt on Your Back</v>
      </c>
      <c r="J1154" s="2" t="str">
        <f>VLOOKUP(ORDERS[[#This Row],[CustomerID]],customers[],4,FALSE)</f>
        <v>Bonners Ferry</v>
      </c>
      <c r="K1154" s="2" t="str">
        <f>VLOOKUP(ORDERS[[#This Row],[ProductID]],Products[],3,FALSE)</f>
        <v>Male</v>
      </c>
      <c r="L1154" s="2">
        <f>DAY(ORDERS[[#This Row],[OrderDate]])</f>
        <v>7</v>
      </c>
      <c r="M1154" s="2">
        <f>YEAR(ORDERS[[#This Row],[OrderDate]])</f>
        <v>2014</v>
      </c>
    </row>
    <row r="1155" spans="1:13" x14ac:dyDescent="0.3">
      <c r="A1155">
        <v>1154</v>
      </c>
      <c r="B1155">
        <v>2</v>
      </c>
      <c r="C1155">
        <v>6</v>
      </c>
      <c r="D1155" s="1">
        <v>41828</v>
      </c>
      <c r="E1155">
        <v>127</v>
      </c>
      <c r="F1155">
        <f>VLOOKUP(ORDERS[[#This Row],[ProductID]],Products[],4,FALSE)</f>
        <v>28</v>
      </c>
      <c r="G1155">
        <v>0.15000000599999999</v>
      </c>
      <c r="H1155">
        <f>(ORDERS[[#This Row],[UnitsOrdered]]*ORDERS[[#This Row],[unit price]])-(ORDERS[[#This Row],[UnitsOrdered]]*ORDERS[[#This Row],[unit price]]*ORDERS[[#This Row],[Discount]])</f>
        <v>3022.599978664</v>
      </c>
      <c r="I1155" t="str">
        <f>VLOOKUP(ORDERS[[#This Row],[CustomerID]],customers[],2,FALSE)</f>
        <v>A Shirts Life</v>
      </c>
      <c r="J1155" s="2" t="str">
        <f>VLOOKUP(ORDERS[[#This Row],[CustomerID]],customers[],4,FALSE)</f>
        <v>Portland</v>
      </c>
      <c r="K1155" s="2" t="str">
        <f>VLOOKUP(ORDERS[[#This Row],[ProductID]],Products[],3,FALSE)</f>
        <v>Female</v>
      </c>
      <c r="L1155" s="2">
        <f>DAY(ORDERS[[#This Row],[OrderDate]])</f>
        <v>8</v>
      </c>
      <c r="M1155" s="2">
        <f>YEAR(ORDERS[[#This Row],[OrderDate]])</f>
        <v>2014</v>
      </c>
    </row>
    <row r="1156" spans="1:13" x14ac:dyDescent="0.3">
      <c r="A1156">
        <v>1155</v>
      </c>
      <c r="B1156">
        <v>4</v>
      </c>
      <c r="C1156">
        <v>2</v>
      </c>
      <c r="D1156" s="1">
        <v>41828</v>
      </c>
      <c r="E1156">
        <v>79</v>
      </c>
      <c r="F1156">
        <f>VLOOKUP(ORDERS[[#This Row],[ProductID]],Products[],4,FALSE)</f>
        <v>30</v>
      </c>
      <c r="G1156">
        <v>0</v>
      </c>
      <c r="H1156">
        <f>(ORDERS[[#This Row],[UnitsOrdered]]*ORDERS[[#This Row],[unit price]])-(ORDERS[[#This Row],[UnitsOrdered]]*ORDERS[[#This Row],[unit price]]*ORDERS[[#This Row],[Discount]])</f>
        <v>2370</v>
      </c>
      <c r="I1156" t="str">
        <f>VLOOKUP(ORDERS[[#This Row],[CustomerID]],customers[],2,FALSE)</f>
        <v>Tshirt Unlimited</v>
      </c>
      <c r="J1156" s="2" t="str">
        <f>VLOOKUP(ORDERS[[#This Row],[CustomerID]],customers[],4,FALSE)</f>
        <v>Phoenix</v>
      </c>
      <c r="K1156" s="2" t="str">
        <f>VLOOKUP(ORDERS[[#This Row],[ProductID]],Products[],3,FALSE)</f>
        <v>Both</v>
      </c>
      <c r="L1156" s="2">
        <f>DAY(ORDERS[[#This Row],[OrderDate]])</f>
        <v>8</v>
      </c>
      <c r="M1156" s="2">
        <f>YEAR(ORDERS[[#This Row],[OrderDate]])</f>
        <v>2014</v>
      </c>
    </row>
    <row r="1157" spans="1:13" x14ac:dyDescent="0.3">
      <c r="A1157">
        <v>1156</v>
      </c>
      <c r="B1157">
        <v>4</v>
      </c>
      <c r="C1157">
        <v>9</v>
      </c>
      <c r="D1157" s="1">
        <v>41828</v>
      </c>
      <c r="E1157">
        <v>108</v>
      </c>
      <c r="F1157">
        <f>VLOOKUP(ORDERS[[#This Row],[ProductID]],Products[],4,FALSE)</f>
        <v>25</v>
      </c>
      <c r="G1157">
        <v>0</v>
      </c>
      <c r="H1157">
        <f>(ORDERS[[#This Row],[UnitsOrdered]]*ORDERS[[#This Row],[unit price]])-(ORDERS[[#This Row],[UnitsOrdered]]*ORDERS[[#This Row],[unit price]]*ORDERS[[#This Row],[Discount]])</f>
        <v>2700</v>
      </c>
      <c r="I1157" t="str">
        <f>VLOOKUP(ORDERS[[#This Row],[CustomerID]],customers[],2,FALSE)</f>
        <v>Tshirt Unlimited</v>
      </c>
      <c r="J1157" s="2" t="str">
        <f>VLOOKUP(ORDERS[[#This Row],[CustomerID]],customers[],4,FALSE)</f>
        <v>Phoenix</v>
      </c>
      <c r="K1157" s="2" t="str">
        <f>VLOOKUP(ORDERS[[#This Row],[ProductID]],Products[],3,FALSE)</f>
        <v>Male</v>
      </c>
      <c r="L1157" s="2">
        <f>DAY(ORDERS[[#This Row],[OrderDate]])</f>
        <v>8</v>
      </c>
      <c r="M1157" s="2">
        <f>YEAR(ORDERS[[#This Row],[OrderDate]])</f>
        <v>2014</v>
      </c>
    </row>
    <row r="1158" spans="1:13" x14ac:dyDescent="0.3">
      <c r="A1158">
        <v>1157</v>
      </c>
      <c r="B1158">
        <v>5</v>
      </c>
      <c r="C1158">
        <v>8</v>
      </c>
      <c r="D1158" s="1">
        <v>41828</v>
      </c>
      <c r="E1158">
        <v>76</v>
      </c>
      <c r="F1158">
        <f>VLOOKUP(ORDERS[[#This Row],[ProductID]],Products[],4,FALSE)</f>
        <v>27</v>
      </c>
      <c r="G1158">
        <v>0</v>
      </c>
      <c r="H1158">
        <f>(ORDERS[[#This Row],[UnitsOrdered]]*ORDERS[[#This Row],[unit price]])-(ORDERS[[#This Row],[UnitsOrdered]]*ORDERS[[#This Row],[unit price]]*ORDERS[[#This Row],[Discount]])</f>
        <v>2052</v>
      </c>
      <c r="I1158" t="str">
        <f>VLOOKUP(ORDERS[[#This Row],[CustomerID]],customers[],2,FALSE)</f>
        <v>Rags to Riches</v>
      </c>
      <c r="J1158" s="2" t="str">
        <f>VLOOKUP(ORDERS[[#This Row],[CustomerID]],customers[],4,FALSE)</f>
        <v>Las Vegas</v>
      </c>
      <c r="K1158" s="2" t="str">
        <f>VLOOKUP(ORDERS[[#This Row],[ProductID]],Products[],3,FALSE)</f>
        <v>Female</v>
      </c>
      <c r="L1158" s="2">
        <f>DAY(ORDERS[[#This Row],[OrderDate]])</f>
        <v>8</v>
      </c>
      <c r="M1158" s="2">
        <f>YEAR(ORDERS[[#This Row],[OrderDate]])</f>
        <v>2014</v>
      </c>
    </row>
    <row r="1159" spans="1:13" x14ac:dyDescent="0.3">
      <c r="A1159">
        <v>1158</v>
      </c>
      <c r="B1159">
        <v>2</v>
      </c>
      <c r="C1159">
        <v>1</v>
      </c>
      <c r="D1159" s="1">
        <v>41829</v>
      </c>
      <c r="E1159">
        <v>132</v>
      </c>
      <c r="F1159">
        <f>VLOOKUP(ORDERS[[#This Row],[ProductID]],Products[],4,FALSE)</f>
        <v>20</v>
      </c>
      <c r="G1159">
        <v>0</v>
      </c>
      <c r="H1159">
        <f>(ORDERS[[#This Row],[UnitsOrdered]]*ORDERS[[#This Row],[unit price]])-(ORDERS[[#This Row],[UnitsOrdered]]*ORDERS[[#This Row],[unit price]]*ORDERS[[#This Row],[Discount]])</f>
        <v>2640</v>
      </c>
      <c r="I1159" t="str">
        <f>VLOOKUP(ORDERS[[#This Row],[CustomerID]],customers[],2,FALSE)</f>
        <v>A Shirts Life</v>
      </c>
      <c r="J1159" s="2" t="str">
        <f>VLOOKUP(ORDERS[[#This Row],[CustomerID]],customers[],4,FALSE)</f>
        <v>Portland</v>
      </c>
      <c r="K1159" s="2" t="str">
        <f>VLOOKUP(ORDERS[[#This Row],[ProductID]],Products[],3,FALSE)</f>
        <v>Both</v>
      </c>
      <c r="L1159" s="2">
        <f>DAY(ORDERS[[#This Row],[OrderDate]])</f>
        <v>9</v>
      </c>
      <c r="M1159" s="2">
        <f>YEAR(ORDERS[[#This Row],[OrderDate]])</f>
        <v>2014</v>
      </c>
    </row>
    <row r="1160" spans="1:13" x14ac:dyDescent="0.3">
      <c r="A1160">
        <v>1159</v>
      </c>
      <c r="B1160">
        <v>7</v>
      </c>
      <c r="C1160">
        <v>6</v>
      </c>
      <c r="D1160" s="1">
        <v>41829</v>
      </c>
      <c r="E1160">
        <v>126</v>
      </c>
      <c r="F1160">
        <f>VLOOKUP(ORDERS[[#This Row],[ProductID]],Products[],4,FALSE)</f>
        <v>28</v>
      </c>
      <c r="G1160">
        <v>0</v>
      </c>
      <c r="H1160">
        <f>(ORDERS[[#This Row],[UnitsOrdered]]*ORDERS[[#This Row],[unit price]])-(ORDERS[[#This Row],[UnitsOrdered]]*ORDERS[[#This Row],[unit price]]*ORDERS[[#This Row],[Discount]])</f>
        <v>3528</v>
      </c>
      <c r="I1160" t="str">
        <f>VLOOKUP(ORDERS[[#This Row],[CustomerID]],customers[],2,FALSE)</f>
        <v>The Shirt on Your Back</v>
      </c>
      <c r="J1160" s="2" t="str">
        <f>VLOOKUP(ORDERS[[#This Row],[CustomerID]],customers[],4,FALSE)</f>
        <v>Bonners Ferry</v>
      </c>
      <c r="K1160" s="2" t="str">
        <f>VLOOKUP(ORDERS[[#This Row],[ProductID]],Products[],3,FALSE)</f>
        <v>Female</v>
      </c>
      <c r="L1160" s="2">
        <f>DAY(ORDERS[[#This Row],[OrderDate]])</f>
        <v>9</v>
      </c>
      <c r="M1160" s="2">
        <f>YEAR(ORDERS[[#This Row],[OrderDate]])</f>
        <v>2014</v>
      </c>
    </row>
    <row r="1161" spans="1:13" x14ac:dyDescent="0.3">
      <c r="A1161">
        <v>1160</v>
      </c>
      <c r="B1161">
        <v>2</v>
      </c>
      <c r="C1161">
        <v>7</v>
      </c>
      <c r="D1161" s="1">
        <v>41831</v>
      </c>
      <c r="E1161">
        <v>86</v>
      </c>
      <c r="F1161">
        <f>VLOOKUP(ORDERS[[#This Row],[ProductID]],Products[],4,FALSE)</f>
        <v>38</v>
      </c>
      <c r="G1161">
        <v>0</v>
      </c>
      <c r="H1161">
        <f>(ORDERS[[#This Row],[UnitsOrdered]]*ORDERS[[#This Row],[unit price]])-(ORDERS[[#This Row],[UnitsOrdered]]*ORDERS[[#This Row],[unit price]]*ORDERS[[#This Row],[Discount]])</f>
        <v>3268</v>
      </c>
      <c r="I1161" t="str">
        <f>VLOOKUP(ORDERS[[#This Row],[CustomerID]],customers[],2,FALSE)</f>
        <v>A Shirts Life</v>
      </c>
      <c r="J1161" s="2" t="str">
        <f>VLOOKUP(ORDERS[[#This Row],[CustomerID]],customers[],4,FALSE)</f>
        <v>Portland</v>
      </c>
      <c r="K1161" s="2" t="str">
        <f>VLOOKUP(ORDERS[[#This Row],[ProductID]],Products[],3,FALSE)</f>
        <v>Female</v>
      </c>
      <c r="L1161" s="2">
        <f>DAY(ORDERS[[#This Row],[OrderDate]])</f>
        <v>11</v>
      </c>
      <c r="M1161" s="2">
        <f>YEAR(ORDERS[[#This Row],[OrderDate]])</f>
        <v>2014</v>
      </c>
    </row>
    <row r="1162" spans="1:13" x14ac:dyDescent="0.3">
      <c r="A1162">
        <v>1161</v>
      </c>
      <c r="B1162">
        <v>3</v>
      </c>
      <c r="C1162">
        <v>4</v>
      </c>
      <c r="D1162" s="1">
        <v>41831</v>
      </c>
      <c r="E1162">
        <v>146</v>
      </c>
      <c r="F1162">
        <f>VLOOKUP(ORDERS[[#This Row],[ProductID]],Products[],4,FALSE)</f>
        <v>30</v>
      </c>
      <c r="G1162">
        <v>0</v>
      </c>
      <c r="H1162">
        <f>(ORDERS[[#This Row],[UnitsOrdered]]*ORDERS[[#This Row],[unit price]])-(ORDERS[[#This Row],[UnitsOrdered]]*ORDERS[[#This Row],[unit price]]*ORDERS[[#This Row],[Discount]])</f>
        <v>4380</v>
      </c>
      <c r="I1162" t="str">
        <f>VLOOKUP(ORDERS[[#This Row],[CustomerID]],customers[],2,FALSE)</f>
        <v>Shirts R Us</v>
      </c>
      <c r="J1162" s="2" t="str">
        <f>VLOOKUP(ORDERS[[#This Row],[CustomerID]],customers[],4,FALSE)</f>
        <v>Los Angeles</v>
      </c>
      <c r="K1162" s="2" t="str">
        <f>VLOOKUP(ORDERS[[#This Row],[ProductID]],Products[],3,FALSE)</f>
        <v>Both</v>
      </c>
      <c r="L1162" s="2">
        <f>DAY(ORDERS[[#This Row],[OrderDate]])</f>
        <v>11</v>
      </c>
      <c r="M1162" s="2">
        <f>YEAR(ORDERS[[#This Row],[OrderDate]])</f>
        <v>2014</v>
      </c>
    </row>
    <row r="1163" spans="1:13" x14ac:dyDescent="0.3">
      <c r="A1163">
        <v>1162</v>
      </c>
      <c r="B1163">
        <v>3</v>
      </c>
      <c r="C1163">
        <v>7</v>
      </c>
      <c r="D1163" s="1">
        <v>41831</v>
      </c>
      <c r="E1163">
        <v>113</v>
      </c>
      <c r="F1163">
        <f>VLOOKUP(ORDERS[[#This Row],[ProductID]],Products[],4,FALSE)</f>
        <v>38</v>
      </c>
      <c r="G1163">
        <v>0</v>
      </c>
      <c r="H1163">
        <f>(ORDERS[[#This Row],[UnitsOrdered]]*ORDERS[[#This Row],[unit price]])-(ORDERS[[#This Row],[UnitsOrdered]]*ORDERS[[#This Row],[unit price]]*ORDERS[[#This Row],[Discount]])</f>
        <v>4294</v>
      </c>
      <c r="I1163" t="str">
        <f>VLOOKUP(ORDERS[[#This Row],[CustomerID]],customers[],2,FALSE)</f>
        <v>Shirts R Us</v>
      </c>
      <c r="J1163" s="2" t="str">
        <f>VLOOKUP(ORDERS[[#This Row],[CustomerID]],customers[],4,FALSE)</f>
        <v>Los Angeles</v>
      </c>
      <c r="K1163" s="2" t="str">
        <f>VLOOKUP(ORDERS[[#This Row],[ProductID]],Products[],3,FALSE)</f>
        <v>Female</v>
      </c>
      <c r="L1163" s="2">
        <f>DAY(ORDERS[[#This Row],[OrderDate]])</f>
        <v>11</v>
      </c>
      <c r="M1163" s="2">
        <f>YEAR(ORDERS[[#This Row],[OrderDate]])</f>
        <v>2014</v>
      </c>
    </row>
    <row r="1164" spans="1:13" x14ac:dyDescent="0.3">
      <c r="A1164">
        <v>1163</v>
      </c>
      <c r="B1164">
        <v>4</v>
      </c>
      <c r="C1164">
        <v>3</v>
      </c>
      <c r="D1164" s="1">
        <v>41831</v>
      </c>
      <c r="E1164">
        <v>57</v>
      </c>
      <c r="F1164">
        <f>VLOOKUP(ORDERS[[#This Row],[ProductID]],Products[],4,FALSE)</f>
        <v>22</v>
      </c>
      <c r="G1164">
        <v>0</v>
      </c>
      <c r="H1164">
        <f>(ORDERS[[#This Row],[UnitsOrdered]]*ORDERS[[#This Row],[unit price]])-(ORDERS[[#This Row],[UnitsOrdered]]*ORDERS[[#This Row],[unit price]]*ORDERS[[#This Row],[Discount]])</f>
        <v>1254</v>
      </c>
      <c r="I1164" t="str">
        <f>VLOOKUP(ORDERS[[#This Row],[CustomerID]],customers[],2,FALSE)</f>
        <v>Tshirt Unlimited</v>
      </c>
      <c r="J1164" s="2" t="str">
        <f>VLOOKUP(ORDERS[[#This Row],[CustomerID]],customers[],4,FALSE)</f>
        <v>Phoenix</v>
      </c>
      <c r="K1164" s="2" t="str">
        <f>VLOOKUP(ORDERS[[#This Row],[ProductID]],Products[],3,FALSE)</f>
        <v>Both</v>
      </c>
      <c r="L1164" s="2">
        <f>DAY(ORDERS[[#This Row],[OrderDate]])</f>
        <v>11</v>
      </c>
      <c r="M1164" s="2">
        <f>YEAR(ORDERS[[#This Row],[OrderDate]])</f>
        <v>2014</v>
      </c>
    </row>
    <row r="1165" spans="1:13" x14ac:dyDescent="0.3">
      <c r="A1165">
        <v>1164</v>
      </c>
      <c r="B1165">
        <v>4</v>
      </c>
      <c r="C1165">
        <v>8</v>
      </c>
      <c r="D1165" s="1">
        <v>41831</v>
      </c>
      <c r="E1165">
        <v>126</v>
      </c>
      <c r="F1165">
        <f>VLOOKUP(ORDERS[[#This Row],[ProductID]],Products[],4,FALSE)</f>
        <v>27</v>
      </c>
      <c r="G1165">
        <v>0</v>
      </c>
      <c r="H1165">
        <f>(ORDERS[[#This Row],[UnitsOrdered]]*ORDERS[[#This Row],[unit price]])-(ORDERS[[#This Row],[UnitsOrdered]]*ORDERS[[#This Row],[unit price]]*ORDERS[[#This Row],[Discount]])</f>
        <v>3402</v>
      </c>
      <c r="I1165" t="str">
        <f>VLOOKUP(ORDERS[[#This Row],[CustomerID]],customers[],2,FALSE)</f>
        <v>Tshirt Unlimited</v>
      </c>
      <c r="J1165" s="2" t="str">
        <f>VLOOKUP(ORDERS[[#This Row],[CustomerID]],customers[],4,FALSE)</f>
        <v>Phoenix</v>
      </c>
      <c r="K1165" s="2" t="str">
        <f>VLOOKUP(ORDERS[[#This Row],[ProductID]],Products[],3,FALSE)</f>
        <v>Female</v>
      </c>
      <c r="L1165" s="2">
        <f>DAY(ORDERS[[#This Row],[OrderDate]])</f>
        <v>11</v>
      </c>
      <c r="M1165" s="2">
        <f>YEAR(ORDERS[[#This Row],[OrderDate]])</f>
        <v>2014</v>
      </c>
    </row>
    <row r="1166" spans="1:13" x14ac:dyDescent="0.3">
      <c r="A1166">
        <v>1165</v>
      </c>
      <c r="B1166">
        <v>5</v>
      </c>
      <c r="C1166">
        <v>1</v>
      </c>
      <c r="D1166" s="1">
        <v>41831</v>
      </c>
      <c r="E1166">
        <v>66</v>
      </c>
      <c r="F1166">
        <f>VLOOKUP(ORDERS[[#This Row],[ProductID]],Products[],4,FALSE)</f>
        <v>20</v>
      </c>
      <c r="G1166">
        <v>0</v>
      </c>
      <c r="H1166">
        <f>(ORDERS[[#This Row],[UnitsOrdered]]*ORDERS[[#This Row],[unit price]])-(ORDERS[[#This Row],[UnitsOrdered]]*ORDERS[[#This Row],[unit price]]*ORDERS[[#This Row],[Discount]])</f>
        <v>1320</v>
      </c>
      <c r="I1166" t="str">
        <f>VLOOKUP(ORDERS[[#This Row],[CustomerID]],customers[],2,FALSE)</f>
        <v>Rags to Riches</v>
      </c>
      <c r="J1166" s="2" t="str">
        <f>VLOOKUP(ORDERS[[#This Row],[CustomerID]],customers[],4,FALSE)</f>
        <v>Las Vegas</v>
      </c>
      <c r="K1166" s="2" t="str">
        <f>VLOOKUP(ORDERS[[#This Row],[ProductID]],Products[],3,FALSE)</f>
        <v>Both</v>
      </c>
      <c r="L1166" s="2">
        <f>DAY(ORDERS[[#This Row],[OrderDate]])</f>
        <v>11</v>
      </c>
      <c r="M1166" s="2">
        <f>YEAR(ORDERS[[#This Row],[OrderDate]])</f>
        <v>2014</v>
      </c>
    </row>
    <row r="1167" spans="1:13" x14ac:dyDescent="0.3">
      <c r="A1167">
        <v>1166</v>
      </c>
      <c r="B1167">
        <v>4</v>
      </c>
      <c r="C1167">
        <v>2</v>
      </c>
      <c r="D1167" s="1">
        <v>41832</v>
      </c>
      <c r="E1167">
        <v>27</v>
      </c>
      <c r="F1167">
        <f>VLOOKUP(ORDERS[[#This Row],[ProductID]],Products[],4,FALSE)</f>
        <v>30</v>
      </c>
      <c r="G1167">
        <v>0</v>
      </c>
      <c r="H1167">
        <f>(ORDERS[[#This Row],[UnitsOrdered]]*ORDERS[[#This Row],[unit price]])-(ORDERS[[#This Row],[UnitsOrdered]]*ORDERS[[#This Row],[unit price]]*ORDERS[[#This Row],[Discount]])</f>
        <v>810</v>
      </c>
      <c r="I1167" t="str">
        <f>VLOOKUP(ORDERS[[#This Row],[CustomerID]],customers[],2,FALSE)</f>
        <v>Tshirt Unlimited</v>
      </c>
      <c r="J1167" s="2" t="str">
        <f>VLOOKUP(ORDERS[[#This Row],[CustomerID]],customers[],4,FALSE)</f>
        <v>Phoenix</v>
      </c>
      <c r="K1167" s="2" t="str">
        <f>VLOOKUP(ORDERS[[#This Row],[ProductID]],Products[],3,FALSE)</f>
        <v>Both</v>
      </c>
      <c r="L1167" s="2">
        <f>DAY(ORDERS[[#This Row],[OrderDate]])</f>
        <v>12</v>
      </c>
      <c r="M1167" s="2">
        <f>YEAR(ORDERS[[#This Row],[OrderDate]])</f>
        <v>2014</v>
      </c>
    </row>
    <row r="1168" spans="1:13" x14ac:dyDescent="0.3">
      <c r="A1168">
        <v>1167</v>
      </c>
      <c r="B1168">
        <v>1</v>
      </c>
      <c r="C1168">
        <v>4</v>
      </c>
      <c r="D1168" s="1">
        <v>41833</v>
      </c>
      <c r="E1168">
        <v>43</v>
      </c>
      <c r="F1168">
        <f>VLOOKUP(ORDERS[[#This Row],[ProductID]],Products[],4,FALSE)</f>
        <v>30</v>
      </c>
      <c r="G1168">
        <v>0</v>
      </c>
      <c r="H1168">
        <f>(ORDERS[[#This Row],[UnitsOrdered]]*ORDERS[[#This Row],[unit price]])-(ORDERS[[#This Row],[UnitsOrdered]]*ORDERS[[#This Row],[unit price]]*ORDERS[[#This Row],[Discount]])</f>
        <v>1290</v>
      </c>
      <c r="I1168" t="str">
        <f>VLOOKUP(ORDERS[[#This Row],[CustomerID]],customers[],2,FALSE)</f>
        <v>Threads</v>
      </c>
      <c r="J1168" s="2" t="str">
        <f>VLOOKUP(ORDERS[[#This Row],[CustomerID]],customers[],4,FALSE)</f>
        <v>Seattle</v>
      </c>
      <c r="K1168" s="2" t="str">
        <f>VLOOKUP(ORDERS[[#This Row],[ProductID]],Products[],3,FALSE)</f>
        <v>Both</v>
      </c>
      <c r="L1168" s="2">
        <f>DAY(ORDERS[[#This Row],[OrderDate]])</f>
        <v>13</v>
      </c>
      <c r="M1168" s="2">
        <f>YEAR(ORDERS[[#This Row],[OrderDate]])</f>
        <v>2014</v>
      </c>
    </row>
    <row r="1169" spans="1:13" x14ac:dyDescent="0.3">
      <c r="A1169">
        <v>1168</v>
      </c>
      <c r="B1169">
        <v>3</v>
      </c>
      <c r="C1169">
        <v>1</v>
      </c>
      <c r="D1169" s="1">
        <v>41833</v>
      </c>
      <c r="E1169">
        <v>95</v>
      </c>
      <c r="F1169">
        <f>VLOOKUP(ORDERS[[#This Row],[ProductID]],Products[],4,FALSE)</f>
        <v>20</v>
      </c>
      <c r="G1169">
        <v>0</v>
      </c>
      <c r="H1169">
        <f>(ORDERS[[#This Row],[UnitsOrdered]]*ORDERS[[#This Row],[unit price]])-(ORDERS[[#This Row],[UnitsOrdered]]*ORDERS[[#This Row],[unit price]]*ORDERS[[#This Row],[Discount]])</f>
        <v>1900</v>
      </c>
      <c r="I1169" t="str">
        <f>VLOOKUP(ORDERS[[#This Row],[CustomerID]],customers[],2,FALSE)</f>
        <v>Shirts R Us</v>
      </c>
      <c r="J1169" s="2" t="str">
        <f>VLOOKUP(ORDERS[[#This Row],[CustomerID]],customers[],4,FALSE)</f>
        <v>Los Angeles</v>
      </c>
      <c r="K1169" s="2" t="str">
        <f>VLOOKUP(ORDERS[[#This Row],[ProductID]],Products[],3,FALSE)</f>
        <v>Both</v>
      </c>
      <c r="L1169" s="2">
        <f>DAY(ORDERS[[#This Row],[OrderDate]])</f>
        <v>13</v>
      </c>
      <c r="M1169" s="2">
        <f>YEAR(ORDERS[[#This Row],[OrderDate]])</f>
        <v>2014</v>
      </c>
    </row>
    <row r="1170" spans="1:13" x14ac:dyDescent="0.3">
      <c r="A1170">
        <v>1169</v>
      </c>
      <c r="B1170">
        <v>6</v>
      </c>
      <c r="C1170">
        <v>2</v>
      </c>
      <c r="D1170" s="1">
        <v>41833</v>
      </c>
      <c r="E1170">
        <v>102</v>
      </c>
      <c r="F1170">
        <f>VLOOKUP(ORDERS[[#This Row],[ProductID]],Products[],4,FALSE)</f>
        <v>30</v>
      </c>
      <c r="G1170">
        <v>5.0000001000000002E-2</v>
      </c>
      <c r="H1170">
        <f>(ORDERS[[#This Row],[UnitsOrdered]]*ORDERS[[#This Row],[unit price]])-(ORDERS[[#This Row],[UnitsOrdered]]*ORDERS[[#This Row],[unit price]]*ORDERS[[#This Row],[Discount]])</f>
        <v>2906.9999969400001</v>
      </c>
      <c r="I1170" t="str">
        <f>VLOOKUP(ORDERS[[#This Row],[CustomerID]],customers[],2,FALSE)</f>
        <v>Abracadaba Ink</v>
      </c>
      <c r="J1170" s="2" t="str">
        <f>VLOOKUP(ORDERS[[#This Row],[CustomerID]],customers[],4,FALSE)</f>
        <v>Salt Lake City</v>
      </c>
      <c r="K1170" s="2" t="str">
        <f>VLOOKUP(ORDERS[[#This Row],[ProductID]],Products[],3,FALSE)</f>
        <v>Both</v>
      </c>
      <c r="L1170" s="2">
        <f>DAY(ORDERS[[#This Row],[OrderDate]])</f>
        <v>13</v>
      </c>
      <c r="M1170" s="2">
        <f>YEAR(ORDERS[[#This Row],[OrderDate]])</f>
        <v>2014</v>
      </c>
    </row>
    <row r="1171" spans="1:13" x14ac:dyDescent="0.3">
      <c r="A1171">
        <v>1170</v>
      </c>
      <c r="B1171">
        <v>7</v>
      </c>
      <c r="C1171">
        <v>5</v>
      </c>
      <c r="D1171" s="1">
        <v>41833</v>
      </c>
      <c r="E1171">
        <v>95</v>
      </c>
      <c r="F1171">
        <f>VLOOKUP(ORDERS[[#This Row],[ProductID]],Products[],4,FALSE)</f>
        <v>16</v>
      </c>
      <c r="G1171">
        <v>0.10000000100000001</v>
      </c>
      <c r="H1171">
        <f>(ORDERS[[#This Row],[UnitsOrdered]]*ORDERS[[#This Row],[unit price]])-(ORDERS[[#This Row],[UnitsOrdered]]*ORDERS[[#This Row],[unit price]]*ORDERS[[#This Row],[Discount]])</f>
        <v>1367.9999984799999</v>
      </c>
      <c r="I1171" t="str">
        <f>VLOOKUP(ORDERS[[#This Row],[CustomerID]],customers[],2,FALSE)</f>
        <v>The Shirt on Your Back</v>
      </c>
      <c r="J1171" s="2" t="str">
        <f>VLOOKUP(ORDERS[[#This Row],[CustomerID]],customers[],4,FALSE)</f>
        <v>Bonners Ferry</v>
      </c>
      <c r="K1171" s="2" t="str">
        <f>VLOOKUP(ORDERS[[#This Row],[ProductID]],Products[],3,FALSE)</f>
        <v>Female</v>
      </c>
      <c r="L1171" s="2">
        <f>DAY(ORDERS[[#This Row],[OrderDate]])</f>
        <v>13</v>
      </c>
      <c r="M1171" s="2">
        <f>YEAR(ORDERS[[#This Row],[OrderDate]])</f>
        <v>2014</v>
      </c>
    </row>
    <row r="1172" spans="1:13" x14ac:dyDescent="0.3">
      <c r="A1172">
        <v>1171</v>
      </c>
      <c r="B1172">
        <v>6</v>
      </c>
      <c r="C1172">
        <v>5</v>
      </c>
      <c r="D1172" s="1">
        <v>41834</v>
      </c>
      <c r="E1172">
        <v>70</v>
      </c>
      <c r="F1172">
        <f>VLOOKUP(ORDERS[[#This Row],[ProductID]],Products[],4,FALSE)</f>
        <v>16</v>
      </c>
      <c r="G1172">
        <v>0</v>
      </c>
      <c r="H1172">
        <f>(ORDERS[[#This Row],[UnitsOrdered]]*ORDERS[[#This Row],[unit price]])-(ORDERS[[#This Row],[UnitsOrdered]]*ORDERS[[#This Row],[unit price]]*ORDERS[[#This Row],[Discount]])</f>
        <v>1120</v>
      </c>
      <c r="I1172" t="str">
        <f>VLOOKUP(ORDERS[[#This Row],[CustomerID]],customers[],2,FALSE)</f>
        <v>Abracadaba Ink</v>
      </c>
      <c r="J1172" s="2" t="str">
        <f>VLOOKUP(ORDERS[[#This Row],[CustomerID]],customers[],4,FALSE)</f>
        <v>Salt Lake City</v>
      </c>
      <c r="K1172" s="2" t="str">
        <f>VLOOKUP(ORDERS[[#This Row],[ProductID]],Products[],3,FALSE)</f>
        <v>Female</v>
      </c>
      <c r="L1172" s="2">
        <f>DAY(ORDERS[[#This Row],[OrderDate]])</f>
        <v>14</v>
      </c>
      <c r="M1172" s="2">
        <f>YEAR(ORDERS[[#This Row],[OrderDate]])</f>
        <v>2014</v>
      </c>
    </row>
    <row r="1173" spans="1:13" x14ac:dyDescent="0.3">
      <c r="A1173">
        <v>1172</v>
      </c>
      <c r="B1173">
        <v>3</v>
      </c>
      <c r="C1173">
        <v>5</v>
      </c>
      <c r="D1173" s="1">
        <v>41835</v>
      </c>
      <c r="E1173">
        <v>83</v>
      </c>
      <c r="F1173">
        <f>VLOOKUP(ORDERS[[#This Row],[ProductID]],Products[],4,FALSE)</f>
        <v>16</v>
      </c>
      <c r="G1173">
        <v>0</v>
      </c>
      <c r="H1173">
        <f>(ORDERS[[#This Row],[UnitsOrdered]]*ORDERS[[#This Row],[unit price]])-(ORDERS[[#This Row],[UnitsOrdered]]*ORDERS[[#This Row],[unit price]]*ORDERS[[#This Row],[Discount]])</f>
        <v>1328</v>
      </c>
      <c r="I1173" t="str">
        <f>VLOOKUP(ORDERS[[#This Row],[CustomerID]],customers[],2,FALSE)</f>
        <v>Shirts R Us</v>
      </c>
      <c r="J1173" s="2" t="str">
        <f>VLOOKUP(ORDERS[[#This Row],[CustomerID]],customers[],4,FALSE)</f>
        <v>Los Angeles</v>
      </c>
      <c r="K1173" s="2" t="str">
        <f>VLOOKUP(ORDERS[[#This Row],[ProductID]],Products[],3,FALSE)</f>
        <v>Female</v>
      </c>
      <c r="L1173" s="2">
        <f>DAY(ORDERS[[#This Row],[OrderDate]])</f>
        <v>15</v>
      </c>
      <c r="M1173" s="2">
        <f>YEAR(ORDERS[[#This Row],[OrderDate]])</f>
        <v>2014</v>
      </c>
    </row>
    <row r="1174" spans="1:13" x14ac:dyDescent="0.3">
      <c r="A1174">
        <v>1173</v>
      </c>
      <c r="B1174">
        <v>5</v>
      </c>
      <c r="C1174">
        <v>9</v>
      </c>
      <c r="D1174" s="1">
        <v>41835</v>
      </c>
      <c r="E1174">
        <v>144</v>
      </c>
      <c r="F1174">
        <f>VLOOKUP(ORDERS[[#This Row],[ProductID]],Products[],4,FALSE)</f>
        <v>25</v>
      </c>
      <c r="G1174">
        <v>0</v>
      </c>
      <c r="H1174">
        <f>(ORDERS[[#This Row],[UnitsOrdered]]*ORDERS[[#This Row],[unit price]])-(ORDERS[[#This Row],[UnitsOrdered]]*ORDERS[[#This Row],[unit price]]*ORDERS[[#This Row],[Discount]])</f>
        <v>3600</v>
      </c>
      <c r="I1174" t="str">
        <f>VLOOKUP(ORDERS[[#This Row],[CustomerID]],customers[],2,FALSE)</f>
        <v>Rags to Riches</v>
      </c>
      <c r="J1174" s="2" t="str">
        <f>VLOOKUP(ORDERS[[#This Row],[CustomerID]],customers[],4,FALSE)</f>
        <v>Las Vegas</v>
      </c>
      <c r="K1174" s="2" t="str">
        <f>VLOOKUP(ORDERS[[#This Row],[ProductID]],Products[],3,FALSE)</f>
        <v>Male</v>
      </c>
      <c r="L1174" s="2">
        <f>DAY(ORDERS[[#This Row],[OrderDate]])</f>
        <v>15</v>
      </c>
      <c r="M1174" s="2">
        <f>YEAR(ORDERS[[#This Row],[OrderDate]])</f>
        <v>2014</v>
      </c>
    </row>
    <row r="1175" spans="1:13" x14ac:dyDescent="0.3">
      <c r="A1175">
        <v>1174</v>
      </c>
      <c r="B1175">
        <v>7</v>
      </c>
      <c r="C1175">
        <v>5</v>
      </c>
      <c r="D1175" s="1">
        <v>41835</v>
      </c>
      <c r="E1175">
        <v>43</v>
      </c>
      <c r="F1175">
        <f>VLOOKUP(ORDERS[[#This Row],[ProductID]],Products[],4,FALSE)</f>
        <v>16</v>
      </c>
      <c r="G1175">
        <v>0</v>
      </c>
      <c r="H1175">
        <f>(ORDERS[[#This Row],[UnitsOrdered]]*ORDERS[[#This Row],[unit price]])-(ORDERS[[#This Row],[UnitsOrdered]]*ORDERS[[#This Row],[unit price]]*ORDERS[[#This Row],[Discount]])</f>
        <v>688</v>
      </c>
      <c r="I1175" t="str">
        <f>VLOOKUP(ORDERS[[#This Row],[CustomerID]],customers[],2,FALSE)</f>
        <v>The Shirt on Your Back</v>
      </c>
      <c r="J1175" s="2" t="str">
        <f>VLOOKUP(ORDERS[[#This Row],[CustomerID]],customers[],4,FALSE)</f>
        <v>Bonners Ferry</v>
      </c>
      <c r="K1175" s="2" t="str">
        <f>VLOOKUP(ORDERS[[#This Row],[ProductID]],Products[],3,FALSE)</f>
        <v>Female</v>
      </c>
      <c r="L1175" s="2">
        <f>DAY(ORDERS[[#This Row],[OrderDate]])</f>
        <v>15</v>
      </c>
      <c r="M1175" s="2">
        <f>YEAR(ORDERS[[#This Row],[OrderDate]])</f>
        <v>2014</v>
      </c>
    </row>
    <row r="1176" spans="1:13" x14ac:dyDescent="0.3">
      <c r="A1176">
        <v>1175</v>
      </c>
      <c r="B1176">
        <v>1</v>
      </c>
      <c r="C1176">
        <v>1</v>
      </c>
      <c r="D1176" s="1">
        <v>41836</v>
      </c>
      <c r="E1176">
        <v>138</v>
      </c>
      <c r="F1176">
        <f>VLOOKUP(ORDERS[[#This Row],[ProductID]],Products[],4,FALSE)</f>
        <v>20</v>
      </c>
      <c r="G1176">
        <v>0</v>
      </c>
      <c r="H1176">
        <f>(ORDERS[[#This Row],[UnitsOrdered]]*ORDERS[[#This Row],[unit price]])-(ORDERS[[#This Row],[UnitsOrdered]]*ORDERS[[#This Row],[unit price]]*ORDERS[[#This Row],[Discount]])</f>
        <v>2760</v>
      </c>
      <c r="I1176" t="str">
        <f>VLOOKUP(ORDERS[[#This Row],[CustomerID]],customers[],2,FALSE)</f>
        <v>Threads</v>
      </c>
      <c r="J1176" s="2" t="str">
        <f>VLOOKUP(ORDERS[[#This Row],[CustomerID]],customers[],4,FALSE)</f>
        <v>Seattle</v>
      </c>
      <c r="K1176" s="2" t="str">
        <f>VLOOKUP(ORDERS[[#This Row],[ProductID]],Products[],3,FALSE)</f>
        <v>Both</v>
      </c>
      <c r="L1176" s="2">
        <f>DAY(ORDERS[[#This Row],[OrderDate]])</f>
        <v>16</v>
      </c>
      <c r="M1176" s="2">
        <f>YEAR(ORDERS[[#This Row],[OrderDate]])</f>
        <v>2014</v>
      </c>
    </row>
    <row r="1177" spans="1:13" x14ac:dyDescent="0.3">
      <c r="A1177">
        <v>1176</v>
      </c>
      <c r="B1177">
        <v>1</v>
      </c>
      <c r="C1177">
        <v>6</v>
      </c>
      <c r="D1177" s="1">
        <v>41836</v>
      </c>
      <c r="E1177">
        <v>55</v>
      </c>
      <c r="F1177">
        <f>VLOOKUP(ORDERS[[#This Row],[ProductID]],Products[],4,FALSE)</f>
        <v>28</v>
      </c>
      <c r="G1177">
        <v>0</v>
      </c>
      <c r="H1177">
        <f>(ORDERS[[#This Row],[UnitsOrdered]]*ORDERS[[#This Row],[unit price]])-(ORDERS[[#This Row],[UnitsOrdered]]*ORDERS[[#This Row],[unit price]]*ORDERS[[#This Row],[Discount]])</f>
        <v>1540</v>
      </c>
      <c r="I1177" t="str">
        <f>VLOOKUP(ORDERS[[#This Row],[CustomerID]],customers[],2,FALSE)</f>
        <v>Threads</v>
      </c>
      <c r="J1177" s="2" t="str">
        <f>VLOOKUP(ORDERS[[#This Row],[CustomerID]],customers[],4,FALSE)</f>
        <v>Seattle</v>
      </c>
      <c r="K1177" s="2" t="str">
        <f>VLOOKUP(ORDERS[[#This Row],[ProductID]],Products[],3,FALSE)</f>
        <v>Female</v>
      </c>
      <c r="L1177" s="2">
        <f>DAY(ORDERS[[#This Row],[OrderDate]])</f>
        <v>16</v>
      </c>
      <c r="M1177" s="2">
        <f>YEAR(ORDERS[[#This Row],[OrderDate]])</f>
        <v>2014</v>
      </c>
    </row>
    <row r="1178" spans="1:13" x14ac:dyDescent="0.3">
      <c r="A1178">
        <v>1177</v>
      </c>
      <c r="B1178">
        <v>2</v>
      </c>
      <c r="C1178">
        <v>10</v>
      </c>
      <c r="D1178" s="1">
        <v>41836</v>
      </c>
      <c r="E1178">
        <v>113</v>
      </c>
      <c r="F1178">
        <f>VLOOKUP(ORDERS[[#This Row],[ProductID]],Products[],4,FALSE)</f>
        <v>35</v>
      </c>
      <c r="G1178">
        <v>0</v>
      </c>
      <c r="H1178">
        <f>(ORDERS[[#This Row],[UnitsOrdered]]*ORDERS[[#This Row],[unit price]])-(ORDERS[[#This Row],[UnitsOrdered]]*ORDERS[[#This Row],[unit price]]*ORDERS[[#This Row],[Discount]])</f>
        <v>3955</v>
      </c>
      <c r="I1178" t="str">
        <f>VLOOKUP(ORDERS[[#This Row],[CustomerID]],customers[],2,FALSE)</f>
        <v>A Shirts Life</v>
      </c>
      <c r="J1178" s="2" t="str">
        <f>VLOOKUP(ORDERS[[#This Row],[CustomerID]],customers[],4,FALSE)</f>
        <v>Portland</v>
      </c>
      <c r="K1178" s="2" t="str">
        <f>VLOOKUP(ORDERS[[#This Row],[ProductID]],Products[],3,FALSE)</f>
        <v>Male</v>
      </c>
      <c r="L1178" s="2">
        <f>DAY(ORDERS[[#This Row],[OrderDate]])</f>
        <v>16</v>
      </c>
      <c r="M1178" s="2">
        <f>YEAR(ORDERS[[#This Row],[OrderDate]])</f>
        <v>2014</v>
      </c>
    </row>
    <row r="1179" spans="1:13" x14ac:dyDescent="0.3">
      <c r="A1179">
        <v>1178</v>
      </c>
      <c r="B1179">
        <v>6</v>
      </c>
      <c r="C1179">
        <v>5</v>
      </c>
      <c r="D1179" s="1">
        <v>41838</v>
      </c>
      <c r="E1179">
        <v>127</v>
      </c>
      <c r="F1179">
        <f>VLOOKUP(ORDERS[[#This Row],[ProductID]],Products[],4,FALSE)</f>
        <v>16</v>
      </c>
      <c r="G1179">
        <v>0</v>
      </c>
      <c r="H1179">
        <f>(ORDERS[[#This Row],[UnitsOrdered]]*ORDERS[[#This Row],[unit price]])-(ORDERS[[#This Row],[UnitsOrdered]]*ORDERS[[#This Row],[unit price]]*ORDERS[[#This Row],[Discount]])</f>
        <v>2032</v>
      </c>
      <c r="I1179" t="str">
        <f>VLOOKUP(ORDERS[[#This Row],[CustomerID]],customers[],2,FALSE)</f>
        <v>Abracadaba Ink</v>
      </c>
      <c r="J1179" s="2" t="str">
        <f>VLOOKUP(ORDERS[[#This Row],[CustomerID]],customers[],4,FALSE)</f>
        <v>Salt Lake City</v>
      </c>
      <c r="K1179" s="2" t="str">
        <f>VLOOKUP(ORDERS[[#This Row],[ProductID]],Products[],3,FALSE)</f>
        <v>Female</v>
      </c>
      <c r="L1179" s="2">
        <f>DAY(ORDERS[[#This Row],[OrderDate]])</f>
        <v>18</v>
      </c>
      <c r="M1179" s="2">
        <f>YEAR(ORDERS[[#This Row],[OrderDate]])</f>
        <v>2014</v>
      </c>
    </row>
    <row r="1180" spans="1:13" x14ac:dyDescent="0.3">
      <c r="A1180">
        <v>1179</v>
      </c>
      <c r="B1180">
        <v>3</v>
      </c>
      <c r="C1180">
        <v>6</v>
      </c>
      <c r="D1180" s="1">
        <v>41839</v>
      </c>
      <c r="E1180">
        <v>40</v>
      </c>
      <c r="F1180">
        <f>VLOOKUP(ORDERS[[#This Row],[ProductID]],Products[],4,FALSE)</f>
        <v>28</v>
      </c>
      <c r="G1180">
        <v>0</v>
      </c>
      <c r="H1180">
        <f>(ORDERS[[#This Row],[UnitsOrdered]]*ORDERS[[#This Row],[unit price]])-(ORDERS[[#This Row],[UnitsOrdered]]*ORDERS[[#This Row],[unit price]]*ORDERS[[#This Row],[Discount]])</f>
        <v>1120</v>
      </c>
      <c r="I1180" t="str">
        <f>VLOOKUP(ORDERS[[#This Row],[CustomerID]],customers[],2,FALSE)</f>
        <v>Shirts R Us</v>
      </c>
      <c r="J1180" s="2" t="str">
        <f>VLOOKUP(ORDERS[[#This Row],[CustomerID]],customers[],4,FALSE)</f>
        <v>Los Angeles</v>
      </c>
      <c r="K1180" s="2" t="str">
        <f>VLOOKUP(ORDERS[[#This Row],[ProductID]],Products[],3,FALSE)</f>
        <v>Female</v>
      </c>
      <c r="L1180" s="2">
        <f>DAY(ORDERS[[#This Row],[OrderDate]])</f>
        <v>19</v>
      </c>
      <c r="M1180" s="2">
        <f>YEAR(ORDERS[[#This Row],[OrderDate]])</f>
        <v>2014</v>
      </c>
    </row>
    <row r="1181" spans="1:13" x14ac:dyDescent="0.3">
      <c r="A1181">
        <v>1180</v>
      </c>
      <c r="B1181">
        <v>6</v>
      </c>
      <c r="C1181">
        <v>9</v>
      </c>
      <c r="D1181" s="1">
        <v>41839</v>
      </c>
      <c r="E1181">
        <v>27</v>
      </c>
      <c r="F1181">
        <f>VLOOKUP(ORDERS[[#This Row],[ProductID]],Products[],4,FALSE)</f>
        <v>25</v>
      </c>
      <c r="G1181">
        <v>0</v>
      </c>
      <c r="H1181">
        <f>(ORDERS[[#This Row],[UnitsOrdered]]*ORDERS[[#This Row],[unit price]])-(ORDERS[[#This Row],[UnitsOrdered]]*ORDERS[[#This Row],[unit price]]*ORDERS[[#This Row],[Discount]])</f>
        <v>675</v>
      </c>
      <c r="I1181" t="str">
        <f>VLOOKUP(ORDERS[[#This Row],[CustomerID]],customers[],2,FALSE)</f>
        <v>Abracadaba Ink</v>
      </c>
      <c r="J1181" s="2" t="str">
        <f>VLOOKUP(ORDERS[[#This Row],[CustomerID]],customers[],4,FALSE)</f>
        <v>Salt Lake City</v>
      </c>
      <c r="K1181" s="2" t="str">
        <f>VLOOKUP(ORDERS[[#This Row],[ProductID]],Products[],3,FALSE)</f>
        <v>Male</v>
      </c>
      <c r="L1181" s="2">
        <f>DAY(ORDERS[[#This Row],[OrderDate]])</f>
        <v>19</v>
      </c>
      <c r="M1181" s="2">
        <f>YEAR(ORDERS[[#This Row],[OrderDate]])</f>
        <v>2014</v>
      </c>
    </row>
    <row r="1182" spans="1:13" x14ac:dyDescent="0.3">
      <c r="A1182">
        <v>1181</v>
      </c>
      <c r="B1182">
        <v>1</v>
      </c>
      <c r="C1182">
        <v>10</v>
      </c>
      <c r="D1182" s="1">
        <v>41840</v>
      </c>
      <c r="E1182">
        <v>88</v>
      </c>
      <c r="F1182">
        <f>VLOOKUP(ORDERS[[#This Row],[ProductID]],Products[],4,FALSE)</f>
        <v>35</v>
      </c>
      <c r="G1182">
        <v>5.0000001000000002E-2</v>
      </c>
      <c r="H1182">
        <f>(ORDERS[[#This Row],[UnitsOrdered]]*ORDERS[[#This Row],[unit price]])-(ORDERS[[#This Row],[UnitsOrdered]]*ORDERS[[#This Row],[unit price]]*ORDERS[[#This Row],[Discount]])</f>
        <v>2925.9999969199998</v>
      </c>
      <c r="I1182" t="str">
        <f>VLOOKUP(ORDERS[[#This Row],[CustomerID]],customers[],2,FALSE)</f>
        <v>Threads</v>
      </c>
      <c r="J1182" s="2" t="str">
        <f>VLOOKUP(ORDERS[[#This Row],[CustomerID]],customers[],4,FALSE)</f>
        <v>Seattle</v>
      </c>
      <c r="K1182" s="2" t="str">
        <f>VLOOKUP(ORDERS[[#This Row],[ProductID]],Products[],3,FALSE)</f>
        <v>Male</v>
      </c>
      <c r="L1182" s="2">
        <f>DAY(ORDERS[[#This Row],[OrderDate]])</f>
        <v>20</v>
      </c>
      <c r="M1182" s="2">
        <f>YEAR(ORDERS[[#This Row],[OrderDate]])</f>
        <v>2014</v>
      </c>
    </row>
    <row r="1183" spans="1:13" x14ac:dyDescent="0.3">
      <c r="A1183">
        <v>1182</v>
      </c>
      <c r="B1183">
        <v>1</v>
      </c>
      <c r="C1183">
        <v>4</v>
      </c>
      <c r="D1183" s="1">
        <v>41841</v>
      </c>
      <c r="E1183">
        <v>37</v>
      </c>
      <c r="F1183">
        <f>VLOOKUP(ORDERS[[#This Row],[ProductID]],Products[],4,FALSE)</f>
        <v>30</v>
      </c>
      <c r="G1183">
        <v>0.10000000100000001</v>
      </c>
      <c r="H1183">
        <f>(ORDERS[[#This Row],[UnitsOrdered]]*ORDERS[[#This Row],[unit price]])-(ORDERS[[#This Row],[UnitsOrdered]]*ORDERS[[#This Row],[unit price]]*ORDERS[[#This Row],[Discount]])</f>
        <v>998.99999889000003</v>
      </c>
      <c r="I1183" t="str">
        <f>VLOOKUP(ORDERS[[#This Row],[CustomerID]],customers[],2,FALSE)</f>
        <v>Threads</v>
      </c>
      <c r="J1183" s="2" t="str">
        <f>VLOOKUP(ORDERS[[#This Row],[CustomerID]],customers[],4,FALSE)</f>
        <v>Seattle</v>
      </c>
      <c r="K1183" s="2" t="str">
        <f>VLOOKUP(ORDERS[[#This Row],[ProductID]],Products[],3,FALSE)</f>
        <v>Both</v>
      </c>
      <c r="L1183" s="2">
        <f>DAY(ORDERS[[#This Row],[OrderDate]])</f>
        <v>21</v>
      </c>
      <c r="M1183" s="2">
        <f>YEAR(ORDERS[[#This Row],[OrderDate]])</f>
        <v>2014</v>
      </c>
    </row>
    <row r="1184" spans="1:13" x14ac:dyDescent="0.3">
      <c r="A1184">
        <v>1183</v>
      </c>
      <c r="B1184">
        <v>6</v>
      </c>
      <c r="C1184">
        <v>9</v>
      </c>
      <c r="D1184" s="1">
        <v>41841</v>
      </c>
      <c r="E1184">
        <v>28</v>
      </c>
      <c r="F1184">
        <f>VLOOKUP(ORDERS[[#This Row],[ProductID]],Products[],4,FALSE)</f>
        <v>25</v>
      </c>
      <c r="G1184">
        <v>0</v>
      </c>
      <c r="H1184">
        <f>(ORDERS[[#This Row],[UnitsOrdered]]*ORDERS[[#This Row],[unit price]])-(ORDERS[[#This Row],[UnitsOrdered]]*ORDERS[[#This Row],[unit price]]*ORDERS[[#This Row],[Discount]])</f>
        <v>700</v>
      </c>
      <c r="I1184" t="str">
        <f>VLOOKUP(ORDERS[[#This Row],[CustomerID]],customers[],2,FALSE)</f>
        <v>Abracadaba Ink</v>
      </c>
      <c r="J1184" s="2" t="str">
        <f>VLOOKUP(ORDERS[[#This Row],[CustomerID]],customers[],4,FALSE)</f>
        <v>Salt Lake City</v>
      </c>
      <c r="K1184" s="2" t="str">
        <f>VLOOKUP(ORDERS[[#This Row],[ProductID]],Products[],3,FALSE)</f>
        <v>Male</v>
      </c>
      <c r="L1184" s="2">
        <f>DAY(ORDERS[[#This Row],[OrderDate]])</f>
        <v>21</v>
      </c>
      <c r="M1184" s="2">
        <f>YEAR(ORDERS[[#This Row],[OrderDate]])</f>
        <v>2014</v>
      </c>
    </row>
    <row r="1185" spans="1:13" x14ac:dyDescent="0.3">
      <c r="A1185">
        <v>1184</v>
      </c>
      <c r="B1185">
        <v>7</v>
      </c>
      <c r="C1185">
        <v>7</v>
      </c>
      <c r="D1185" s="1">
        <v>41841</v>
      </c>
      <c r="E1185">
        <v>45</v>
      </c>
      <c r="F1185">
        <f>VLOOKUP(ORDERS[[#This Row],[ProductID]],Products[],4,FALSE)</f>
        <v>38</v>
      </c>
      <c r="G1185">
        <v>0</v>
      </c>
      <c r="H1185">
        <f>(ORDERS[[#This Row],[UnitsOrdered]]*ORDERS[[#This Row],[unit price]])-(ORDERS[[#This Row],[UnitsOrdered]]*ORDERS[[#This Row],[unit price]]*ORDERS[[#This Row],[Discount]])</f>
        <v>1710</v>
      </c>
      <c r="I1185" t="str">
        <f>VLOOKUP(ORDERS[[#This Row],[CustomerID]],customers[],2,FALSE)</f>
        <v>The Shirt on Your Back</v>
      </c>
      <c r="J1185" s="2" t="str">
        <f>VLOOKUP(ORDERS[[#This Row],[CustomerID]],customers[],4,FALSE)</f>
        <v>Bonners Ferry</v>
      </c>
      <c r="K1185" s="2" t="str">
        <f>VLOOKUP(ORDERS[[#This Row],[ProductID]],Products[],3,FALSE)</f>
        <v>Female</v>
      </c>
      <c r="L1185" s="2">
        <f>DAY(ORDERS[[#This Row],[OrderDate]])</f>
        <v>21</v>
      </c>
      <c r="M1185" s="2">
        <f>YEAR(ORDERS[[#This Row],[OrderDate]])</f>
        <v>2014</v>
      </c>
    </row>
    <row r="1186" spans="1:13" x14ac:dyDescent="0.3">
      <c r="A1186">
        <v>1185</v>
      </c>
      <c r="B1186">
        <v>6</v>
      </c>
      <c r="C1186">
        <v>7</v>
      </c>
      <c r="D1186" s="1">
        <v>41842</v>
      </c>
      <c r="E1186">
        <v>46</v>
      </c>
      <c r="F1186">
        <f>VLOOKUP(ORDERS[[#This Row],[ProductID]],Products[],4,FALSE)</f>
        <v>38</v>
      </c>
      <c r="G1186">
        <v>0</v>
      </c>
      <c r="H1186">
        <f>(ORDERS[[#This Row],[UnitsOrdered]]*ORDERS[[#This Row],[unit price]])-(ORDERS[[#This Row],[UnitsOrdered]]*ORDERS[[#This Row],[unit price]]*ORDERS[[#This Row],[Discount]])</f>
        <v>1748</v>
      </c>
      <c r="I1186" t="str">
        <f>VLOOKUP(ORDERS[[#This Row],[CustomerID]],customers[],2,FALSE)</f>
        <v>Abracadaba Ink</v>
      </c>
      <c r="J1186" s="2" t="str">
        <f>VLOOKUP(ORDERS[[#This Row],[CustomerID]],customers[],4,FALSE)</f>
        <v>Salt Lake City</v>
      </c>
      <c r="K1186" s="2" t="str">
        <f>VLOOKUP(ORDERS[[#This Row],[ProductID]],Products[],3,FALSE)</f>
        <v>Female</v>
      </c>
      <c r="L1186" s="2">
        <f>DAY(ORDERS[[#This Row],[OrderDate]])</f>
        <v>22</v>
      </c>
      <c r="M1186" s="2">
        <f>YEAR(ORDERS[[#This Row],[OrderDate]])</f>
        <v>2014</v>
      </c>
    </row>
    <row r="1187" spans="1:13" x14ac:dyDescent="0.3">
      <c r="A1187">
        <v>1186</v>
      </c>
      <c r="B1187">
        <v>3</v>
      </c>
      <c r="C1187">
        <v>3</v>
      </c>
      <c r="D1187" s="1">
        <v>41843</v>
      </c>
      <c r="E1187">
        <v>147</v>
      </c>
      <c r="F1187">
        <f>VLOOKUP(ORDERS[[#This Row],[ProductID]],Products[],4,FALSE)</f>
        <v>22</v>
      </c>
      <c r="G1187">
        <v>5.0000001000000002E-2</v>
      </c>
      <c r="H1187">
        <f>(ORDERS[[#This Row],[UnitsOrdered]]*ORDERS[[#This Row],[unit price]])-(ORDERS[[#This Row],[UnitsOrdered]]*ORDERS[[#This Row],[unit price]]*ORDERS[[#This Row],[Discount]])</f>
        <v>3072.2999967659998</v>
      </c>
      <c r="I1187" t="str">
        <f>VLOOKUP(ORDERS[[#This Row],[CustomerID]],customers[],2,FALSE)</f>
        <v>Shirts R Us</v>
      </c>
      <c r="J1187" s="2" t="str">
        <f>VLOOKUP(ORDERS[[#This Row],[CustomerID]],customers[],4,FALSE)</f>
        <v>Los Angeles</v>
      </c>
      <c r="K1187" s="2" t="str">
        <f>VLOOKUP(ORDERS[[#This Row],[ProductID]],Products[],3,FALSE)</f>
        <v>Both</v>
      </c>
      <c r="L1187" s="2">
        <f>DAY(ORDERS[[#This Row],[OrderDate]])</f>
        <v>23</v>
      </c>
      <c r="M1187" s="2">
        <f>YEAR(ORDERS[[#This Row],[OrderDate]])</f>
        <v>2014</v>
      </c>
    </row>
    <row r="1188" spans="1:13" x14ac:dyDescent="0.3">
      <c r="A1188">
        <v>1187</v>
      </c>
      <c r="B1188">
        <v>7</v>
      </c>
      <c r="C1188">
        <v>3</v>
      </c>
      <c r="D1188" s="1">
        <v>41844</v>
      </c>
      <c r="E1188">
        <v>104</v>
      </c>
      <c r="F1188">
        <f>VLOOKUP(ORDERS[[#This Row],[ProductID]],Products[],4,FALSE)</f>
        <v>22</v>
      </c>
      <c r="G1188">
        <v>0</v>
      </c>
      <c r="H1188">
        <f>(ORDERS[[#This Row],[UnitsOrdered]]*ORDERS[[#This Row],[unit price]])-(ORDERS[[#This Row],[UnitsOrdered]]*ORDERS[[#This Row],[unit price]]*ORDERS[[#This Row],[Discount]])</f>
        <v>2288</v>
      </c>
      <c r="I1188" t="str">
        <f>VLOOKUP(ORDERS[[#This Row],[CustomerID]],customers[],2,FALSE)</f>
        <v>The Shirt on Your Back</v>
      </c>
      <c r="J1188" s="2" t="str">
        <f>VLOOKUP(ORDERS[[#This Row],[CustomerID]],customers[],4,FALSE)</f>
        <v>Bonners Ferry</v>
      </c>
      <c r="K1188" s="2" t="str">
        <f>VLOOKUP(ORDERS[[#This Row],[ProductID]],Products[],3,FALSE)</f>
        <v>Both</v>
      </c>
      <c r="L1188" s="2">
        <f>DAY(ORDERS[[#This Row],[OrderDate]])</f>
        <v>24</v>
      </c>
      <c r="M1188" s="2">
        <f>YEAR(ORDERS[[#This Row],[OrderDate]])</f>
        <v>2014</v>
      </c>
    </row>
    <row r="1189" spans="1:13" x14ac:dyDescent="0.3">
      <c r="A1189">
        <v>1188</v>
      </c>
      <c r="B1189">
        <v>4</v>
      </c>
      <c r="C1189">
        <v>7</v>
      </c>
      <c r="D1189" s="1">
        <v>41845</v>
      </c>
      <c r="E1189">
        <v>61</v>
      </c>
      <c r="F1189">
        <f>VLOOKUP(ORDERS[[#This Row],[ProductID]],Products[],4,FALSE)</f>
        <v>38</v>
      </c>
      <c r="G1189">
        <v>0</v>
      </c>
      <c r="H1189">
        <f>(ORDERS[[#This Row],[UnitsOrdered]]*ORDERS[[#This Row],[unit price]])-(ORDERS[[#This Row],[UnitsOrdered]]*ORDERS[[#This Row],[unit price]]*ORDERS[[#This Row],[Discount]])</f>
        <v>2318</v>
      </c>
      <c r="I1189" t="str">
        <f>VLOOKUP(ORDERS[[#This Row],[CustomerID]],customers[],2,FALSE)</f>
        <v>Tshirt Unlimited</v>
      </c>
      <c r="J1189" s="2" t="str">
        <f>VLOOKUP(ORDERS[[#This Row],[CustomerID]],customers[],4,FALSE)</f>
        <v>Phoenix</v>
      </c>
      <c r="K1189" s="2" t="str">
        <f>VLOOKUP(ORDERS[[#This Row],[ProductID]],Products[],3,FALSE)</f>
        <v>Female</v>
      </c>
      <c r="L1189" s="2">
        <f>DAY(ORDERS[[#This Row],[OrderDate]])</f>
        <v>25</v>
      </c>
      <c r="M1189" s="2">
        <f>YEAR(ORDERS[[#This Row],[OrderDate]])</f>
        <v>2014</v>
      </c>
    </row>
    <row r="1190" spans="1:13" x14ac:dyDescent="0.3">
      <c r="A1190">
        <v>1189</v>
      </c>
      <c r="B1190">
        <v>4</v>
      </c>
      <c r="C1190">
        <v>9</v>
      </c>
      <c r="D1190" s="1">
        <v>41845</v>
      </c>
      <c r="E1190">
        <v>68</v>
      </c>
      <c r="F1190">
        <f>VLOOKUP(ORDERS[[#This Row],[ProductID]],Products[],4,FALSE)</f>
        <v>25</v>
      </c>
      <c r="G1190">
        <v>0.10000000100000001</v>
      </c>
      <c r="H1190">
        <f>(ORDERS[[#This Row],[UnitsOrdered]]*ORDERS[[#This Row],[unit price]])-(ORDERS[[#This Row],[UnitsOrdered]]*ORDERS[[#This Row],[unit price]]*ORDERS[[#This Row],[Discount]])</f>
        <v>1529.9999983</v>
      </c>
      <c r="I1190" t="str">
        <f>VLOOKUP(ORDERS[[#This Row],[CustomerID]],customers[],2,FALSE)</f>
        <v>Tshirt Unlimited</v>
      </c>
      <c r="J1190" s="2" t="str">
        <f>VLOOKUP(ORDERS[[#This Row],[CustomerID]],customers[],4,FALSE)</f>
        <v>Phoenix</v>
      </c>
      <c r="K1190" s="2" t="str">
        <f>VLOOKUP(ORDERS[[#This Row],[ProductID]],Products[],3,FALSE)</f>
        <v>Male</v>
      </c>
      <c r="L1190" s="2">
        <f>DAY(ORDERS[[#This Row],[OrderDate]])</f>
        <v>25</v>
      </c>
      <c r="M1190" s="2">
        <f>YEAR(ORDERS[[#This Row],[OrderDate]])</f>
        <v>2014</v>
      </c>
    </row>
    <row r="1191" spans="1:13" x14ac:dyDescent="0.3">
      <c r="A1191">
        <v>1190</v>
      </c>
      <c r="B1191">
        <v>1</v>
      </c>
      <c r="C1191">
        <v>3</v>
      </c>
      <c r="D1191" s="1">
        <v>41847</v>
      </c>
      <c r="E1191">
        <v>49</v>
      </c>
      <c r="F1191">
        <f>VLOOKUP(ORDERS[[#This Row],[ProductID]],Products[],4,FALSE)</f>
        <v>22</v>
      </c>
      <c r="G1191">
        <v>5.0000001000000002E-2</v>
      </c>
      <c r="H1191">
        <f>(ORDERS[[#This Row],[UnitsOrdered]]*ORDERS[[#This Row],[unit price]])-(ORDERS[[#This Row],[UnitsOrdered]]*ORDERS[[#This Row],[unit price]]*ORDERS[[#This Row],[Discount]])</f>
        <v>1024.0999989219999</v>
      </c>
      <c r="I1191" t="str">
        <f>VLOOKUP(ORDERS[[#This Row],[CustomerID]],customers[],2,FALSE)</f>
        <v>Threads</v>
      </c>
      <c r="J1191" s="2" t="str">
        <f>VLOOKUP(ORDERS[[#This Row],[CustomerID]],customers[],4,FALSE)</f>
        <v>Seattle</v>
      </c>
      <c r="K1191" s="2" t="str">
        <f>VLOOKUP(ORDERS[[#This Row],[ProductID]],Products[],3,FALSE)</f>
        <v>Both</v>
      </c>
      <c r="L1191" s="2">
        <f>DAY(ORDERS[[#This Row],[OrderDate]])</f>
        <v>27</v>
      </c>
      <c r="M1191" s="2">
        <f>YEAR(ORDERS[[#This Row],[OrderDate]])</f>
        <v>2014</v>
      </c>
    </row>
    <row r="1192" spans="1:13" x14ac:dyDescent="0.3">
      <c r="A1192">
        <v>1191</v>
      </c>
      <c r="B1192">
        <v>2</v>
      </c>
      <c r="C1192">
        <v>8</v>
      </c>
      <c r="D1192" s="1">
        <v>41847</v>
      </c>
      <c r="E1192">
        <v>108</v>
      </c>
      <c r="F1192">
        <f>VLOOKUP(ORDERS[[#This Row],[ProductID]],Products[],4,FALSE)</f>
        <v>27</v>
      </c>
      <c r="G1192">
        <v>5.0000001000000002E-2</v>
      </c>
      <c r="H1192">
        <f>(ORDERS[[#This Row],[UnitsOrdered]]*ORDERS[[#This Row],[unit price]])-(ORDERS[[#This Row],[UnitsOrdered]]*ORDERS[[#This Row],[unit price]]*ORDERS[[#This Row],[Discount]])</f>
        <v>2770.1999970840002</v>
      </c>
      <c r="I1192" t="str">
        <f>VLOOKUP(ORDERS[[#This Row],[CustomerID]],customers[],2,FALSE)</f>
        <v>A Shirts Life</v>
      </c>
      <c r="J1192" s="2" t="str">
        <f>VLOOKUP(ORDERS[[#This Row],[CustomerID]],customers[],4,FALSE)</f>
        <v>Portland</v>
      </c>
      <c r="K1192" s="2" t="str">
        <f>VLOOKUP(ORDERS[[#This Row],[ProductID]],Products[],3,FALSE)</f>
        <v>Female</v>
      </c>
      <c r="L1192" s="2">
        <f>DAY(ORDERS[[#This Row],[OrderDate]])</f>
        <v>27</v>
      </c>
      <c r="M1192" s="2">
        <f>YEAR(ORDERS[[#This Row],[OrderDate]])</f>
        <v>2014</v>
      </c>
    </row>
    <row r="1193" spans="1:13" x14ac:dyDescent="0.3">
      <c r="A1193">
        <v>1192</v>
      </c>
      <c r="B1193">
        <v>3</v>
      </c>
      <c r="C1193">
        <v>5</v>
      </c>
      <c r="D1193" s="1">
        <v>41847</v>
      </c>
      <c r="E1193">
        <v>134</v>
      </c>
      <c r="F1193">
        <f>VLOOKUP(ORDERS[[#This Row],[ProductID]],Products[],4,FALSE)</f>
        <v>16</v>
      </c>
      <c r="G1193">
        <v>0</v>
      </c>
      <c r="H1193">
        <f>(ORDERS[[#This Row],[UnitsOrdered]]*ORDERS[[#This Row],[unit price]])-(ORDERS[[#This Row],[UnitsOrdered]]*ORDERS[[#This Row],[unit price]]*ORDERS[[#This Row],[Discount]])</f>
        <v>2144</v>
      </c>
      <c r="I1193" t="str">
        <f>VLOOKUP(ORDERS[[#This Row],[CustomerID]],customers[],2,FALSE)</f>
        <v>Shirts R Us</v>
      </c>
      <c r="J1193" s="2" t="str">
        <f>VLOOKUP(ORDERS[[#This Row],[CustomerID]],customers[],4,FALSE)</f>
        <v>Los Angeles</v>
      </c>
      <c r="K1193" s="2" t="str">
        <f>VLOOKUP(ORDERS[[#This Row],[ProductID]],Products[],3,FALSE)</f>
        <v>Female</v>
      </c>
      <c r="L1193" s="2">
        <f>DAY(ORDERS[[#This Row],[OrderDate]])</f>
        <v>27</v>
      </c>
      <c r="M1193" s="2">
        <f>YEAR(ORDERS[[#This Row],[OrderDate]])</f>
        <v>2014</v>
      </c>
    </row>
    <row r="1194" spans="1:13" x14ac:dyDescent="0.3">
      <c r="A1194">
        <v>1193</v>
      </c>
      <c r="B1194">
        <v>3</v>
      </c>
      <c r="C1194">
        <v>7</v>
      </c>
      <c r="D1194" s="1">
        <v>41847</v>
      </c>
      <c r="E1194">
        <v>83</v>
      </c>
      <c r="F1194">
        <f>VLOOKUP(ORDERS[[#This Row],[ProductID]],Products[],4,FALSE)</f>
        <v>38</v>
      </c>
      <c r="G1194">
        <v>0</v>
      </c>
      <c r="H1194">
        <f>(ORDERS[[#This Row],[UnitsOrdered]]*ORDERS[[#This Row],[unit price]])-(ORDERS[[#This Row],[UnitsOrdered]]*ORDERS[[#This Row],[unit price]]*ORDERS[[#This Row],[Discount]])</f>
        <v>3154</v>
      </c>
      <c r="I1194" t="str">
        <f>VLOOKUP(ORDERS[[#This Row],[CustomerID]],customers[],2,FALSE)</f>
        <v>Shirts R Us</v>
      </c>
      <c r="J1194" s="2" t="str">
        <f>VLOOKUP(ORDERS[[#This Row],[CustomerID]],customers[],4,FALSE)</f>
        <v>Los Angeles</v>
      </c>
      <c r="K1194" s="2" t="str">
        <f>VLOOKUP(ORDERS[[#This Row],[ProductID]],Products[],3,FALSE)</f>
        <v>Female</v>
      </c>
      <c r="L1194" s="2">
        <f>DAY(ORDERS[[#This Row],[OrderDate]])</f>
        <v>27</v>
      </c>
      <c r="M1194" s="2">
        <f>YEAR(ORDERS[[#This Row],[OrderDate]])</f>
        <v>2014</v>
      </c>
    </row>
    <row r="1195" spans="1:13" x14ac:dyDescent="0.3">
      <c r="A1195">
        <v>1194</v>
      </c>
      <c r="B1195">
        <v>4</v>
      </c>
      <c r="C1195">
        <v>8</v>
      </c>
      <c r="D1195" s="1">
        <v>41847</v>
      </c>
      <c r="E1195">
        <v>53</v>
      </c>
      <c r="F1195">
        <f>VLOOKUP(ORDERS[[#This Row],[ProductID]],Products[],4,FALSE)</f>
        <v>27</v>
      </c>
      <c r="G1195">
        <v>0.10000000100000001</v>
      </c>
      <c r="H1195">
        <f>(ORDERS[[#This Row],[UnitsOrdered]]*ORDERS[[#This Row],[unit price]])-(ORDERS[[#This Row],[UnitsOrdered]]*ORDERS[[#This Row],[unit price]]*ORDERS[[#This Row],[Discount]])</f>
        <v>1287.899998569</v>
      </c>
      <c r="I1195" t="str">
        <f>VLOOKUP(ORDERS[[#This Row],[CustomerID]],customers[],2,FALSE)</f>
        <v>Tshirt Unlimited</v>
      </c>
      <c r="J1195" s="2" t="str">
        <f>VLOOKUP(ORDERS[[#This Row],[CustomerID]],customers[],4,FALSE)</f>
        <v>Phoenix</v>
      </c>
      <c r="K1195" s="2" t="str">
        <f>VLOOKUP(ORDERS[[#This Row],[ProductID]],Products[],3,FALSE)</f>
        <v>Female</v>
      </c>
      <c r="L1195" s="2">
        <f>DAY(ORDERS[[#This Row],[OrderDate]])</f>
        <v>27</v>
      </c>
      <c r="M1195" s="2">
        <f>YEAR(ORDERS[[#This Row],[OrderDate]])</f>
        <v>2014</v>
      </c>
    </row>
    <row r="1196" spans="1:13" x14ac:dyDescent="0.3">
      <c r="A1196">
        <v>1195</v>
      </c>
      <c r="B1196">
        <v>7</v>
      </c>
      <c r="C1196">
        <v>4</v>
      </c>
      <c r="D1196" s="1">
        <v>41847</v>
      </c>
      <c r="E1196">
        <v>123</v>
      </c>
      <c r="F1196">
        <f>VLOOKUP(ORDERS[[#This Row],[ProductID]],Products[],4,FALSE)</f>
        <v>30</v>
      </c>
      <c r="G1196">
        <v>0</v>
      </c>
      <c r="H1196">
        <f>(ORDERS[[#This Row],[UnitsOrdered]]*ORDERS[[#This Row],[unit price]])-(ORDERS[[#This Row],[UnitsOrdered]]*ORDERS[[#This Row],[unit price]]*ORDERS[[#This Row],[Discount]])</f>
        <v>3690</v>
      </c>
      <c r="I1196" t="str">
        <f>VLOOKUP(ORDERS[[#This Row],[CustomerID]],customers[],2,FALSE)</f>
        <v>The Shirt on Your Back</v>
      </c>
      <c r="J1196" s="2" t="str">
        <f>VLOOKUP(ORDERS[[#This Row],[CustomerID]],customers[],4,FALSE)</f>
        <v>Bonners Ferry</v>
      </c>
      <c r="K1196" s="2" t="str">
        <f>VLOOKUP(ORDERS[[#This Row],[ProductID]],Products[],3,FALSE)</f>
        <v>Both</v>
      </c>
      <c r="L1196" s="2">
        <f>DAY(ORDERS[[#This Row],[OrderDate]])</f>
        <v>27</v>
      </c>
      <c r="M1196" s="2">
        <f>YEAR(ORDERS[[#This Row],[OrderDate]])</f>
        <v>2014</v>
      </c>
    </row>
    <row r="1197" spans="1:13" x14ac:dyDescent="0.3">
      <c r="A1197">
        <v>1196</v>
      </c>
      <c r="B1197">
        <v>2</v>
      </c>
      <c r="C1197">
        <v>10</v>
      </c>
      <c r="D1197" s="1">
        <v>41848</v>
      </c>
      <c r="E1197">
        <v>99</v>
      </c>
      <c r="F1197">
        <f>VLOOKUP(ORDERS[[#This Row],[ProductID]],Products[],4,FALSE)</f>
        <v>35</v>
      </c>
      <c r="G1197">
        <v>0</v>
      </c>
      <c r="H1197">
        <f>(ORDERS[[#This Row],[UnitsOrdered]]*ORDERS[[#This Row],[unit price]])-(ORDERS[[#This Row],[UnitsOrdered]]*ORDERS[[#This Row],[unit price]]*ORDERS[[#This Row],[Discount]])</f>
        <v>3465</v>
      </c>
      <c r="I1197" t="str">
        <f>VLOOKUP(ORDERS[[#This Row],[CustomerID]],customers[],2,FALSE)</f>
        <v>A Shirts Life</v>
      </c>
      <c r="J1197" s="2" t="str">
        <f>VLOOKUP(ORDERS[[#This Row],[CustomerID]],customers[],4,FALSE)</f>
        <v>Portland</v>
      </c>
      <c r="K1197" s="2" t="str">
        <f>VLOOKUP(ORDERS[[#This Row],[ProductID]],Products[],3,FALSE)</f>
        <v>Male</v>
      </c>
      <c r="L1197" s="2">
        <f>DAY(ORDERS[[#This Row],[OrderDate]])</f>
        <v>28</v>
      </c>
      <c r="M1197" s="2">
        <f>YEAR(ORDERS[[#This Row],[OrderDate]])</f>
        <v>2014</v>
      </c>
    </row>
    <row r="1198" spans="1:13" x14ac:dyDescent="0.3">
      <c r="A1198">
        <v>1197</v>
      </c>
      <c r="B1198">
        <v>7</v>
      </c>
      <c r="C1198">
        <v>2</v>
      </c>
      <c r="D1198" s="1">
        <v>41848</v>
      </c>
      <c r="E1198">
        <v>101</v>
      </c>
      <c r="F1198">
        <f>VLOOKUP(ORDERS[[#This Row],[ProductID]],Products[],4,FALSE)</f>
        <v>30</v>
      </c>
      <c r="G1198">
        <v>0</v>
      </c>
      <c r="H1198">
        <f>(ORDERS[[#This Row],[UnitsOrdered]]*ORDERS[[#This Row],[unit price]])-(ORDERS[[#This Row],[UnitsOrdered]]*ORDERS[[#This Row],[unit price]]*ORDERS[[#This Row],[Discount]])</f>
        <v>3030</v>
      </c>
      <c r="I1198" t="str">
        <f>VLOOKUP(ORDERS[[#This Row],[CustomerID]],customers[],2,FALSE)</f>
        <v>The Shirt on Your Back</v>
      </c>
      <c r="J1198" s="2" t="str">
        <f>VLOOKUP(ORDERS[[#This Row],[CustomerID]],customers[],4,FALSE)</f>
        <v>Bonners Ferry</v>
      </c>
      <c r="K1198" s="2" t="str">
        <f>VLOOKUP(ORDERS[[#This Row],[ProductID]],Products[],3,FALSE)</f>
        <v>Both</v>
      </c>
      <c r="L1198" s="2">
        <f>DAY(ORDERS[[#This Row],[OrderDate]])</f>
        <v>28</v>
      </c>
      <c r="M1198" s="2">
        <f>YEAR(ORDERS[[#This Row],[OrderDate]])</f>
        <v>2014</v>
      </c>
    </row>
    <row r="1199" spans="1:13" x14ac:dyDescent="0.3">
      <c r="A1199">
        <v>1198</v>
      </c>
      <c r="B1199">
        <v>2</v>
      </c>
      <c r="C1199">
        <v>2</v>
      </c>
      <c r="D1199" s="1">
        <v>41849</v>
      </c>
      <c r="E1199">
        <v>39</v>
      </c>
      <c r="F1199">
        <f>VLOOKUP(ORDERS[[#This Row],[ProductID]],Products[],4,FALSE)</f>
        <v>30</v>
      </c>
      <c r="G1199">
        <v>0</v>
      </c>
      <c r="H1199">
        <f>(ORDERS[[#This Row],[UnitsOrdered]]*ORDERS[[#This Row],[unit price]])-(ORDERS[[#This Row],[UnitsOrdered]]*ORDERS[[#This Row],[unit price]]*ORDERS[[#This Row],[Discount]])</f>
        <v>1170</v>
      </c>
      <c r="I1199" t="str">
        <f>VLOOKUP(ORDERS[[#This Row],[CustomerID]],customers[],2,FALSE)</f>
        <v>A Shirts Life</v>
      </c>
      <c r="J1199" s="2" t="str">
        <f>VLOOKUP(ORDERS[[#This Row],[CustomerID]],customers[],4,FALSE)</f>
        <v>Portland</v>
      </c>
      <c r="K1199" s="2" t="str">
        <f>VLOOKUP(ORDERS[[#This Row],[ProductID]],Products[],3,FALSE)</f>
        <v>Both</v>
      </c>
      <c r="L1199" s="2">
        <f>DAY(ORDERS[[#This Row],[OrderDate]])</f>
        <v>29</v>
      </c>
      <c r="M1199" s="2">
        <f>YEAR(ORDERS[[#This Row],[OrderDate]])</f>
        <v>2014</v>
      </c>
    </row>
    <row r="1200" spans="1:13" x14ac:dyDescent="0.3">
      <c r="A1200">
        <v>1199</v>
      </c>
      <c r="B1200">
        <v>1</v>
      </c>
      <c r="C1200">
        <v>4</v>
      </c>
      <c r="D1200" s="1">
        <v>41850</v>
      </c>
      <c r="E1200">
        <v>64</v>
      </c>
      <c r="F1200">
        <f>VLOOKUP(ORDERS[[#This Row],[ProductID]],Products[],4,FALSE)</f>
        <v>30</v>
      </c>
      <c r="G1200">
        <v>0</v>
      </c>
      <c r="H1200">
        <f>(ORDERS[[#This Row],[UnitsOrdered]]*ORDERS[[#This Row],[unit price]])-(ORDERS[[#This Row],[UnitsOrdered]]*ORDERS[[#This Row],[unit price]]*ORDERS[[#This Row],[Discount]])</f>
        <v>1920</v>
      </c>
      <c r="I1200" t="str">
        <f>VLOOKUP(ORDERS[[#This Row],[CustomerID]],customers[],2,FALSE)</f>
        <v>Threads</v>
      </c>
      <c r="J1200" s="2" t="str">
        <f>VLOOKUP(ORDERS[[#This Row],[CustomerID]],customers[],4,FALSE)</f>
        <v>Seattle</v>
      </c>
      <c r="K1200" s="2" t="str">
        <f>VLOOKUP(ORDERS[[#This Row],[ProductID]],Products[],3,FALSE)</f>
        <v>Both</v>
      </c>
      <c r="L1200" s="2">
        <f>DAY(ORDERS[[#This Row],[OrderDate]])</f>
        <v>30</v>
      </c>
      <c r="M1200" s="2">
        <f>YEAR(ORDERS[[#This Row],[OrderDate]])</f>
        <v>2014</v>
      </c>
    </row>
    <row r="1201" spans="1:13" x14ac:dyDescent="0.3">
      <c r="A1201">
        <v>1200</v>
      </c>
      <c r="B1201">
        <v>3</v>
      </c>
      <c r="C1201">
        <v>9</v>
      </c>
      <c r="D1201" s="1">
        <v>41851</v>
      </c>
      <c r="E1201">
        <v>137</v>
      </c>
      <c r="F1201">
        <f>VLOOKUP(ORDERS[[#This Row],[ProductID]],Products[],4,FALSE)</f>
        <v>25</v>
      </c>
      <c r="G1201">
        <v>0</v>
      </c>
      <c r="H1201">
        <f>(ORDERS[[#This Row],[UnitsOrdered]]*ORDERS[[#This Row],[unit price]])-(ORDERS[[#This Row],[UnitsOrdered]]*ORDERS[[#This Row],[unit price]]*ORDERS[[#This Row],[Discount]])</f>
        <v>3425</v>
      </c>
      <c r="I1201" t="str">
        <f>VLOOKUP(ORDERS[[#This Row],[CustomerID]],customers[],2,FALSE)</f>
        <v>Shirts R Us</v>
      </c>
      <c r="J1201" s="2" t="str">
        <f>VLOOKUP(ORDERS[[#This Row],[CustomerID]],customers[],4,FALSE)</f>
        <v>Los Angeles</v>
      </c>
      <c r="K1201" s="2" t="str">
        <f>VLOOKUP(ORDERS[[#This Row],[ProductID]],Products[],3,FALSE)</f>
        <v>Male</v>
      </c>
      <c r="L1201" s="2">
        <f>DAY(ORDERS[[#This Row],[OrderDate]])</f>
        <v>31</v>
      </c>
      <c r="M1201" s="2">
        <f>YEAR(ORDERS[[#This Row],[OrderDate]])</f>
        <v>2014</v>
      </c>
    </row>
    <row r="1202" spans="1:13" x14ac:dyDescent="0.3">
      <c r="A1202">
        <v>1201</v>
      </c>
      <c r="B1202">
        <v>6</v>
      </c>
      <c r="C1202">
        <v>2</v>
      </c>
      <c r="D1202" s="1">
        <v>41851</v>
      </c>
      <c r="E1202">
        <v>53</v>
      </c>
      <c r="F1202">
        <f>VLOOKUP(ORDERS[[#This Row],[ProductID]],Products[],4,FALSE)</f>
        <v>30</v>
      </c>
      <c r="G1202">
        <v>0</v>
      </c>
      <c r="H1202">
        <f>(ORDERS[[#This Row],[UnitsOrdered]]*ORDERS[[#This Row],[unit price]])-(ORDERS[[#This Row],[UnitsOrdered]]*ORDERS[[#This Row],[unit price]]*ORDERS[[#This Row],[Discount]])</f>
        <v>1590</v>
      </c>
      <c r="I1202" t="str">
        <f>VLOOKUP(ORDERS[[#This Row],[CustomerID]],customers[],2,FALSE)</f>
        <v>Abracadaba Ink</v>
      </c>
      <c r="J1202" s="2" t="str">
        <f>VLOOKUP(ORDERS[[#This Row],[CustomerID]],customers[],4,FALSE)</f>
        <v>Salt Lake City</v>
      </c>
      <c r="K1202" s="2" t="str">
        <f>VLOOKUP(ORDERS[[#This Row],[ProductID]],Products[],3,FALSE)</f>
        <v>Both</v>
      </c>
      <c r="L1202" s="2">
        <f>DAY(ORDERS[[#This Row],[OrderDate]])</f>
        <v>31</v>
      </c>
      <c r="M1202" s="2">
        <f>YEAR(ORDERS[[#This Row],[OrderDate]])</f>
        <v>2014</v>
      </c>
    </row>
    <row r="1203" spans="1:13" x14ac:dyDescent="0.3">
      <c r="A1203">
        <v>1202</v>
      </c>
      <c r="B1203">
        <v>6</v>
      </c>
      <c r="C1203">
        <v>4</v>
      </c>
      <c r="D1203" s="1">
        <v>41852</v>
      </c>
      <c r="E1203">
        <v>106</v>
      </c>
      <c r="F1203">
        <f>VLOOKUP(ORDERS[[#This Row],[ProductID]],Products[],4,FALSE)</f>
        <v>30</v>
      </c>
      <c r="G1203">
        <v>0</v>
      </c>
      <c r="H1203">
        <f>(ORDERS[[#This Row],[UnitsOrdered]]*ORDERS[[#This Row],[unit price]])-(ORDERS[[#This Row],[UnitsOrdered]]*ORDERS[[#This Row],[unit price]]*ORDERS[[#This Row],[Discount]])</f>
        <v>3180</v>
      </c>
      <c r="I1203" t="str">
        <f>VLOOKUP(ORDERS[[#This Row],[CustomerID]],customers[],2,FALSE)</f>
        <v>Abracadaba Ink</v>
      </c>
      <c r="J1203" s="2" t="str">
        <f>VLOOKUP(ORDERS[[#This Row],[CustomerID]],customers[],4,FALSE)</f>
        <v>Salt Lake City</v>
      </c>
      <c r="K1203" s="2" t="str">
        <f>VLOOKUP(ORDERS[[#This Row],[ProductID]],Products[],3,FALSE)</f>
        <v>Both</v>
      </c>
      <c r="L1203" s="2">
        <f>DAY(ORDERS[[#This Row],[OrderDate]])</f>
        <v>1</v>
      </c>
      <c r="M1203" s="2">
        <f>YEAR(ORDERS[[#This Row],[OrderDate]])</f>
        <v>2014</v>
      </c>
    </row>
    <row r="1204" spans="1:13" x14ac:dyDescent="0.3">
      <c r="A1204">
        <v>1203</v>
      </c>
      <c r="B1204">
        <v>1</v>
      </c>
      <c r="C1204">
        <v>8</v>
      </c>
      <c r="D1204" s="1">
        <v>41853</v>
      </c>
      <c r="E1204">
        <v>135</v>
      </c>
      <c r="F1204">
        <f>VLOOKUP(ORDERS[[#This Row],[ProductID]],Products[],4,FALSE)</f>
        <v>27</v>
      </c>
      <c r="G1204">
        <v>0</v>
      </c>
      <c r="H1204">
        <f>(ORDERS[[#This Row],[UnitsOrdered]]*ORDERS[[#This Row],[unit price]])-(ORDERS[[#This Row],[UnitsOrdered]]*ORDERS[[#This Row],[unit price]]*ORDERS[[#This Row],[Discount]])</f>
        <v>3645</v>
      </c>
      <c r="I1204" t="str">
        <f>VLOOKUP(ORDERS[[#This Row],[CustomerID]],customers[],2,FALSE)</f>
        <v>Threads</v>
      </c>
      <c r="J1204" s="2" t="str">
        <f>VLOOKUP(ORDERS[[#This Row],[CustomerID]],customers[],4,FALSE)</f>
        <v>Seattle</v>
      </c>
      <c r="K1204" s="2" t="str">
        <f>VLOOKUP(ORDERS[[#This Row],[ProductID]],Products[],3,FALSE)</f>
        <v>Female</v>
      </c>
      <c r="L1204" s="2">
        <f>DAY(ORDERS[[#This Row],[OrderDate]])</f>
        <v>2</v>
      </c>
      <c r="M1204" s="2">
        <f>YEAR(ORDERS[[#This Row],[OrderDate]])</f>
        <v>2014</v>
      </c>
    </row>
    <row r="1205" spans="1:13" x14ac:dyDescent="0.3">
      <c r="A1205">
        <v>1204</v>
      </c>
      <c r="B1205">
        <v>3</v>
      </c>
      <c r="C1205">
        <v>4</v>
      </c>
      <c r="D1205" s="1">
        <v>41853</v>
      </c>
      <c r="E1205">
        <v>148</v>
      </c>
      <c r="F1205">
        <f>VLOOKUP(ORDERS[[#This Row],[ProductID]],Products[],4,FALSE)</f>
        <v>30</v>
      </c>
      <c r="G1205">
        <v>0</v>
      </c>
      <c r="H1205">
        <f>(ORDERS[[#This Row],[UnitsOrdered]]*ORDERS[[#This Row],[unit price]])-(ORDERS[[#This Row],[UnitsOrdered]]*ORDERS[[#This Row],[unit price]]*ORDERS[[#This Row],[Discount]])</f>
        <v>4440</v>
      </c>
      <c r="I1205" t="str">
        <f>VLOOKUP(ORDERS[[#This Row],[CustomerID]],customers[],2,FALSE)</f>
        <v>Shirts R Us</v>
      </c>
      <c r="J1205" s="2" t="str">
        <f>VLOOKUP(ORDERS[[#This Row],[CustomerID]],customers[],4,FALSE)</f>
        <v>Los Angeles</v>
      </c>
      <c r="K1205" s="2" t="str">
        <f>VLOOKUP(ORDERS[[#This Row],[ProductID]],Products[],3,FALSE)</f>
        <v>Both</v>
      </c>
      <c r="L1205" s="2">
        <f>DAY(ORDERS[[#This Row],[OrderDate]])</f>
        <v>2</v>
      </c>
      <c r="M1205" s="2">
        <f>YEAR(ORDERS[[#This Row],[OrderDate]])</f>
        <v>2014</v>
      </c>
    </row>
    <row r="1206" spans="1:13" x14ac:dyDescent="0.3">
      <c r="A1206">
        <v>1205</v>
      </c>
      <c r="B1206">
        <v>2</v>
      </c>
      <c r="C1206">
        <v>10</v>
      </c>
      <c r="D1206" s="1">
        <v>41854</v>
      </c>
      <c r="E1206">
        <v>136</v>
      </c>
      <c r="F1206">
        <f>VLOOKUP(ORDERS[[#This Row],[ProductID]],Products[],4,FALSE)</f>
        <v>35</v>
      </c>
      <c r="G1206">
        <v>0</v>
      </c>
      <c r="H1206">
        <f>(ORDERS[[#This Row],[UnitsOrdered]]*ORDERS[[#This Row],[unit price]])-(ORDERS[[#This Row],[UnitsOrdered]]*ORDERS[[#This Row],[unit price]]*ORDERS[[#This Row],[Discount]])</f>
        <v>4760</v>
      </c>
      <c r="I1206" t="str">
        <f>VLOOKUP(ORDERS[[#This Row],[CustomerID]],customers[],2,FALSE)</f>
        <v>A Shirts Life</v>
      </c>
      <c r="J1206" s="2" t="str">
        <f>VLOOKUP(ORDERS[[#This Row],[CustomerID]],customers[],4,FALSE)</f>
        <v>Portland</v>
      </c>
      <c r="K1206" s="2" t="str">
        <f>VLOOKUP(ORDERS[[#This Row],[ProductID]],Products[],3,FALSE)</f>
        <v>Male</v>
      </c>
      <c r="L1206" s="2">
        <f>DAY(ORDERS[[#This Row],[OrderDate]])</f>
        <v>3</v>
      </c>
      <c r="M1206" s="2">
        <f>YEAR(ORDERS[[#This Row],[OrderDate]])</f>
        <v>2014</v>
      </c>
    </row>
    <row r="1207" spans="1:13" x14ac:dyDescent="0.3">
      <c r="A1207">
        <v>1206</v>
      </c>
      <c r="B1207">
        <v>3</v>
      </c>
      <c r="C1207">
        <v>9</v>
      </c>
      <c r="D1207" s="1">
        <v>41854</v>
      </c>
      <c r="E1207">
        <v>42</v>
      </c>
      <c r="F1207">
        <f>VLOOKUP(ORDERS[[#This Row],[ProductID]],Products[],4,FALSE)</f>
        <v>25</v>
      </c>
      <c r="G1207">
        <v>5.0000001000000002E-2</v>
      </c>
      <c r="H1207">
        <f>(ORDERS[[#This Row],[UnitsOrdered]]*ORDERS[[#This Row],[unit price]])-(ORDERS[[#This Row],[UnitsOrdered]]*ORDERS[[#This Row],[unit price]]*ORDERS[[#This Row],[Discount]])</f>
        <v>997.49999894999996</v>
      </c>
      <c r="I1207" t="str">
        <f>VLOOKUP(ORDERS[[#This Row],[CustomerID]],customers[],2,FALSE)</f>
        <v>Shirts R Us</v>
      </c>
      <c r="J1207" s="2" t="str">
        <f>VLOOKUP(ORDERS[[#This Row],[CustomerID]],customers[],4,FALSE)</f>
        <v>Los Angeles</v>
      </c>
      <c r="K1207" s="2" t="str">
        <f>VLOOKUP(ORDERS[[#This Row],[ProductID]],Products[],3,FALSE)</f>
        <v>Male</v>
      </c>
      <c r="L1207" s="2">
        <f>DAY(ORDERS[[#This Row],[OrderDate]])</f>
        <v>3</v>
      </c>
      <c r="M1207" s="2">
        <f>YEAR(ORDERS[[#This Row],[OrderDate]])</f>
        <v>2014</v>
      </c>
    </row>
    <row r="1208" spans="1:13" x14ac:dyDescent="0.3">
      <c r="A1208">
        <v>1207</v>
      </c>
      <c r="B1208">
        <v>4</v>
      </c>
      <c r="C1208">
        <v>5</v>
      </c>
      <c r="D1208" s="1">
        <v>41854</v>
      </c>
      <c r="E1208">
        <v>144</v>
      </c>
      <c r="F1208">
        <f>VLOOKUP(ORDERS[[#This Row],[ProductID]],Products[],4,FALSE)</f>
        <v>16</v>
      </c>
      <c r="G1208">
        <v>0</v>
      </c>
      <c r="H1208">
        <f>(ORDERS[[#This Row],[UnitsOrdered]]*ORDERS[[#This Row],[unit price]])-(ORDERS[[#This Row],[UnitsOrdered]]*ORDERS[[#This Row],[unit price]]*ORDERS[[#This Row],[Discount]])</f>
        <v>2304</v>
      </c>
      <c r="I1208" t="str">
        <f>VLOOKUP(ORDERS[[#This Row],[CustomerID]],customers[],2,FALSE)</f>
        <v>Tshirt Unlimited</v>
      </c>
      <c r="J1208" s="2" t="str">
        <f>VLOOKUP(ORDERS[[#This Row],[CustomerID]],customers[],4,FALSE)</f>
        <v>Phoenix</v>
      </c>
      <c r="K1208" s="2" t="str">
        <f>VLOOKUP(ORDERS[[#This Row],[ProductID]],Products[],3,FALSE)</f>
        <v>Female</v>
      </c>
      <c r="L1208" s="2">
        <f>DAY(ORDERS[[#This Row],[OrderDate]])</f>
        <v>3</v>
      </c>
      <c r="M1208" s="2">
        <f>YEAR(ORDERS[[#This Row],[OrderDate]])</f>
        <v>2014</v>
      </c>
    </row>
    <row r="1209" spans="1:13" x14ac:dyDescent="0.3">
      <c r="A1209">
        <v>1208</v>
      </c>
      <c r="B1209">
        <v>5</v>
      </c>
      <c r="C1209">
        <v>6</v>
      </c>
      <c r="D1209" s="1">
        <v>41854</v>
      </c>
      <c r="E1209">
        <v>146</v>
      </c>
      <c r="F1209">
        <f>VLOOKUP(ORDERS[[#This Row],[ProductID]],Products[],4,FALSE)</f>
        <v>28</v>
      </c>
      <c r="G1209">
        <v>5.0000001000000002E-2</v>
      </c>
      <c r="H1209">
        <f>(ORDERS[[#This Row],[UnitsOrdered]]*ORDERS[[#This Row],[unit price]])-(ORDERS[[#This Row],[UnitsOrdered]]*ORDERS[[#This Row],[unit price]]*ORDERS[[#This Row],[Discount]])</f>
        <v>3883.5999959119999</v>
      </c>
      <c r="I1209" t="str">
        <f>VLOOKUP(ORDERS[[#This Row],[CustomerID]],customers[],2,FALSE)</f>
        <v>Rags to Riches</v>
      </c>
      <c r="J1209" s="2" t="str">
        <f>VLOOKUP(ORDERS[[#This Row],[CustomerID]],customers[],4,FALSE)</f>
        <v>Las Vegas</v>
      </c>
      <c r="K1209" s="2" t="str">
        <f>VLOOKUP(ORDERS[[#This Row],[ProductID]],Products[],3,FALSE)</f>
        <v>Female</v>
      </c>
      <c r="L1209" s="2">
        <f>DAY(ORDERS[[#This Row],[OrderDate]])</f>
        <v>3</v>
      </c>
      <c r="M1209" s="2">
        <f>YEAR(ORDERS[[#This Row],[OrderDate]])</f>
        <v>2014</v>
      </c>
    </row>
    <row r="1210" spans="1:13" x14ac:dyDescent="0.3">
      <c r="A1210">
        <v>1209</v>
      </c>
      <c r="B1210">
        <v>3</v>
      </c>
      <c r="C1210">
        <v>10</v>
      </c>
      <c r="D1210" s="1">
        <v>41855</v>
      </c>
      <c r="E1210">
        <v>60</v>
      </c>
      <c r="F1210">
        <f>VLOOKUP(ORDERS[[#This Row],[ProductID]],Products[],4,FALSE)</f>
        <v>35</v>
      </c>
      <c r="G1210">
        <v>0</v>
      </c>
      <c r="H1210">
        <f>(ORDERS[[#This Row],[UnitsOrdered]]*ORDERS[[#This Row],[unit price]])-(ORDERS[[#This Row],[UnitsOrdered]]*ORDERS[[#This Row],[unit price]]*ORDERS[[#This Row],[Discount]])</f>
        <v>2100</v>
      </c>
      <c r="I1210" t="str">
        <f>VLOOKUP(ORDERS[[#This Row],[CustomerID]],customers[],2,FALSE)</f>
        <v>Shirts R Us</v>
      </c>
      <c r="J1210" s="2" t="str">
        <f>VLOOKUP(ORDERS[[#This Row],[CustomerID]],customers[],4,FALSE)</f>
        <v>Los Angeles</v>
      </c>
      <c r="K1210" s="2" t="str">
        <f>VLOOKUP(ORDERS[[#This Row],[ProductID]],Products[],3,FALSE)</f>
        <v>Male</v>
      </c>
      <c r="L1210" s="2">
        <f>DAY(ORDERS[[#This Row],[OrderDate]])</f>
        <v>4</v>
      </c>
      <c r="M1210" s="2">
        <f>YEAR(ORDERS[[#This Row],[OrderDate]])</f>
        <v>2014</v>
      </c>
    </row>
    <row r="1211" spans="1:13" x14ac:dyDescent="0.3">
      <c r="A1211">
        <v>1210</v>
      </c>
      <c r="B1211">
        <v>4</v>
      </c>
      <c r="C1211">
        <v>2</v>
      </c>
      <c r="D1211" s="1">
        <v>41855</v>
      </c>
      <c r="E1211">
        <v>104</v>
      </c>
      <c r="F1211">
        <f>VLOOKUP(ORDERS[[#This Row],[ProductID]],Products[],4,FALSE)</f>
        <v>30</v>
      </c>
      <c r="G1211">
        <v>0</v>
      </c>
      <c r="H1211">
        <f>(ORDERS[[#This Row],[UnitsOrdered]]*ORDERS[[#This Row],[unit price]])-(ORDERS[[#This Row],[UnitsOrdered]]*ORDERS[[#This Row],[unit price]]*ORDERS[[#This Row],[Discount]])</f>
        <v>3120</v>
      </c>
      <c r="I1211" t="str">
        <f>VLOOKUP(ORDERS[[#This Row],[CustomerID]],customers[],2,FALSE)</f>
        <v>Tshirt Unlimited</v>
      </c>
      <c r="J1211" s="2" t="str">
        <f>VLOOKUP(ORDERS[[#This Row],[CustomerID]],customers[],4,FALSE)</f>
        <v>Phoenix</v>
      </c>
      <c r="K1211" s="2" t="str">
        <f>VLOOKUP(ORDERS[[#This Row],[ProductID]],Products[],3,FALSE)</f>
        <v>Both</v>
      </c>
      <c r="L1211" s="2">
        <f>DAY(ORDERS[[#This Row],[OrderDate]])</f>
        <v>4</v>
      </c>
      <c r="M1211" s="2">
        <f>YEAR(ORDERS[[#This Row],[OrderDate]])</f>
        <v>2014</v>
      </c>
    </row>
    <row r="1212" spans="1:13" x14ac:dyDescent="0.3">
      <c r="A1212">
        <v>1211</v>
      </c>
      <c r="B1212">
        <v>2</v>
      </c>
      <c r="C1212">
        <v>2</v>
      </c>
      <c r="D1212" s="1">
        <v>41857</v>
      </c>
      <c r="E1212">
        <v>77</v>
      </c>
      <c r="F1212">
        <f>VLOOKUP(ORDERS[[#This Row],[ProductID]],Products[],4,FALSE)</f>
        <v>30</v>
      </c>
      <c r="G1212">
        <v>0</v>
      </c>
      <c r="H1212">
        <f>(ORDERS[[#This Row],[UnitsOrdered]]*ORDERS[[#This Row],[unit price]])-(ORDERS[[#This Row],[UnitsOrdered]]*ORDERS[[#This Row],[unit price]]*ORDERS[[#This Row],[Discount]])</f>
        <v>2310</v>
      </c>
      <c r="I1212" t="str">
        <f>VLOOKUP(ORDERS[[#This Row],[CustomerID]],customers[],2,FALSE)</f>
        <v>A Shirts Life</v>
      </c>
      <c r="J1212" s="2" t="str">
        <f>VLOOKUP(ORDERS[[#This Row],[CustomerID]],customers[],4,FALSE)</f>
        <v>Portland</v>
      </c>
      <c r="K1212" s="2" t="str">
        <f>VLOOKUP(ORDERS[[#This Row],[ProductID]],Products[],3,FALSE)</f>
        <v>Both</v>
      </c>
      <c r="L1212" s="2">
        <f>DAY(ORDERS[[#This Row],[OrderDate]])</f>
        <v>6</v>
      </c>
      <c r="M1212" s="2">
        <f>YEAR(ORDERS[[#This Row],[OrderDate]])</f>
        <v>2014</v>
      </c>
    </row>
    <row r="1213" spans="1:13" x14ac:dyDescent="0.3">
      <c r="A1213">
        <v>1212</v>
      </c>
      <c r="B1213">
        <v>3</v>
      </c>
      <c r="C1213">
        <v>5</v>
      </c>
      <c r="D1213" s="1">
        <v>41857</v>
      </c>
      <c r="E1213">
        <v>124</v>
      </c>
      <c r="F1213">
        <f>VLOOKUP(ORDERS[[#This Row],[ProductID]],Products[],4,FALSE)</f>
        <v>16</v>
      </c>
      <c r="G1213">
        <v>5.0000001000000002E-2</v>
      </c>
      <c r="H1213">
        <f>(ORDERS[[#This Row],[UnitsOrdered]]*ORDERS[[#This Row],[unit price]])-(ORDERS[[#This Row],[UnitsOrdered]]*ORDERS[[#This Row],[unit price]]*ORDERS[[#This Row],[Discount]])</f>
        <v>1884.799998016</v>
      </c>
      <c r="I1213" t="str">
        <f>VLOOKUP(ORDERS[[#This Row],[CustomerID]],customers[],2,FALSE)</f>
        <v>Shirts R Us</v>
      </c>
      <c r="J1213" s="2" t="str">
        <f>VLOOKUP(ORDERS[[#This Row],[CustomerID]],customers[],4,FALSE)</f>
        <v>Los Angeles</v>
      </c>
      <c r="K1213" s="2" t="str">
        <f>VLOOKUP(ORDERS[[#This Row],[ProductID]],Products[],3,FALSE)</f>
        <v>Female</v>
      </c>
      <c r="L1213" s="2">
        <f>DAY(ORDERS[[#This Row],[OrderDate]])</f>
        <v>6</v>
      </c>
      <c r="M1213" s="2">
        <f>YEAR(ORDERS[[#This Row],[OrderDate]])</f>
        <v>2014</v>
      </c>
    </row>
    <row r="1214" spans="1:13" x14ac:dyDescent="0.3">
      <c r="A1214">
        <v>1213</v>
      </c>
      <c r="B1214">
        <v>4</v>
      </c>
      <c r="C1214">
        <v>3</v>
      </c>
      <c r="D1214" s="1">
        <v>41857</v>
      </c>
      <c r="E1214">
        <v>31</v>
      </c>
      <c r="F1214">
        <f>VLOOKUP(ORDERS[[#This Row],[ProductID]],Products[],4,FALSE)</f>
        <v>22</v>
      </c>
      <c r="G1214">
        <v>0</v>
      </c>
      <c r="H1214">
        <f>(ORDERS[[#This Row],[UnitsOrdered]]*ORDERS[[#This Row],[unit price]])-(ORDERS[[#This Row],[UnitsOrdered]]*ORDERS[[#This Row],[unit price]]*ORDERS[[#This Row],[Discount]])</f>
        <v>682</v>
      </c>
      <c r="I1214" t="str">
        <f>VLOOKUP(ORDERS[[#This Row],[CustomerID]],customers[],2,FALSE)</f>
        <v>Tshirt Unlimited</v>
      </c>
      <c r="J1214" s="2" t="str">
        <f>VLOOKUP(ORDERS[[#This Row],[CustomerID]],customers[],4,FALSE)</f>
        <v>Phoenix</v>
      </c>
      <c r="K1214" s="2" t="str">
        <f>VLOOKUP(ORDERS[[#This Row],[ProductID]],Products[],3,FALSE)</f>
        <v>Both</v>
      </c>
      <c r="L1214" s="2">
        <f>DAY(ORDERS[[#This Row],[OrderDate]])</f>
        <v>6</v>
      </c>
      <c r="M1214" s="2">
        <f>YEAR(ORDERS[[#This Row],[OrderDate]])</f>
        <v>2014</v>
      </c>
    </row>
    <row r="1215" spans="1:13" x14ac:dyDescent="0.3">
      <c r="A1215">
        <v>1214</v>
      </c>
      <c r="B1215">
        <v>6</v>
      </c>
      <c r="C1215">
        <v>1</v>
      </c>
      <c r="D1215" s="1">
        <v>41857</v>
      </c>
      <c r="E1215">
        <v>30</v>
      </c>
      <c r="F1215">
        <f>VLOOKUP(ORDERS[[#This Row],[ProductID]],Products[],4,FALSE)</f>
        <v>20</v>
      </c>
      <c r="G1215">
        <v>0</v>
      </c>
      <c r="H1215">
        <f>(ORDERS[[#This Row],[UnitsOrdered]]*ORDERS[[#This Row],[unit price]])-(ORDERS[[#This Row],[UnitsOrdered]]*ORDERS[[#This Row],[unit price]]*ORDERS[[#This Row],[Discount]])</f>
        <v>600</v>
      </c>
      <c r="I1215" t="str">
        <f>VLOOKUP(ORDERS[[#This Row],[CustomerID]],customers[],2,FALSE)</f>
        <v>Abracadaba Ink</v>
      </c>
      <c r="J1215" s="2" t="str">
        <f>VLOOKUP(ORDERS[[#This Row],[CustomerID]],customers[],4,FALSE)</f>
        <v>Salt Lake City</v>
      </c>
      <c r="K1215" s="2" t="str">
        <f>VLOOKUP(ORDERS[[#This Row],[ProductID]],Products[],3,FALSE)</f>
        <v>Both</v>
      </c>
      <c r="L1215" s="2">
        <f>DAY(ORDERS[[#This Row],[OrderDate]])</f>
        <v>6</v>
      </c>
      <c r="M1215" s="2">
        <f>YEAR(ORDERS[[#This Row],[OrderDate]])</f>
        <v>2014</v>
      </c>
    </row>
    <row r="1216" spans="1:13" x14ac:dyDescent="0.3">
      <c r="A1216">
        <v>1215</v>
      </c>
      <c r="B1216">
        <v>2</v>
      </c>
      <c r="C1216">
        <v>2</v>
      </c>
      <c r="D1216" s="1">
        <v>41858</v>
      </c>
      <c r="E1216">
        <v>147</v>
      </c>
      <c r="F1216">
        <f>VLOOKUP(ORDERS[[#This Row],[ProductID]],Products[],4,FALSE)</f>
        <v>30</v>
      </c>
      <c r="G1216">
        <v>0</v>
      </c>
      <c r="H1216">
        <f>(ORDERS[[#This Row],[UnitsOrdered]]*ORDERS[[#This Row],[unit price]])-(ORDERS[[#This Row],[UnitsOrdered]]*ORDERS[[#This Row],[unit price]]*ORDERS[[#This Row],[Discount]])</f>
        <v>4410</v>
      </c>
      <c r="I1216" t="str">
        <f>VLOOKUP(ORDERS[[#This Row],[CustomerID]],customers[],2,FALSE)</f>
        <v>A Shirts Life</v>
      </c>
      <c r="J1216" s="2" t="str">
        <f>VLOOKUP(ORDERS[[#This Row],[CustomerID]],customers[],4,FALSE)</f>
        <v>Portland</v>
      </c>
      <c r="K1216" s="2" t="str">
        <f>VLOOKUP(ORDERS[[#This Row],[ProductID]],Products[],3,FALSE)</f>
        <v>Both</v>
      </c>
      <c r="L1216" s="2">
        <f>DAY(ORDERS[[#This Row],[OrderDate]])</f>
        <v>7</v>
      </c>
      <c r="M1216" s="2">
        <f>YEAR(ORDERS[[#This Row],[OrderDate]])</f>
        <v>2014</v>
      </c>
    </row>
    <row r="1217" spans="1:13" x14ac:dyDescent="0.3">
      <c r="A1217">
        <v>1216</v>
      </c>
      <c r="B1217">
        <v>1</v>
      </c>
      <c r="C1217">
        <v>10</v>
      </c>
      <c r="D1217" s="1">
        <v>41859</v>
      </c>
      <c r="E1217">
        <v>39</v>
      </c>
      <c r="F1217">
        <f>VLOOKUP(ORDERS[[#This Row],[ProductID]],Products[],4,FALSE)</f>
        <v>35</v>
      </c>
      <c r="G1217">
        <v>0</v>
      </c>
      <c r="H1217">
        <f>(ORDERS[[#This Row],[UnitsOrdered]]*ORDERS[[#This Row],[unit price]])-(ORDERS[[#This Row],[UnitsOrdered]]*ORDERS[[#This Row],[unit price]]*ORDERS[[#This Row],[Discount]])</f>
        <v>1365</v>
      </c>
      <c r="I1217" t="str">
        <f>VLOOKUP(ORDERS[[#This Row],[CustomerID]],customers[],2,FALSE)</f>
        <v>Threads</v>
      </c>
      <c r="J1217" s="2" t="str">
        <f>VLOOKUP(ORDERS[[#This Row],[CustomerID]],customers[],4,FALSE)</f>
        <v>Seattle</v>
      </c>
      <c r="K1217" s="2" t="str">
        <f>VLOOKUP(ORDERS[[#This Row],[ProductID]],Products[],3,FALSE)</f>
        <v>Male</v>
      </c>
      <c r="L1217" s="2">
        <f>DAY(ORDERS[[#This Row],[OrderDate]])</f>
        <v>8</v>
      </c>
      <c r="M1217" s="2">
        <f>YEAR(ORDERS[[#This Row],[OrderDate]])</f>
        <v>2014</v>
      </c>
    </row>
    <row r="1218" spans="1:13" x14ac:dyDescent="0.3">
      <c r="A1218">
        <v>1217</v>
      </c>
      <c r="B1218">
        <v>5</v>
      </c>
      <c r="C1218">
        <v>4</v>
      </c>
      <c r="D1218" s="1">
        <v>41859</v>
      </c>
      <c r="E1218">
        <v>76</v>
      </c>
      <c r="F1218">
        <f>VLOOKUP(ORDERS[[#This Row],[ProductID]],Products[],4,FALSE)</f>
        <v>30</v>
      </c>
      <c r="G1218">
        <v>0</v>
      </c>
      <c r="H1218">
        <f>(ORDERS[[#This Row],[UnitsOrdered]]*ORDERS[[#This Row],[unit price]])-(ORDERS[[#This Row],[UnitsOrdered]]*ORDERS[[#This Row],[unit price]]*ORDERS[[#This Row],[Discount]])</f>
        <v>2280</v>
      </c>
      <c r="I1218" t="str">
        <f>VLOOKUP(ORDERS[[#This Row],[CustomerID]],customers[],2,FALSE)</f>
        <v>Rags to Riches</v>
      </c>
      <c r="J1218" s="2" t="str">
        <f>VLOOKUP(ORDERS[[#This Row],[CustomerID]],customers[],4,FALSE)</f>
        <v>Las Vegas</v>
      </c>
      <c r="K1218" s="2" t="str">
        <f>VLOOKUP(ORDERS[[#This Row],[ProductID]],Products[],3,FALSE)</f>
        <v>Both</v>
      </c>
      <c r="L1218" s="2">
        <f>DAY(ORDERS[[#This Row],[OrderDate]])</f>
        <v>8</v>
      </c>
      <c r="M1218" s="2">
        <f>YEAR(ORDERS[[#This Row],[OrderDate]])</f>
        <v>2014</v>
      </c>
    </row>
    <row r="1219" spans="1:13" x14ac:dyDescent="0.3">
      <c r="A1219">
        <v>1218</v>
      </c>
      <c r="B1219">
        <v>3</v>
      </c>
      <c r="C1219">
        <v>2</v>
      </c>
      <c r="D1219" s="1">
        <v>41861</v>
      </c>
      <c r="E1219">
        <v>53</v>
      </c>
      <c r="F1219">
        <f>VLOOKUP(ORDERS[[#This Row],[ProductID]],Products[],4,FALSE)</f>
        <v>30</v>
      </c>
      <c r="G1219">
        <v>0</v>
      </c>
      <c r="H1219">
        <f>(ORDERS[[#This Row],[UnitsOrdered]]*ORDERS[[#This Row],[unit price]])-(ORDERS[[#This Row],[UnitsOrdered]]*ORDERS[[#This Row],[unit price]]*ORDERS[[#This Row],[Discount]])</f>
        <v>1590</v>
      </c>
      <c r="I1219" t="str">
        <f>VLOOKUP(ORDERS[[#This Row],[CustomerID]],customers[],2,FALSE)</f>
        <v>Shirts R Us</v>
      </c>
      <c r="J1219" s="2" t="str">
        <f>VLOOKUP(ORDERS[[#This Row],[CustomerID]],customers[],4,FALSE)</f>
        <v>Los Angeles</v>
      </c>
      <c r="K1219" s="2" t="str">
        <f>VLOOKUP(ORDERS[[#This Row],[ProductID]],Products[],3,FALSE)</f>
        <v>Both</v>
      </c>
      <c r="L1219" s="2">
        <f>DAY(ORDERS[[#This Row],[OrderDate]])</f>
        <v>10</v>
      </c>
      <c r="M1219" s="2">
        <f>YEAR(ORDERS[[#This Row],[OrderDate]])</f>
        <v>2014</v>
      </c>
    </row>
    <row r="1220" spans="1:13" x14ac:dyDescent="0.3">
      <c r="A1220">
        <v>1219</v>
      </c>
      <c r="B1220">
        <v>2</v>
      </c>
      <c r="C1220">
        <v>5</v>
      </c>
      <c r="D1220" s="1">
        <v>41862</v>
      </c>
      <c r="E1220">
        <v>93</v>
      </c>
      <c r="F1220">
        <f>VLOOKUP(ORDERS[[#This Row],[ProductID]],Products[],4,FALSE)</f>
        <v>16</v>
      </c>
      <c r="G1220">
        <v>0</v>
      </c>
      <c r="H1220">
        <f>(ORDERS[[#This Row],[UnitsOrdered]]*ORDERS[[#This Row],[unit price]])-(ORDERS[[#This Row],[UnitsOrdered]]*ORDERS[[#This Row],[unit price]]*ORDERS[[#This Row],[Discount]])</f>
        <v>1488</v>
      </c>
      <c r="I1220" t="str">
        <f>VLOOKUP(ORDERS[[#This Row],[CustomerID]],customers[],2,FALSE)</f>
        <v>A Shirts Life</v>
      </c>
      <c r="J1220" s="2" t="str">
        <f>VLOOKUP(ORDERS[[#This Row],[CustomerID]],customers[],4,FALSE)</f>
        <v>Portland</v>
      </c>
      <c r="K1220" s="2" t="str">
        <f>VLOOKUP(ORDERS[[#This Row],[ProductID]],Products[],3,FALSE)</f>
        <v>Female</v>
      </c>
      <c r="L1220" s="2">
        <f>DAY(ORDERS[[#This Row],[OrderDate]])</f>
        <v>11</v>
      </c>
      <c r="M1220" s="2">
        <f>YEAR(ORDERS[[#This Row],[OrderDate]])</f>
        <v>2014</v>
      </c>
    </row>
    <row r="1221" spans="1:13" x14ac:dyDescent="0.3">
      <c r="A1221">
        <v>1220</v>
      </c>
      <c r="B1221">
        <v>2</v>
      </c>
      <c r="C1221">
        <v>6</v>
      </c>
      <c r="D1221" s="1">
        <v>41863</v>
      </c>
      <c r="E1221">
        <v>92</v>
      </c>
      <c r="F1221">
        <f>VLOOKUP(ORDERS[[#This Row],[ProductID]],Products[],4,FALSE)</f>
        <v>28</v>
      </c>
      <c r="G1221">
        <v>0</v>
      </c>
      <c r="H1221">
        <f>(ORDERS[[#This Row],[UnitsOrdered]]*ORDERS[[#This Row],[unit price]])-(ORDERS[[#This Row],[UnitsOrdered]]*ORDERS[[#This Row],[unit price]]*ORDERS[[#This Row],[Discount]])</f>
        <v>2576</v>
      </c>
      <c r="I1221" t="str">
        <f>VLOOKUP(ORDERS[[#This Row],[CustomerID]],customers[],2,FALSE)</f>
        <v>A Shirts Life</v>
      </c>
      <c r="J1221" s="2" t="str">
        <f>VLOOKUP(ORDERS[[#This Row],[CustomerID]],customers[],4,FALSE)</f>
        <v>Portland</v>
      </c>
      <c r="K1221" s="2" t="str">
        <f>VLOOKUP(ORDERS[[#This Row],[ProductID]],Products[],3,FALSE)</f>
        <v>Female</v>
      </c>
      <c r="L1221" s="2">
        <f>DAY(ORDERS[[#This Row],[OrderDate]])</f>
        <v>12</v>
      </c>
      <c r="M1221" s="2">
        <f>YEAR(ORDERS[[#This Row],[OrderDate]])</f>
        <v>2014</v>
      </c>
    </row>
    <row r="1222" spans="1:13" x14ac:dyDescent="0.3">
      <c r="A1222">
        <v>1221</v>
      </c>
      <c r="B1222">
        <v>7</v>
      </c>
      <c r="C1222">
        <v>10</v>
      </c>
      <c r="D1222" s="1">
        <v>41865</v>
      </c>
      <c r="E1222">
        <v>121</v>
      </c>
      <c r="F1222">
        <f>VLOOKUP(ORDERS[[#This Row],[ProductID]],Products[],4,FALSE)</f>
        <v>35</v>
      </c>
      <c r="G1222">
        <v>0</v>
      </c>
      <c r="H1222">
        <f>(ORDERS[[#This Row],[UnitsOrdered]]*ORDERS[[#This Row],[unit price]])-(ORDERS[[#This Row],[UnitsOrdered]]*ORDERS[[#This Row],[unit price]]*ORDERS[[#This Row],[Discount]])</f>
        <v>4235</v>
      </c>
      <c r="I1222" t="str">
        <f>VLOOKUP(ORDERS[[#This Row],[CustomerID]],customers[],2,FALSE)</f>
        <v>The Shirt on Your Back</v>
      </c>
      <c r="J1222" s="2" t="str">
        <f>VLOOKUP(ORDERS[[#This Row],[CustomerID]],customers[],4,FALSE)</f>
        <v>Bonners Ferry</v>
      </c>
      <c r="K1222" s="2" t="str">
        <f>VLOOKUP(ORDERS[[#This Row],[ProductID]],Products[],3,FALSE)</f>
        <v>Male</v>
      </c>
      <c r="L1222" s="2">
        <f>DAY(ORDERS[[#This Row],[OrderDate]])</f>
        <v>14</v>
      </c>
      <c r="M1222" s="2">
        <f>YEAR(ORDERS[[#This Row],[OrderDate]])</f>
        <v>2014</v>
      </c>
    </row>
    <row r="1223" spans="1:13" x14ac:dyDescent="0.3">
      <c r="A1223">
        <v>1222</v>
      </c>
      <c r="B1223">
        <v>2</v>
      </c>
      <c r="C1223">
        <v>4</v>
      </c>
      <c r="D1223" s="1">
        <v>41869</v>
      </c>
      <c r="E1223">
        <v>58</v>
      </c>
      <c r="F1223">
        <f>VLOOKUP(ORDERS[[#This Row],[ProductID]],Products[],4,FALSE)</f>
        <v>30</v>
      </c>
      <c r="G1223">
        <v>0</v>
      </c>
      <c r="H1223">
        <f>(ORDERS[[#This Row],[UnitsOrdered]]*ORDERS[[#This Row],[unit price]])-(ORDERS[[#This Row],[UnitsOrdered]]*ORDERS[[#This Row],[unit price]]*ORDERS[[#This Row],[Discount]])</f>
        <v>1740</v>
      </c>
      <c r="I1223" t="str">
        <f>VLOOKUP(ORDERS[[#This Row],[CustomerID]],customers[],2,FALSE)</f>
        <v>A Shirts Life</v>
      </c>
      <c r="J1223" s="2" t="str">
        <f>VLOOKUP(ORDERS[[#This Row],[CustomerID]],customers[],4,FALSE)</f>
        <v>Portland</v>
      </c>
      <c r="K1223" s="2" t="str">
        <f>VLOOKUP(ORDERS[[#This Row],[ProductID]],Products[],3,FALSE)</f>
        <v>Both</v>
      </c>
      <c r="L1223" s="2">
        <f>DAY(ORDERS[[#This Row],[OrderDate]])</f>
        <v>18</v>
      </c>
      <c r="M1223" s="2">
        <f>YEAR(ORDERS[[#This Row],[OrderDate]])</f>
        <v>2014</v>
      </c>
    </row>
    <row r="1224" spans="1:13" x14ac:dyDescent="0.3">
      <c r="A1224">
        <v>1223</v>
      </c>
      <c r="B1224">
        <v>5</v>
      </c>
      <c r="C1224">
        <v>10</v>
      </c>
      <c r="D1224" s="1">
        <v>41869</v>
      </c>
      <c r="E1224">
        <v>112</v>
      </c>
      <c r="F1224">
        <f>VLOOKUP(ORDERS[[#This Row],[ProductID]],Products[],4,FALSE)</f>
        <v>35</v>
      </c>
      <c r="G1224">
        <v>0</v>
      </c>
      <c r="H1224">
        <f>(ORDERS[[#This Row],[UnitsOrdered]]*ORDERS[[#This Row],[unit price]])-(ORDERS[[#This Row],[UnitsOrdered]]*ORDERS[[#This Row],[unit price]]*ORDERS[[#This Row],[Discount]])</f>
        <v>3920</v>
      </c>
      <c r="I1224" t="str">
        <f>VLOOKUP(ORDERS[[#This Row],[CustomerID]],customers[],2,FALSE)</f>
        <v>Rags to Riches</v>
      </c>
      <c r="J1224" s="2" t="str">
        <f>VLOOKUP(ORDERS[[#This Row],[CustomerID]],customers[],4,FALSE)</f>
        <v>Las Vegas</v>
      </c>
      <c r="K1224" s="2" t="str">
        <f>VLOOKUP(ORDERS[[#This Row],[ProductID]],Products[],3,FALSE)</f>
        <v>Male</v>
      </c>
      <c r="L1224" s="2">
        <f>DAY(ORDERS[[#This Row],[OrderDate]])</f>
        <v>18</v>
      </c>
      <c r="M1224" s="2">
        <f>YEAR(ORDERS[[#This Row],[OrderDate]])</f>
        <v>2014</v>
      </c>
    </row>
    <row r="1225" spans="1:13" x14ac:dyDescent="0.3">
      <c r="A1225">
        <v>1224</v>
      </c>
      <c r="B1225">
        <v>1</v>
      </c>
      <c r="C1225">
        <v>1</v>
      </c>
      <c r="D1225" s="1">
        <v>41871</v>
      </c>
      <c r="E1225">
        <v>86</v>
      </c>
      <c r="F1225">
        <f>VLOOKUP(ORDERS[[#This Row],[ProductID]],Products[],4,FALSE)</f>
        <v>20</v>
      </c>
      <c r="G1225">
        <v>0</v>
      </c>
      <c r="H1225">
        <f>(ORDERS[[#This Row],[UnitsOrdered]]*ORDERS[[#This Row],[unit price]])-(ORDERS[[#This Row],[UnitsOrdered]]*ORDERS[[#This Row],[unit price]]*ORDERS[[#This Row],[Discount]])</f>
        <v>1720</v>
      </c>
      <c r="I1225" t="str">
        <f>VLOOKUP(ORDERS[[#This Row],[CustomerID]],customers[],2,FALSE)</f>
        <v>Threads</v>
      </c>
      <c r="J1225" s="2" t="str">
        <f>VLOOKUP(ORDERS[[#This Row],[CustomerID]],customers[],4,FALSE)</f>
        <v>Seattle</v>
      </c>
      <c r="K1225" s="2" t="str">
        <f>VLOOKUP(ORDERS[[#This Row],[ProductID]],Products[],3,FALSE)</f>
        <v>Both</v>
      </c>
      <c r="L1225" s="2">
        <f>DAY(ORDERS[[#This Row],[OrderDate]])</f>
        <v>20</v>
      </c>
      <c r="M1225" s="2">
        <f>YEAR(ORDERS[[#This Row],[OrderDate]])</f>
        <v>2014</v>
      </c>
    </row>
    <row r="1226" spans="1:13" x14ac:dyDescent="0.3">
      <c r="A1226">
        <v>1225</v>
      </c>
      <c r="B1226">
        <v>7</v>
      </c>
      <c r="C1226">
        <v>1</v>
      </c>
      <c r="D1226" s="1">
        <v>41871</v>
      </c>
      <c r="E1226">
        <v>121</v>
      </c>
      <c r="F1226">
        <f>VLOOKUP(ORDERS[[#This Row],[ProductID]],Products[],4,FALSE)</f>
        <v>20</v>
      </c>
      <c r="G1226">
        <v>0</v>
      </c>
      <c r="H1226">
        <f>(ORDERS[[#This Row],[UnitsOrdered]]*ORDERS[[#This Row],[unit price]])-(ORDERS[[#This Row],[UnitsOrdered]]*ORDERS[[#This Row],[unit price]]*ORDERS[[#This Row],[Discount]])</f>
        <v>2420</v>
      </c>
      <c r="I1226" t="str">
        <f>VLOOKUP(ORDERS[[#This Row],[CustomerID]],customers[],2,FALSE)</f>
        <v>The Shirt on Your Back</v>
      </c>
      <c r="J1226" s="2" t="str">
        <f>VLOOKUP(ORDERS[[#This Row],[CustomerID]],customers[],4,FALSE)</f>
        <v>Bonners Ferry</v>
      </c>
      <c r="K1226" s="2" t="str">
        <f>VLOOKUP(ORDERS[[#This Row],[ProductID]],Products[],3,FALSE)</f>
        <v>Both</v>
      </c>
      <c r="L1226" s="2">
        <f>DAY(ORDERS[[#This Row],[OrderDate]])</f>
        <v>20</v>
      </c>
      <c r="M1226" s="2">
        <f>YEAR(ORDERS[[#This Row],[OrderDate]])</f>
        <v>2014</v>
      </c>
    </row>
    <row r="1227" spans="1:13" x14ac:dyDescent="0.3">
      <c r="A1227">
        <v>1226</v>
      </c>
      <c r="B1227">
        <v>1</v>
      </c>
      <c r="C1227">
        <v>3</v>
      </c>
      <c r="D1227" s="1">
        <v>41873</v>
      </c>
      <c r="E1227">
        <v>46</v>
      </c>
      <c r="F1227">
        <f>VLOOKUP(ORDERS[[#This Row],[ProductID]],Products[],4,FALSE)</f>
        <v>22</v>
      </c>
      <c r="G1227">
        <v>0</v>
      </c>
      <c r="H1227">
        <f>(ORDERS[[#This Row],[UnitsOrdered]]*ORDERS[[#This Row],[unit price]])-(ORDERS[[#This Row],[UnitsOrdered]]*ORDERS[[#This Row],[unit price]]*ORDERS[[#This Row],[Discount]])</f>
        <v>1012</v>
      </c>
      <c r="I1227" t="str">
        <f>VLOOKUP(ORDERS[[#This Row],[CustomerID]],customers[],2,FALSE)</f>
        <v>Threads</v>
      </c>
      <c r="J1227" s="2" t="str">
        <f>VLOOKUP(ORDERS[[#This Row],[CustomerID]],customers[],4,FALSE)</f>
        <v>Seattle</v>
      </c>
      <c r="K1227" s="2" t="str">
        <f>VLOOKUP(ORDERS[[#This Row],[ProductID]],Products[],3,FALSE)</f>
        <v>Both</v>
      </c>
      <c r="L1227" s="2">
        <f>DAY(ORDERS[[#This Row],[OrderDate]])</f>
        <v>22</v>
      </c>
      <c r="M1227" s="2">
        <f>YEAR(ORDERS[[#This Row],[OrderDate]])</f>
        <v>2014</v>
      </c>
    </row>
    <row r="1228" spans="1:13" x14ac:dyDescent="0.3">
      <c r="A1228">
        <v>1227</v>
      </c>
      <c r="B1228">
        <v>3</v>
      </c>
      <c r="C1228">
        <v>9</v>
      </c>
      <c r="D1228" s="1">
        <v>41873</v>
      </c>
      <c r="E1228">
        <v>94</v>
      </c>
      <c r="F1228">
        <f>VLOOKUP(ORDERS[[#This Row],[ProductID]],Products[],4,FALSE)</f>
        <v>25</v>
      </c>
      <c r="G1228">
        <v>0</v>
      </c>
      <c r="H1228">
        <f>(ORDERS[[#This Row],[UnitsOrdered]]*ORDERS[[#This Row],[unit price]])-(ORDERS[[#This Row],[UnitsOrdered]]*ORDERS[[#This Row],[unit price]]*ORDERS[[#This Row],[Discount]])</f>
        <v>2350</v>
      </c>
      <c r="I1228" t="str">
        <f>VLOOKUP(ORDERS[[#This Row],[CustomerID]],customers[],2,FALSE)</f>
        <v>Shirts R Us</v>
      </c>
      <c r="J1228" s="2" t="str">
        <f>VLOOKUP(ORDERS[[#This Row],[CustomerID]],customers[],4,FALSE)</f>
        <v>Los Angeles</v>
      </c>
      <c r="K1228" s="2" t="str">
        <f>VLOOKUP(ORDERS[[#This Row],[ProductID]],Products[],3,FALSE)</f>
        <v>Male</v>
      </c>
      <c r="L1228" s="2">
        <f>DAY(ORDERS[[#This Row],[OrderDate]])</f>
        <v>22</v>
      </c>
      <c r="M1228" s="2">
        <f>YEAR(ORDERS[[#This Row],[OrderDate]])</f>
        <v>2014</v>
      </c>
    </row>
    <row r="1229" spans="1:13" x14ac:dyDescent="0.3">
      <c r="A1229">
        <v>1228</v>
      </c>
      <c r="B1229">
        <v>2</v>
      </c>
      <c r="C1229">
        <v>4</v>
      </c>
      <c r="D1229" s="1">
        <v>41874</v>
      </c>
      <c r="E1229">
        <v>70</v>
      </c>
      <c r="F1229">
        <f>VLOOKUP(ORDERS[[#This Row],[ProductID]],Products[],4,FALSE)</f>
        <v>30</v>
      </c>
      <c r="G1229">
        <v>0</v>
      </c>
      <c r="H1229">
        <f>(ORDERS[[#This Row],[UnitsOrdered]]*ORDERS[[#This Row],[unit price]])-(ORDERS[[#This Row],[UnitsOrdered]]*ORDERS[[#This Row],[unit price]]*ORDERS[[#This Row],[Discount]])</f>
        <v>2100</v>
      </c>
      <c r="I1229" t="str">
        <f>VLOOKUP(ORDERS[[#This Row],[CustomerID]],customers[],2,FALSE)</f>
        <v>A Shirts Life</v>
      </c>
      <c r="J1229" s="2" t="str">
        <f>VLOOKUP(ORDERS[[#This Row],[CustomerID]],customers[],4,FALSE)</f>
        <v>Portland</v>
      </c>
      <c r="K1229" s="2" t="str">
        <f>VLOOKUP(ORDERS[[#This Row],[ProductID]],Products[],3,FALSE)</f>
        <v>Both</v>
      </c>
      <c r="L1229" s="2">
        <f>DAY(ORDERS[[#This Row],[OrderDate]])</f>
        <v>23</v>
      </c>
      <c r="M1229" s="2">
        <f>YEAR(ORDERS[[#This Row],[OrderDate]])</f>
        <v>2014</v>
      </c>
    </row>
    <row r="1230" spans="1:13" x14ac:dyDescent="0.3">
      <c r="A1230">
        <v>1229</v>
      </c>
      <c r="B1230">
        <v>2</v>
      </c>
      <c r="C1230">
        <v>10</v>
      </c>
      <c r="D1230" s="1">
        <v>41874</v>
      </c>
      <c r="E1230">
        <v>65</v>
      </c>
      <c r="F1230">
        <f>VLOOKUP(ORDERS[[#This Row],[ProductID]],Products[],4,FALSE)</f>
        <v>35</v>
      </c>
      <c r="G1230">
        <v>0</v>
      </c>
      <c r="H1230">
        <f>(ORDERS[[#This Row],[UnitsOrdered]]*ORDERS[[#This Row],[unit price]])-(ORDERS[[#This Row],[UnitsOrdered]]*ORDERS[[#This Row],[unit price]]*ORDERS[[#This Row],[Discount]])</f>
        <v>2275</v>
      </c>
      <c r="I1230" t="str">
        <f>VLOOKUP(ORDERS[[#This Row],[CustomerID]],customers[],2,FALSE)</f>
        <v>A Shirts Life</v>
      </c>
      <c r="J1230" s="2" t="str">
        <f>VLOOKUP(ORDERS[[#This Row],[CustomerID]],customers[],4,FALSE)</f>
        <v>Portland</v>
      </c>
      <c r="K1230" s="2" t="str">
        <f>VLOOKUP(ORDERS[[#This Row],[ProductID]],Products[],3,FALSE)</f>
        <v>Male</v>
      </c>
      <c r="L1230" s="2">
        <f>DAY(ORDERS[[#This Row],[OrderDate]])</f>
        <v>23</v>
      </c>
      <c r="M1230" s="2">
        <f>YEAR(ORDERS[[#This Row],[OrderDate]])</f>
        <v>2014</v>
      </c>
    </row>
    <row r="1231" spans="1:13" x14ac:dyDescent="0.3">
      <c r="A1231">
        <v>1230</v>
      </c>
      <c r="B1231">
        <v>2</v>
      </c>
      <c r="C1231">
        <v>1</v>
      </c>
      <c r="D1231" s="1">
        <v>41875</v>
      </c>
      <c r="E1231">
        <v>79</v>
      </c>
      <c r="F1231">
        <f>VLOOKUP(ORDERS[[#This Row],[ProductID]],Products[],4,FALSE)</f>
        <v>20</v>
      </c>
      <c r="G1231">
        <v>5.0000001000000002E-2</v>
      </c>
      <c r="H1231">
        <f>(ORDERS[[#This Row],[UnitsOrdered]]*ORDERS[[#This Row],[unit price]])-(ORDERS[[#This Row],[UnitsOrdered]]*ORDERS[[#This Row],[unit price]]*ORDERS[[#This Row],[Discount]])</f>
        <v>1500.9999984199999</v>
      </c>
      <c r="I1231" t="str">
        <f>VLOOKUP(ORDERS[[#This Row],[CustomerID]],customers[],2,FALSE)</f>
        <v>A Shirts Life</v>
      </c>
      <c r="J1231" s="2" t="str">
        <f>VLOOKUP(ORDERS[[#This Row],[CustomerID]],customers[],4,FALSE)</f>
        <v>Portland</v>
      </c>
      <c r="K1231" s="2" t="str">
        <f>VLOOKUP(ORDERS[[#This Row],[ProductID]],Products[],3,FALSE)</f>
        <v>Both</v>
      </c>
      <c r="L1231" s="2">
        <f>DAY(ORDERS[[#This Row],[OrderDate]])</f>
        <v>24</v>
      </c>
      <c r="M1231" s="2">
        <f>YEAR(ORDERS[[#This Row],[OrderDate]])</f>
        <v>2014</v>
      </c>
    </row>
    <row r="1232" spans="1:13" x14ac:dyDescent="0.3">
      <c r="A1232">
        <v>1231</v>
      </c>
      <c r="B1232">
        <v>3</v>
      </c>
      <c r="C1232">
        <v>10</v>
      </c>
      <c r="D1232" s="1">
        <v>41875</v>
      </c>
      <c r="E1232">
        <v>66</v>
      </c>
      <c r="F1232">
        <f>VLOOKUP(ORDERS[[#This Row],[ProductID]],Products[],4,FALSE)</f>
        <v>35</v>
      </c>
      <c r="G1232">
        <v>0</v>
      </c>
      <c r="H1232">
        <f>(ORDERS[[#This Row],[UnitsOrdered]]*ORDERS[[#This Row],[unit price]])-(ORDERS[[#This Row],[UnitsOrdered]]*ORDERS[[#This Row],[unit price]]*ORDERS[[#This Row],[Discount]])</f>
        <v>2310</v>
      </c>
      <c r="I1232" t="str">
        <f>VLOOKUP(ORDERS[[#This Row],[CustomerID]],customers[],2,FALSE)</f>
        <v>Shirts R Us</v>
      </c>
      <c r="J1232" s="2" t="str">
        <f>VLOOKUP(ORDERS[[#This Row],[CustomerID]],customers[],4,FALSE)</f>
        <v>Los Angeles</v>
      </c>
      <c r="K1232" s="2" t="str">
        <f>VLOOKUP(ORDERS[[#This Row],[ProductID]],Products[],3,FALSE)</f>
        <v>Male</v>
      </c>
      <c r="L1232" s="2">
        <f>DAY(ORDERS[[#This Row],[OrderDate]])</f>
        <v>24</v>
      </c>
      <c r="M1232" s="2">
        <f>YEAR(ORDERS[[#This Row],[OrderDate]])</f>
        <v>2014</v>
      </c>
    </row>
    <row r="1233" spans="1:13" x14ac:dyDescent="0.3">
      <c r="A1233">
        <v>1232</v>
      </c>
      <c r="B1233">
        <v>6</v>
      </c>
      <c r="C1233">
        <v>1</v>
      </c>
      <c r="D1233" s="1">
        <v>41876</v>
      </c>
      <c r="E1233">
        <v>58</v>
      </c>
      <c r="F1233">
        <f>VLOOKUP(ORDERS[[#This Row],[ProductID]],Products[],4,FALSE)</f>
        <v>20</v>
      </c>
      <c r="G1233">
        <v>0</v>
      </c>
      <c r="H1233">
        <f>(ORDERS[[#This Row],[UnitsOrdered]]*ORDERS[[#This Row],[unit price]])-(ORDERS[[#This Row],[UnitsOrdered]]*ORDERS[[#This Row],[unit price]]*ORDERS[[#This Row],[Discount]])</f>
        <v>1160</v>
      </c>
      <c r="I1233" t="str">
        <f>VLOOKUP(ORDERS[[#This Row],[CustomerID]],customers[],2,FALSE)</f>
        <v>Abracadaba Ink</v>
      </c>
      <c r="J1233" s="2" t="str">
        <f>VLOOKUP(ORDERS[[#This Row],[CustomerID]],customers[],4,FALSE)</f>
        <v>Salt Lake City</v>
      </c>
      <c r="K1233" s="2" t="str">
        <f>VLOOKUP(ORDERS[[#This Row],[ProductID]],Products[],3,FALSE)</f>
        <v>Both</v>
      </c>
      <c r="L1233" s="2">
        <f>DAY(ORDERS[[#This Row],[OrderDate]])</f>
        <v>25</v>
      </c>
      <c r="M1233" s="2">
        <f>YEAR(ORDERS[[#This Row],[OrderDate]])</f>
        <v>2014</v>
      </c>
    </row>
    <row r="1234" spans="1:13" x14ac:dyDescent="0.3">
      <c r="A1234">
        <v>1233</v>
      </c>
      <c r="B1234">
        <v>6</v>
      </c>
      <c r="C1234">
        <v>9</v>
      </c>
      <c r="D1234" s="1">
        <v>41876</v>
      </c>
      <c r="E1234">
        <v>34</v>
      </c>
      <c r="F1234">
        <f>VLOOKUP(ORDERS[[#This Row],[ProductID]],Products[],4,FALSE)</f>
        <v>25</v>
      </c>
      <c r="G1234">
        <v>0.10000000100000001</v>
      </c>
      <c r="H1234">
        <f>(ORDERS[[#This Row],[UnitsOrdered]]*ORDERS[[#This Row],[unit price]])-(ORDERS[[#This Row],[UnitsOrdered]]*ORDERS[[#This Row],[unit price]]*ORDERS[[#This Row],[Discount]])</f>
        <v>764.99999915000001</v>
      </c>
      <c r="I1234" t="str">
        <f>VLOOKUP(ORDERS[[#This Row],[CustomerID]],customers[],2,FALSE)</f>
        <v>Abracadaba Ink</v>
      </c>
      <c r="J1234" s="2" t="str">
        <f>VLOOKUP(ORDERS[[#This Row],[CustomerID]],customers[],4,FALSE)</f>
        <v>Salt Lake City</v>
      </c>
      <c r="K1234" s="2" t="str">
        <f>VLOOKUP(ORDERS[[#This Row],[ProductID]],Products[],3,FALSE)</f>
        <v>Male</v>
      </c>
      <c r="L1234" s="2">
        <f>DAY(ORDERS[[#This Row],[OrderDate]])</f>
        <v>25</v>
      </c>
      <c r="M1234" s="2">
        <f>YEAR(ORDERS[[#This Row],[OrderDate]])</f>
        <v>2014</v>
      </c>
    </row>
    <row r="1235" spans="1:13" x14ac:dyDescent="0.3">
      <c r="A1235">
        <v>1234</v>
      </c>
      <c r="B1235">
        <v>7</v>
      </c>
      <c r="C1235">
        <v>1</v>
      </c>
      <c r="D1235" s="1">
        <v>41876</v>
      </c>
      <c r="E1235">
        <v>98</v>
      </c>
      <c r="F1235">
        <f>VLOOKUP(ORDERS[[#This Row],[ProductID]],Products[],4,FALSE)</f>
        <v>20</v>
      </c>
      <c r="G1235">
        <v>0</v>
      </c>
      <c r="H1235">
        <f>(ORDERS[[#This Row],[UnitsOrdered]]*ORDERS[[#This Row],[unit price]])-(ORDERS[[#This Row],[UnitsOrdered]]*ORDERS[[#This Row],[unit price]]*ORDERS[[#This Row],[Discount]])</f>
        <v>1960</v>
      </c>
      <c r="I1235" t="str">
        <f>VLOOKUP(ORDERS[[#This Row],[CustomerID]],customers[],2,FALSE)</f>
        <v>The Shirt on Your Back</v>
      </c>
      <c r="J1235" s="2" t="str">
        <f>VLOOKUP(ORDERS[[#This Row],[CustomerID]],customers[],4,FALSE)</f>
        <v>Bonners Ferry</v>
      </c>
      <c r="K1235" s="2" t="str">
        <f>VLOOKUP(ORDERS[[#This Row],[ProductID]],Products[],3,FALSE)</f>
        <v>Both</v>
      </c>
      <c r="L1235" s="2">
        <f>DAY(ORDERS[[#This Row],[OrderDate]])</f>
        <v>25</v>
      </c>
      <c r="M1235" s="2">
        <f>YEAR(ORDERS[[#This Row],[OrderDate]])</f>
        <v>2014</v>
      </c>
    </row>
    <row r="1236" spans="1:13" x14ac:dyDescent="0.3">
      <c r="A1236">
        <v>1235</v>
      </c>
      <c r="B1236">
        <v>3</v>
      </c>
      <c r="C1236">
        <v>1</v>
      </c>
      <c r="D1236" s="1">
        <v>41877</v>
      </c>
      <c r="E1236">
        <v>52</v>
      </c>
      <c r="F1236">
        <f>VLOOKUP(ORDERS[[#This Row],[ProductID]],Products[],4,FALSE)</f>
        <v>20</v>
      </c>
      <c r="G1236">
        <v>0</v>
      </c>
      <c r="H1236">
        <f>(ORDERS[[#This Row],[UnitsOrdered]]*ORDERS[[#This Row],[unit price]])-(ORDERS[[#This Row],[UnitsOrdered]]*ORDERS[[#This Row],[unit price]]*ORDERS[[#This Row],[Discount]])</f>
        <v>1040</v>
      </c>
      <c r="I1236" t="str">
        <f>VLOOKUP(ORDERS[[#This Row],[CustomerID]],customers[],2,FALSE)</f>
        <v>Shirts R Us</v>
      </c>
      <c r="J1236" s="2" t="str">
        <f>VLOOKUP(ORDERS[[#This Row],[CustomerID]],customers[],4,FALSE)</f>
        <v>Los Angeles</v>
      </c>
      <c r="K1236" s="2" t="str">
        <f>VLOOKUP(ORDERS[[#This Row],[ProductID]],Products[],3,FALSE)</f>
        <v>Both</v>
      </c>
      <c r="L1236" s="2">
        <f>DAY(ORDERS[[#This Row],[OrderDate]])</f>
        <v>26</v>
      </c>
      <c r="M1236" s="2">
        <f>YEAR(ORDERS[[#This Row],[OrderDate]])</f>
        <v>2014</v>
      </c>
    </row>
    <row r="1237" spans="1:13" x14ac:dyDescent="0.3">
      <c r="A1237">
        <v>1236</v>
      </c>
      <c r="B1237">
        <v>3</v>
      </c>
      <c r="C1237">
        <v>4</v>
      </c>
      <c r="D1237" s="1">
        <v>41877</v>
      </c>
      <c r="E1237">
        <v>39</v>
      </c>
      <c r="F1237">
        <f>VLOOKUP(ORDERS[[#This Row],[ProductID]],Products[],4,FALSE)</f>
        <v>30</v>
      </c>
      <c r="G1237">
        <v>0</v>
      </c>
      <c r="H1237">
        <f>(ORDERS[[#This Row],[UnitsOrdered]]*ORDERS[[#This Row],[unit price]])-(ORDERS[[#This Row],[UnitsOrdered]]*ORDERS[[#This Row],[unit price]]*ORDERS[[#This Row],[Discount]])</f>
        <v>1170</v>
      </c>
      <c r="I1237" t="str">
        <f>VLOOKUP(ORDERS[[#This Row],[CustomerID]],customers[],2,FALSE)</f>
        <v>Shirts R Us</v>
      </c>
      <c r="J1237" s="2" t="str">
        <f>VLOOKUP(ORDERS[[#This Row],[CustomerID]],customers[],4,FALSE)</f>
        <v>Los Angeles</v>
      </c>
      <c r="K1237" s="2" t="str">
        <f>VLOOKUP(ORDERS[[#This Row],[ProductID]],Products[],3,FALSE)</f>
        <v>Both</v>
      </c>
      <c r="L1237" s="2">
        <f>DAY(ORDERS[[#This Row],[OrderDate]])</f>
        <v>26</v>
      </c>
      <c r="M1237" s="2">
        <f>YEAR(ORDERS[[#This Row],[OrderDate]])</f>
        <v>2014</v>
      </c>
    </row>
    <row r="1238" spans="1:13" x14ac:dyDescent="0.3">
      <c r="A1238">
        <v>1237</v>
      </c>
      <c r="B1238">
        <v>5</v>
      </c>
      <c r="C1238">
        <v>2</v>
      </c>
      <c r="D1238" s="1">
        <v>41878</v>
      </c>
      <c r="E1238">
        <v>125</v>
      </c>
      <c r="F1238">
        <f>VLOOKUP(ORDERS[[#This Row],[ProductID]],Products[],4,FALSE)</f>
        <v>30</v>
      </c>
      <c r="G1238">
        <v>0</v>
      </c>
      <c r="H1238">
        <f>(ORDERS[[#This Row],[UnitsOrdered]]*ORDERS[[#This Row],[unit price]])-(ORDERS[[#This Row],[UnitsOrdered]]*ORDERS[[#This Row],[unit price]]*ORDERS[[#This Row],[Discount]])</f>
        <v>3750</v>
      </c>
      <c r="I1238" t="str">
        <f>VLOOKUP(ORDERS[[#This Row],[CustomerID]],customers[],2,FALSE)</f>
        <v>Rags to Riches</v>
      </c>
      <c r="J1238" s="2" t="str">
        <f>VLOOKUP(ORDERS[[#This Row],[CustomerID]],customers[],4,FALSE)</f>
        <v>Las Vegas</v>
      </c>
      <c r="K1238" s="2" t="str">
        <f>VLOOKUP(ORDERS[[#This Row],[ProductID]],Products[],3,FALSE)</f>
        <v>Both</v>
      </c>
      <c r="L1238" s="2">
        <f>DAY(ORDERS[[#This Row],[OrderDate]])</f>
        <v>27</v>
      </c>
      <c r="M1238" s="2">
        <f>YEAR(ORDERS[[#This Row],[OrderDate]])</f>
        <v>2014</v>
      </c>
    </row>
    <row r="1239" spans="1:13" x14ac:dyDescent="0.3">
      <c r="A1239">
        <v>1238</v>
      </c>
      <c r="B1239">
        <v>3</v>
      </c>
      <c r="C1239">
        <v>6</v>
      </c>
      <c r="D1239" s="1">
        <v>41879</v>
      </c>
      <c r="E1239">
        <v>81</v>
      </c>
      <c r="F1239">
        <f>VLOOKUP(ORDERS[[#This Row],[ProductID]],Products[],4,FALSE)</f>
        <v>28</v>
      </c>
      <c r="G1239">
        <v>0</v>
      </c>
      <c r="H1239">
        <f>(ORDERS[[#This Row],[UnitsOrdered]]*ORDERS[[#This Row],[unit price]])-(ORDERS[[#This Row],[UnitsOrdered]]*ORDERS[[#This Row],[unit price]]*ORDERS[[#This Row],[Discount]])</f>
        <v>2268</v>
      </c>
      <c r="I1239" t="str">
        <f>VLOOKUP(ORDERS[[#This Row],[CustomerID]],customers[],2,FALSE)</f>
        <v>Shirts R Us</v>
      </c>
      <c r="J1239" s="2" t="str">
        <f>VLOOKUP(ORDERS[[#This Row],[CustomerID]],customers[],4,FALSE)</f>
        <v>Los Angeles</v>
      </c>
      <c r="K1239" s="2" t="str">
        <f>VLOOKUP(ORDERS[[#This Row],[ProductID]],Products[],3,FALSE)</f>
        <v>Female</v>
      </c>
      <c r="L1239" s="2">
        <f>DAY(ORDERS[[#This Row],[OrderDate]])</f>
        <v>28</v>
      </c>
      <c r="M1239" s="2">
        <f>YEAR(ORDERS[[#This Row],[OrderDate]])</f>
        <v>2014</v>
      </c>
    </row>
    <row r="1240" spans="1:13" x14ac:dyDescent="0.3">
      <c r="A1240">
        <v>1239</v>
      </c>
      <c r="B1240">
        <v>2</v>
      </c>
      <c r="C1240">
        <v>6</v>
      </c>
      <c r="D1240" s="1">
        <v>41880</v>
      </c>
      <c r="E1240">
        <v>98</v>
      </c>
      <c r="F1240">
        <f>VLOOKUP(ORDERS[[#This Row],[ProductID]],Products[],4,FALSE)</f>
        <v>28</v>
      </c>
      <c r="G1240">
        <v>0</v>
      </c>
      <c r="H1240">
        <f>(ORDERS[[#This Row],[UnitsOrdered]]*ORDERS[[#This Row],[unit price]])-(ORDERS[[#This Row],[UnitsOrdered]]*ORDERS[[#This Row],[unit price]]*ORDERS[[#This Row],[Discount]])</f>
        <v>2744</v>
      </c>
      <c r="I1240" t="str">
        <f>VLOOKUP(ORDERS[[#This Row],[CustomerID]],customers[],2,FALSE)</f>
        <v>A Shirts Life</v>
      </c>
      <c r="J1240" s="2" t="str">
        <f>VLOOKUP(ORDERS[[#This Row],[CustomerID]],customers[],4,FALSE)</f>
        <v>Portland</v>
      </c>
      <c r="K1240" s="2" t="str">
        <f>VLOOKUP(ORDERS[[#This Row],[ProductID]],Products[],3,FALSE)</f>
        <v>Female</v>
      </c>
      <c r="L1240" s="2">
        <f>DAY(ORDERS[[#This Row],[OrderDate]])</f>
        <v>29</v>
      </c>
      <c r="M1240" s="2">
        <f>YEAR(ORDERS[[#This Row],[OrderDate]])</f>
        <v>2014</v>
      </c>
    </row>
    <row r="1241" spans="1:13" x14ac:dyDescent="0.3">
      <c r="A1241">
        <v>1240</v>
      </c>
      <c r="B1241">
        <v>6</v>
      </c>
      <c r="C1241">
        <v>8</v>
      </c>
      <c r="D1241" s="1">
        <v>41880</v>
      </c>
      <c r="E1241">
        <v>94</v>
      </c>
      <c r="F1241">
        <f>VLOOKUP(ORDERS[[#This Row],[ProductID]],Products[],4,FALSE)</f>
        <v>27</v>
      </c>
      <c r="G1241">
        <v>0</v>
      </c>
      <c r="H1241">
        <f>(ORDERS[[#This Row],[UnitsOrdered]]*ORDERS[[#This Row],[unit price]])-(ORDERS[[#This Row],[UnitsOrdered]]*ORDERS[[#This Row],[unit price]]*ORDERS[[#This Row],[Discount]])</f>
        <v>2538</v>
      </c>
      <c r="I1241" t="str">
        <f>VLOOKUP(ORDERS[[#This Row],[CustomerID]],customers[],2,FALSE)</f>
        <v>Abracadaba Ink</v>
      </c>
      <c r="J1241" s="2" t="str">
        <f>VLOOKUP(ORDERS[[#This Row],[CustomerID]],customers[],4,FALSE)</f>
        <v>Salt Lake City</v>
      </c>
      <c r="K1241" s="2" t="str">
        <f>VLOOKUP(ORDERS[[#This Row],[ProductID]],Products[],3,FALSE)</f>
        <v>Female</v>
      </c>
      <c r="L1241" s="2">
        <f>DAY(ORDERS[[#This Row],[OrderDate]])</f>
        <v>29</v>
      </c>
      <c r="M1241" s="2">
        <f>YEAR(ORDERS[[#This Row],[OrderDate]])</f>
        <v>2014</v>
      </c>
    </row>
    <row r="1242" spans="1:13" x14ac:dyDescent="0.3">
      <c r="A1242">
        <v>1241</v>
      </c>
      <c r="B1242">
        <v>6</v>
      </c>
      <c r="C1242">
        <v>2</v>
      </c>
      <c r="D1242" s="1">
        <v>41883</v>
      </c>
      <c r="E1242">
        <v>109</v>
      </c>
      <c r="F1242">
        <f>VLOOKUP(ORDERS[[#This Row],[ProductID]],Products[],4,FALSE)</f>
        <v>30</v>
      </c>
      <c r="G1242">
        <v>0</v>
      </c>
      <c r="H1242">
        <f>(ORDERS[[#This Row],[UnitsOrdered]]*ORDERS[[#This Row],[unit price]])-(ORDERS[[#This Row],[UnitsOrdered]]*ORDERS[[#This Row],[unit price]]*ORDERS[[#This Row],[Discount]])</f>
        <v>3270</v>
      </c>
      <c r="I1242" t="str">
        <f>VLOOKUP(ORDERS[[#This Row],[CustomerID]],customers[],2,FALSE)</f>
        <v>Abracadaba Ink</v>
      </c>
      <c r="J1242" s="2" t="str">
        <f>VLOOKUP(ORDERS[[#This Row],[CustomerID]],customers[],4,FALSE)</f>
        <v>Salt Lake City</v>
      </c>
      <c r="K1242" s="2" t="str">
        <f>VLOOKUP(ORDERS[[#This Row],[ProductID]],Products[],3,FALSE)</f>
        <v>Both</v>
      </c>
      <c r="L1242" s="2">
        <f>DAY(ORDERS[[#This Row],[OrderDate]])</f>
        <v>1</v>
      </c>
      <c r="M1242" s="2">
        <f>YEAR(ORDERS[[#This Row],[OrderDate]])</f>
        <v>2014</v>
      </c>
    </row>
    <row r="1243" spans="1:13" x14ac:dyDescent="0.3">
      <c r="A1243">
        <v>1242</v>
      </c>
      <c r="B1243">
        <v>7</v>
      </c>
      <c r="C1243">
        <v>1</v>
      </c>
      <c r="D1243" s="1">
        <v>41884</v>
      </c>
      <c r="E1243">
        <v>86</v>
      </c>
      <c r="F1243">
        <f>VLOOKUP(ORDERS[[#This Row],[ProductID]],Products[],4,FALSE)</f>
        <v>20</v>
      </c>
      <c r="G1243">
        <v>0</v>
      </c>
      <c r="H1243">
        <f>(ORDERS[[#This Row],[UnitsOrdered]]*ORDERS[[#This Row],[unit price]])-(ORDERS[[#This Row],[UnitsOrdered]]*ORDERS[[#This Row],[unit price]]*ORDERS[[#This Row],[Discount]])</f>
        <v>1720</v>
      </c>
      <c r="I1243" t="str">
        <f>VLOOKUP(ORDERS[[#This Row],[CustomerID]],customers[],2,FALSE)</f>
        <v>The Shirt on Your Back</v>
      </c>
      <c r="J1243" s="2" t="str">
        <f>VLOOKUP(ORDERS[[#This Row],[CustomerID]],customers[],4,FALSE)</f>
        <v>Bonners Ferry</v>
      </c>
      <c r="K1243" s="2" t="str">
        <f>VLOOKUP(ORDERS[[#This Row],[ProductID]],Products[],3,FALSE)</f>
        <v>Both</v>
      </c>
      <c r="L1243" s="2">
        <f>DAY(ORDERS[[#This Row],[OrderDate]])</f>
        <v>2</v>
      </c>
      <c r="M1243" s="2">
        <f>YEAR(ORDERS[[#This Row],[OrderDate]])</f>
        <v>2014</v>
      </c>
    </row>
    <row r="1244" spans="1:13" x14ac:dyDescent="0.3">
      <c r="A1244">
        <v>1243</v>
      </c>
      <c r="B1244">
        <v>4</v>
      </c>
      <c r="C1244">
        <v>4</v>
      </c>
      <c r="D1244" s="1">
        <v>41885</v>
      </c>
      <c r="E1244">
        <v>140</v>
      </c>
      <c r="F1244">
        <f>VLOOKUP(ORDERS[[#This Row],[ProductID]],Products[],4,FALSE)</f>
        <v>30</v>
      </c>
      <c r="G1244">
        <v>0</v>
      </c>
      <c r="H1244">
        <f>(ORDERS[[#This Row],[UnitsOrdered]]*ORDERS[[#This Row],[unit price]])-(ORDERS[[#This Row],[UnitsOrdered]]*ORDERS[[#This Row],[unit price]]*ORDERS[[#This Row],[Discount]])</f>
        <v>4200</v>
      </c>
      <c r="I1244" t="str">
        <f>VLOOKUP(ORDERS[[#This Row],[CustomerID]],customers[],2,FALSE)</f>
        <v>Tshirt Unlimited</v>
      </c>
      <c r="J1244" s="2" t="str">
        <f>VLOOKUP(ORDERS[[#This Row],[CustomerID]],customers[],4,FALSE)</f>
        <v>Phoenix</v>
      </c>
      <c r="K1244" s="2" t="str">
        <f>VLOOKUP(ORDERS[[#This Row],[ProductID]],Products[],3,FALSE)</f>
        <v>Both</v>
      </c>
      <c r="L1244" s="2">
        <f>DAY(ORDERS[[#This Row],[OrderDate]])</f>
        <v>3</v>
      </c>
      <c r="M1244" s="2">
        <f>YEAR(ORDERS[[#This Row],[OrderDate]])</f>
        <v>2014</v>
      </c>
    </row>
    <row r="1245" spans="1:13" x14ac:dyDescent="0.3">
      <c r="A1245">
        <v>1244</v>
      </c>
      <c r="B1245">
        <v>7</v>
      </c>
      <c r="C1245">
        <v>5</v>
      </c>
      <c r="D1245" s="1">
        <v>41885</v>
      </c>
      <c r="E1245">
        <v>119</v>
      </c>
      <c r="F1245">
        <f>VLOOKUP(ORDERS[[#This Row],[ProductID]],Products[],4,FALSE)</f>
        <v>16</v>
      </c>
      <c r="G1245">
        <v>0</v>
      </c>
      <c r="H1245">
        <f>(ORDERS[[#This Row],[UnitsOrdered]]*ORDERS[[#This Row],[unit price]])-(ORDERS[[#This Row],[UnitsOrdered]]*ORDERS[[#This Row],[unit price]]*ORDERS[[#This Row],[Discount]])</f>
        <v>1904</v>
      </c>
      <c r="I1245" t="str">
        <f>VLOOKUP(ORDERS[[#This Row],[CustomerID]],customers[],2,FALSE)</f>
        <v>The Shirt on Your Back</v>
      </c>
      <c r="J1245" s="2" t="str">
        <f>VLOOKUP(ORDERS[[#This Row],[CustomerID]],customers[],4,FALSE)</f>
        <v>Bonners Ferry</v>
      </c>
      <c r="K1245" s="2" t="str">
        <f>VLOOKUP(ORDERS[[#This Row],[ProductID]],Products[],3,FALSE)</f>
        <v>Female</v>
      </c>
      <c r="L1245" s="2">
        <f>DAY(ORDERS[[#This Row],[OrderDate]])</f>
        <v>3</v>
      </c>
      <c r="M1245" s="2">
        <f>YEAR(ORDERS[[#This Row],[OrderDate]])</f>
        <v>2014</v>
      </c>
    </row>
    <row r="1246" spans="1:13" x14ac:dyDescent="0.3">
      <c r="A1246">
        <v>1245</v>
      </c>
      <c r="B1246">
        <v>2</v>
      </c>
      <c r="C1246">
        <v>10</v>
      </c>
      <c r="D1246" s="1">
        <v>41886</v>
      </c>
      <c r="E1246">
        <v>71</v>
      </c>
      <c r="F1246">
        <f>VLOOKUP(ORDERS[[#This Row],[ProductID]],Products[],4,FALSE)</f>
        <v>35</v>
      </c>
      <c r="G1246">
        <v>0</v>
      </c>
      <c r="H1246">
        <f>(ORDERS[[#This Row],[UnitsOrdered]]*ORDERS[[#This Row],[unit price]])-(ORDERS[[#This Row],[UnitsOrdered]]*ORDERS[[#This Row],[unit price]]*ORDERS[[#This Row],[Discount]])</f>
        <v>2485</v>
      </c>
      <c r="I1246" t="str">
        <f>VLOOKUP(ORDERS[[#This Row],[CustomerID]],customers[],2,FALSE)</f>
        <v>A Shirts Life</v>
      </c>
      <c r="J1246" s="2" t="str">
        <f>VLOOKUP(ORDERS[[#This Row],[CustomerID]],customers[],4,FALSE)</f>
        <v>Portland</v>
      </c>
      <c r="K1246" s="2" t="str">
        <f>VLOOKUP(ORDERS[[#This Row],[ProductID]],Products[],3,FALSE)</f>
        <v>Male</v>
      </c>
      <c r="L1246" s="2">
        <f>DAY(ORDERS[[#This Row],[OrderDate]])</f>
        <v>4</v>
      </c>
      <c r="M1246" s="2">
        <f>YEAR(ORDERS[[#This Row],[OrderDate]])</f>
        <v>2014</v>
      </c>
    </row>
    <row r="1247" spans="1:13" x14ac:dyDescent="0.3">
      <c r="A1247">
        <v>1246</v>
      </c>
      <c r="B1247">
        <v>4</v>
      </c>
      <c r="C1247">
        <v>9</v>
      </c>
      <c r="D1247" s="1">
        <v>41886</v>
      </c>
      <c r="E1247">
        <v>31</v>
      </c>
      <c r="F1247">
        <f>VLOOKUP(ORDERS[[#This Row],[ProductID]],Products[],4,FALSE)</f>
        <v>25</v>
      </c>
      <c r="G1247">
        <v>0</v>
      </c>
      <c r="H1247">
        <f>(ORDERS[[#This Row],[UnitsOrdered]]*ORDERS[[#This Row],[unit price]])-(ORDERS[[#This Row],[UnitsOrdered]]*ORDERS[[#This Row],[unit price]]*ORDERS[[#This Row],[Discount]])</f>
        <v>775</v>
      </c>
      <c r="I1247" t="str">
        <f>VLOOKUP(ORDERS[[#This Row],[CustomerID]],customers[],2,FALSE)</f>
        <v>Tshirt Unlimited</v>
      </c>
      <c r="J1247" s="2" t="str">
        <f>VLOOKUP(ORDERS[[#This Row],[CustomerID]],customers[],4,FALSE)</f>
        <v>Phoenix</v>
      </c>
      <c r="K1247" s="2" t="str">
        <f>VLOOKUP(ORDERS[[#This Row],[ProductID]],Products[],3,FALSE)</f>
        <v>Male</v>
      </c>
      <c r="L1247" s="2">
        <f>DAY(ORDERS[[#This Row],[OrderDate]])</f>
        <v>4</v>
      </c>
      <c r="M1247" s="2">
        <f>YEAR(ORDERS[[#This Row],[OrderDate]])</f>
        <v>2014</v>
      </c>
    </row>
    <row r="1248" spans="1:13" x14ac:dyDescent="0.3">
      <c r="A1248">
        <v>1247</v>
      </c>
      <c r="B1248">
        <v>5</v>
      </c>
      <c r="C1248">
        <v>2</v>
      </c>
      <c r="D1248" s="1">
        <v>41888</v>
      </c>
      <c r="E1248">
        <v>77</v>
      </c>
      <c r="F1248">
        <f>VLOOKUP(ORDERS[[#This Row],[ProductID]],Products[],4,FALSE)</f>
        <v>30</v>
      </c>
      <c r="G1248">
        <v>0</v>
      </c>
      <c r="H1248">
        <f>(ORDERS[[#This Row],[UnitsOrdered]]*ORDERS[[#This Row],[unit price]])-(ORDERS[[#This Row],[UnitsOrdered]]*ORDERS[[#This Row],[unit price]]*ORDERS[[#This Row],[Discount]])</f>
        <v>2310</v>
      </c>
      <c r="I1248" t="str">
        <f>VLOOKUP(ORDERS[[#This Row],[CustomerID]],customers[],2,FALSE)</f>
        <v>Rags to Riches</v>
      </c>
      <c r="J1248" s="2" t="str">
        <f>VLOOKUP(ORDERS[[#This Row],[CustomerID]],customers[],4,FALSE)</f>
        <v>Las Vegas</v>
      </c>
      <c r="K1248" s="2" t="str">
        <f>VLOOKUP(ORDERS[[#This Row],[ProductID]],Products[],3,FALSE)</f>
        <v>Both</v>
      </c>
      <c r="L1248" s="2">
        <f>DAY(ORDERS[[#This Row],[OrderDate]])</f>
        <v>6</v>
      </c>
      <c r="M1248" s="2">
        <f>YEAR(ORDERS[[#This Row],[OrderDate]])</f>
        <v>2014</v>
      </c>
    </row>
    <row r="1249" spans="1:13" x14ac:dyDescent="0.3">
      <c r="A1249">
        <v>1248</v>
      </c>
      <c r="B1249">
        <v>7</v>
      </c>
      <c r="C1249">
        <v>3</v>
      </c>
      <c r="D1249" s="1">
        <v>41888</v>
      </c>
      <c r="E1249">
        <v>38</v>
      </c>
      <c r="F1249">
        <f>VLOOKUP(ORDERS[[#This Row],[ProductID]],Products[],4,FALSE)</f>
        <v>22</v>
      </c>
      <c r="G1249">
        <v>0</v>
      </c>
      <c r="H1249">
        <f>(ORDERS[[#This Row],[UnitsOrdered]]*ORDERS[[#This Row],[unit price]])-(ORDERS[[#This Row],[UnitsOrdered]]*ORDERS[[#This Row],[unit price]]*ORDERS[[#This Row],[Discount]])</f>
        <v>836</v>
      </c>
      <c r="I1249" t="str">
        <f>VLOOKUP(ORDERS[[#This Row],[CustomerID]],customers[],2,FALSE)</f>
        <v>The Shirt on Your Back</v>
      </c>
      <c r="J1249" s="2" t="str">
        <f>VLOOKUP(ORDERS[[#This Row],[CustomerID]],customers[],4,FALSE)</f>
        <v>Bonners Ferry</v>
      </c>
      <c r="K1249" s="2" t="str">
        <f>VLOOKUP(ORDERS[[#This Row],[ProductID]],Products[],3,FALSE)</f>
        <v>Both</v>
      </c>
      <c r="L1249" s="2">
        <f>DAY(ORDERS[[#This Row],[OrderDate]])</f>
        <v>6</v>
      </c>
      <c r="M1249" s="2">
        <f>YEAR(ORDERS[[#This Row],[OrderDate]])</f>
        <v>2014</v>
      </c>
    </row>
    <row r="1250" spans="1:13" x14ac:dyDescent="0.3">
      <c r="A1250">
        <v>1249</v>
      </c>
      <c r="B1250">
        <v>7</v>
      </c>
      <c r="C1250">
        <v>4</v>
      </c>
      <c r="D1250" s="1">
        <v>41888</v>
      </c>
      <c r="E1250">
        <v>101</v>
      </c>
      <c r="F1250">
        <f>VLOOKUP(ORDERS[[#This Row],[ProductID]],Products[],4,FALSE)</f>
        <v>30</v>
      </c>
      <c r="G1250">
        <v>0</v>
      </c>
      <c r="H1250">
        <f>(ORDERS[[#This Row],[UnitsOrdered]]*ORDERS[[#This Row],[unit price]])-(ORDERS[[#This Row],[UnitsOrdered]]*ORDERS[[#This Row],[unit price]]*ORDERS[[#This Row],[Discount]])</f>
        <v>3030</v>
      </c>
      <c r="I1250" t="str">
        <f>VLOOKUP(ORDERS[[#This Row],[CustomerID]],customers[],2,FALSE)</f>
        <v>The Shirt on Your Back</v>
      </c>
      <c r="J1250" s="2" t="str">
        <f>VLOOKUP(ORDERS[[#This Row],[CustomerID]],customers[],4,FALSE)</f>
        <v>Bonners Ferry</v>
      </c>
      <c r="K1250" s="2" t="str">
        <f>VLOOKUP(ORDERS[[#This Row],[ProductID]],Products[],3,FALSE)</f>
        <v>Both</v>
      </c>
      <c r="L1250" s="2">
        <f>DAY(ORDERS[[#This Row],[OrderDate]])</f>
        <v>6</v>
      </c>
      <c r="M1250" s="2">
        <f>YEAR(ORDERS[[#This Row],[OrderDate]])</f>
        <v>2014</v>
      </c>
    </row>
    <row r="1251" spans="1:13" x14ac:dyDescent="0.3">
      <c r="A1251">
        <v>1250</v>
      </c>
      <c r="B1251">
        <v>7</v>
      </c>
      <c r="C1251">
        <v>5</v>
      </c>
      <c r="D1251" s="1">
        <v>41888</v>
      </c>
      <c r="E1251">
        <v>54</v>
      </c>
      <c r="F1251">
        <f>VLOOKUP(ORDERS[[#This Row],[ProductID]],Products[],4,FALSE)</f>
        <v>16</v>
      </c>
      <c r="G1251">
        <v>5.0000001000000002E-2</v>
      </c>
      <c r="H1251">
        <f>(ORDERS[[#This Row],[UnitsOrdered]]*ORDERS[[#This Row],[unit price]])-(ORDERS[[#This Row],[UnitsOrdered]]*ORDERS[[#This Row],[unit price]]*ORDERS[[#This Row],[Discount]])</f>
        <v>820.799999136</v>
      </c>
      <c r="I1251" t="str">
        <f>VLOOKUP(ORDERS[[#This Row],[CustomerID]],customers[],2,FALSE)</f>
        <v>The Shirt on Your Back</v>
      </c>
      <c r="J1251" s="2" t="str">
        <f>VLOOKUP(ORDERS[[#This Row],[CustomerID]],customers[],4,FALSE)</f>
        <v>Bonners Ferry</v>
      </c>
      <c r="K1251" s="2" t="str">
        <f>VLOOKUP(ORDERS[[#This Row],[ProductID]],Products[],3,FALSE)</f>
        <v>Female</v>
      </c>
      <c r="L1251" s="2">
        <f>DAY(ORDERS[[#This Row],[OrderDate]])</f>
        <v>6</v>
      </c>
      <c r="M1251" s="2">
        <f>YEAR(ORDERS[[#This Row],[OrderDate]])</f>
        <v>2014</v>
      </c>
    </row>
    <row r="1252" spans="1:13" x14ac:dyDescent="0.3">
      <c r="A1252">
        <v>1251</v>
      </c>
      <c r="B1252">
        <v>7</v>
      </c>
      <c r="C1252">
        <v>9</v>
      </c>
      <c r="D1252" s="1">
        <v>41890</v>
      </c>
      <c r="E1252">
        <v>97</v>
      </c>
      <c r="F1252">
        <f>VLOOKUP(ORDERS[[#This Row],[ProductID]],Products[],4,FALSE)</f>
        <v>25</v>
      </c>
      <c r="G1252">
        <v>0</v>
      </c>
      <c r="H1252">
        <f>(ORDERS[[#This Row],[UnitsOrdered]]*ORDERS[[#This Row],[unit price]])-(ORDERS[[#This Row],[UnitsOrdered]]*ORDERS[[#This Row],[unit price]]*ORDERS[[#This Row],[Discount]])</f>
        <v>2425</v>
      </c>
      <c r="I1252" t="str">
        <f>VLOOKUP(ORDERS[[#This Row],[CustomerID]],customers[],2,FALSE)</f>
        <v>The Shirt on Your Back</v>
      </c>
      <c r="J1252" s="2" t="str">
        <f>VLOOKUP(ORDERS[[#This Row],[CustomerID]],customers[],4,FALSE)</f>
        <v>Bonners Ferry</v>
      </c>
      <c r="K1252" s="2" t="str">
        <f>VLOOKUP(ORDERS[[#This Row],[ProductID]],Products[],3,FALSE)</f>
        <v>Male</v>
      </c>
      <c r="L1252" s="2">
        <f>DAY(ORDERS[[#This Row],[OrderDate]])</f>
        <v>8</v>
      </c>
      <c r="M1252" s="2">
        <f>YEAR(ORDERS[[#This Row],[OrderDate]])</f>
        <v>2014</v>
      </c>
    </row>
    <row r="1253" spans="1:13" x14ac:dyDescent="0.3">
      <c r="A1253">
        <v>1252</v>
      </c>
      <c r="B1253">
        <v>4</v>
      </c>
      <c r="C1253">
        <v>6</v>
      </c>
      <c r="D1253" s="1">
        <v>41891</v>
      </c>
      <c r="E1253">
        <v>92</v>
      </c>
      <c r="F1253">
        <f>VLOOKUP(ORDERS[[#This Row],[ProductID]],Products[],4,FALSE)</f>
        <v>28</v>
      </c>
      <c r="G1253">
        <v>0</v>
      </c>
      <c r="H1253">
        <f>(ORDERS[[#This Row],[UnitsOrdered]]*ORDERS[[#This Row],[unit price]])-(ORDERS[[#This Row],[UnitsOrdered]]*ORDERS[[#This Row],[unit price]]*ORDERS[[#This Row],[Discount]])</f>
        <v>2576</v>
      </c>
      <c r="I1253" t="str">
        <f>VLOOKUP(ORDERS[[#This Row],[CustomerID]],customers[],2,FALSE)</f>
        <v>Tshirt Unlimited</v>
      </c>
      <c r="J1253" s="2" t="str">
        <f>VLOOKUP(ORDERS[[#This Row],[CustomerID]],customers[],4,FALSE)</f>
        <v>Phoenix</v>
      </c>
      <c r="K1253" s="2" t="str">
        <f>VLOOKUP(ORDERS[[#This Row],[ProductID]],Products[],3,FALSE)</f>
        <v>Female</v>
      </c>
      <c r="L1253" s="2">
        <f>DAY(ORDERS[[#This Row],[OrderDate]])</f>
        <v>9</v>
      </c>
      <c r="M1253" s="2">
        <f>YEAR(ORDERS[[#This Row],[OrderDate]])</f>
        <v>2014</v>
      </c>
    </row>
    <row r="1254" spans="1:13" x14ac:dyDescent="0.3">
      <c r="A1254">
        <v>1253</v>
      </c>
      <c r="B1254">
        <v>5</v>
      </c>
      <c r="C1254">
        <v>3</v>
      </c>
      <c r="D1254" s="1">
        <v>41891</v>
      </c>
      <c r="E1254">
        <v>95</v>
      </c>
      <c r="F1254">
        <f>VLOOKUP(ORDERS[[#This Row],[ProductID]],Products[],4,FALSE)</f>
        <v>22</v>
      </c>
      <c r="G1254">
        <v>0</v>
      </c>
      <c r="H1254">
        <f>(ORDERS[[#This Row],[UnitsOrdered]]*ORDERS[[#This Row],[unit price]])-(ORDERS[[#This Row],[UnitsOrdered]]*ORDERS[[#This Row],[unit price]]*ORDERS[[#This Row],[Discount]])</f>
        <v>2090</v>
      </c>
      <c r="I1254" t="str">
        <f>VLOOKUP(ORDERS[[#This Row],[CustomerID]],customers[],2,FALSE)</f>
        <v>Rags to Riches</v>
      </c>
      <c r="J1254" s="2" t="str">
        <f>VLOOKUP(ORDERS[[#This Row],[CustomerID]],customers[],4,FALSE)</f>
        <v>Las Vegas</v>
      </c>
      <c r="K1254" s="2" t="str">
        <f>VLOOKUP(ORDERS[[#This Row],[ProductID]],Products[],3,FALSE)</f>
        <v>Both</v>
      </c>
      <c r="L1254" s="2">
        <f>DAY(ORDERS[[#This Row],[OrderDate]])</f>
        <v>9</v>
      </c>
      <c r="M1254" s="2">
        <f>YEAR(ORDERS[[#This Row],[OrderDate]])</f>
        <v>2014</v>
      </c>
    </row>
    <row r="1255" spans="1:13" x14ac:dyDescent="0.3">
      <c r="A1255">
        <v>1254</v>
      </c>
      <c r="B1255">
        <v>2</v>
      </c>
      <c r="C1255">
        <v>4</v>
      </c>
      <c r="D1255" s="1">
        <v>41892</v>
      </c>
      <c r="E1255">
        <v>124</v>
      </c>
      <c r="F1255">
        <f>VLOOKUP(ORDERS[[#This Row],[ProductID]],Products[],4,FALSE)</f>
        <v>30</v>
      </c>
      <c r="G1255">
        <v>0</v>
      </c>
      <c r="H1255">
        <f>(ORDERS[[#This Row],[UnitsOrdered]]*ORDERS[[#This Row],[unit price]])-(ORDERS[[#This Row],[UnitsOrdered]]*ORDERS[[#This Row],[unit price]]*ORDERS[[#This Row],[Discount]])</f>
        <v>3720</v>
      </c>
      <c r="I1255" t="str">
        <f>VLOOKUP(ORDERS[[#This Row],[CustomerID]],customers[],2,FALSE)</f>
        <v>A Shirts Life</v>
      </c>
      <c r="J1255" s="2" t="str">
        <f>VLOOKUP(ORDERS[[#This Row],[CustomerID]],customers[],4,FALSE)</f>
        <v>Portland</v>
      </c>
      <c r="K1255" s="2" t="str">
        <f>VLOOKUP(ORDERS[[#This Row],[ProductID]],Products[],3,FALSE)</f>
        <v>Both</v>
      </c>
      <c r="L1255" s="2">
        <f>DAY(ORDERS[[#This Row],[OrderDate]])</f>
        <v>10</v>
      </c>
      <c r="M1255" s="2">
        <f>YEAR(ORDERS[[#This Row],[OrderDate]])</f>
        <v>2014</v>
      </c>
    </row>
    <row r="1256" spans="1:13" x14ac:dyDescent="0.3">
      <c r="A1256">
        <v>1255</v>
      </c>
      <c r="B1256">
        <v>3</v>
      </c>
      <c r="C1256">
        <v>1</v>
      </c>
      <c r="D1256" s="1">
        <v>41893</v>
      </c>
      <c r="E1256">
        <v>50</v>
      </c>
      <c r="F1256">
        <f>VLOOKUP(ORDERS[[#This Row],[ProductID]],Products[],4,FALSE)</f>
        <v>20</v>
      </c>
      <c r="G1256">
        <v>0</v>
      </c>
      <c r="H1256">
        <f>(ORDERS[[#This Row],[UnitsOrdered]]*ORDERS[[#This Row],[unit price]])-(ORDERS[[#This Row],[UnitsOrdered]]*ORDERS[[#This Row],[unit price]]*ORDERS[[#This Row],[Discount]])</f>
        <v>1000</v>
      </c>
      <c r="I1256" t="str">
        <f>VLOOKUP(ORDERS[[#This Row],[CustomerID]],customers[],2,FALSE)</f>
        <v>Shirts R Us</v>
      </c>
      <c r="J1256" s="2" t="str">
        <f>VLOOKUP(ORDERS[[#This Row],[CustomerID]],customers[],4,FALSE)</f>
        <v>Los Angeles</v>
      </c>
      <c r="K1256" s="2" t="str">
        <f>VLOOKUP(ORDERS[[#This Row],[ProductID]],Products[],3,FALSE)</f>
        <v>Both</v>
      </c>
      <c r="L1256" s="2">
        <f>DAY(ORDERS[[#This Row],[OrderDate]])</f>
        <v>11</v>
      </c>
      <c r="M1256" s="2">
        <f>YEAR(ORDERS[[#This Row],[OrderDate]])</f>
        <v>2014</v>
      </c>
    </row>
    <row r="1257" spans="1:13" x14ac:dyDescent="0.3">
      <c r="A1257">
        <v>1256</v>
      </c>
      <c r="B1257">
        <v>3</v>
      </c>
      <c r="C1257">
        <v>3</v>
      </c>
      <c r="D1257" s="1">
        <v>41893</v>
      </c>
      <c r="E1257">
        <v>95</v>
      </c>
      <c r="F1257">
        <f>VLOOKUP(ORDERS[[#This Row],[ProductID]],Products[],4,FALSE)</f>
        <v>22</v>
      </c>
      <c r="G1257">
        <v>5.0000001000000002E-2</v>
      </c>
      <c r="H1257">
        <f>(ORDERS[[#This Row],[UnitsOrdered]]*ORDERS[[#This Row],[unit price]])-(ORDERS[[#This Row],[UnitsOrdered]]*ORDERS[[#This Row],[unit price]]*ORDERS[[#This Row],[Discount]])</f>
        <v>1985.49999791</v>
      </c>
      <c r="I1257" t="str">
        <f>VLOOKUP(ORDERS[[#This Row],[CustomerID]],customers[],2,FALSE)</f>
        <v>Shirts R Us</v>
      </c>
      <c r="J1257" s="2" t="str">
        <f>VLOOKUP(ORDERS[[#This Row],[CustomerID]],customers[],4,FALSE)</f>
        <v>Los Angeles</v>
      </c>
      <c r="K1257" s="2" t="str">
        <f>VLOOKUP(ORDERS[[#This Row],[ProductID]],Products[],3,FALSE)</f>
        <v>Both</v>
      </c>
      <c r="L1257" s="2">
        <f>DAY(ORDERS[[#This Row],[OrderDate]])</f>
        <v>11</v>
      </c>
      <c r="M1257" s="2">
        <f>YEAR(ORDERS[[#This Row],[OrderDate]])</f>
        <v>2014</v>
      </c>
    </row>
    <row r="1258" spans="1:13" x14ac:dyDescent="0.3">
      <c r="A1258">
        <v>1257</v>
      </c>
      <c r="B1258">
        <v>1</v>
      </c>
      <c r="C1258">
        <v>3</v>
      </c>
      <c r="D1258" s="1">
        <v>41894</v>
      </c>
      <c r="E1258">
        <v>83</v>
      </c>
      <c r="F1258">
        <f>VLOOKUP(ORDERS[[#This Row],[ProductID]],Products[],4,FALSE)</f>
        <v>22</v>
      </c>
      <c r="G1258">
        <v>0</v>
      </c>
      <c r="H1258">
        <f>(ORDERS[[#This Row],[UnitsOrdered]]*ORDERS[[#This Row],[unit price]])-(ORDERS[[#This Row],[UnitsOrdered]]*ORDERS[[#This Row],[unit price]]*ORDERS[[#This Row],[Discount]])</f>
        <v>1826</v>
      </c>
      <c r="I1258" t="str">
        <f>VLOOKUP(ORDERS[[#This Row],[CustomerID]],customers[],2,FALSE)</f>
        <v>Threads</v>
      </c>
      <c r="J1258" s="2" t="str">
        <f>VLOOKUP(ORDERS[[#This Row],[CustomerID]],customers[],4,FALSE)</f>
        <v>Seattle</v>
      </c>
      <c r="K1258" s="2" t="str">
        <f>VLOOKUP(ORDERS[[#This Row],[ProductID]],Products[],3,FALSE)</f>
        <v>Both</v>
      </c>
      <c r="L1258" s="2">
        <f>DAY(ORDERS[[#This Row],[OrderDate]])</f>
        <v>12</v>
      </c>
      <c r="M1258" s="2">
        <f>YEAR(ORDERS[[#This Row],[OrderDate]])</f>
        <v>2014</v>
      </c>
    </row>
    <row r="1259" spans="1:13" x14ac:dyDescent="0.3">
      <c r="A1259">
        <v>1258</v>
      </c>
      <c r="B1259">
        <v>3</v>
      </c>
      <c r="C1259">
        <v>10</v>
      </c>
      <c r="D1259" s="1">
        <v>41894</v>
      </c>
      <c r="E1259">
        <v>59</v>
      </c>
      <c r="F1259">
        <f>VLOOKUP(ORDERS[[#This Row],[ProductID]],Products[],4,FALSE)</f>
        <v>35</v>
      </c>
      <c r="G1259">
        <v>0</v>
      </c>
      <c r="H1259">
        <f>(ORDERS[[#This Row],[UnitsOrdered]]*ORDERS[[#This Row],[unit price]])-(ORDERS[[#This Row],[UnitsOrdered]]*ORDERS[[#This Row],[unit price]]*ORDERS[[#This Row],[Discount]])</f>
        <v>2065</v>
      </c>
      <c r="I1259" t="str">
        <f>VLOOKUP(ORDERS[[#This Row],[CustomerID]],customers[],2,FALSE)</f>
        <v>Shirts R Us</v>
      </c>
      <c r="J1259" s="2" t="str">
        <f>VLOOKUP(ORDERS[[#This Row],[CustomerID]],customers[],4,FALSE)</f>
        <v>Los Angeles</v>
      </c>
      <c r="K1259" s="2" t="str">
        <f>VLOOKUP(ORDERS[[#This Row],[ProductID]],Products[],3,FALSE)</f>
        <v>Male</v>
      </c>
      <c r="L1259" s="2">
        <f>DAY(ORDERS[[#This Row],[OrderDate]])</f>
        <v>12</v>
      </c>
      <c r="M1259" s="2">
        <f>YEAR(ORDERS[[#This Row],[OrderDate]])</f>
        <v>2014</v>
      </c>
    </row>
    <row r="1260" spans="1:13" x14ac:dyDescent="0.3">
      <c r="A1260">
        <v>1259</v>
      </c>
      <c r="B1260">
        <v>5</v>
      </c>
      <c r="C1260">
        <v>4</v>
      </c>
      <c r="D1260" s="1">
        <v>41894</v>
      </c>
      <c r="E1260">
        <v>64</v>
      </c>
      <c r="F1260">
        <f>VLOOKUP(ORDERS[[#This Row],[ProductID]],Products[],4,FALSE)</f>
        <v>30</v>
      </c>
      <c r="G1260">
        <v>0</v>
      </c>
      <c r="H1260">
        <f>(ORDERS[[#This Row],[UnitsOrdered]]*ORDERS[[#This Row],[unit price]])-(ORDERS[[#This Row],[UnitsOrdered]]*ORDERS[[#This Row],[unit price]]*ORDERS[[#This Row],[Discount]])</f>
        <v>1920</v>
      </c>
      <c r="I1260" t="str">
        <f>VLOOKUP(ORDERS[[#This Row],[CustomerID]],customers[],2,FALSE)</f>
        <v>Rags to Riches</v>
      </c>
      <c r="J1260" s="2" t="str">
        <f>VLOOKUP(ORDERS[[#This Row],[CustomerID]],customers[],4,FALSE)</f>
        <v>Las Vegas</v>
      </c>
      <c r="K1260" s="2" t="str">
        <f>VLOOKUP(ORDERS[[#This Row],[ProductID]],Products[],3,FALSE)</f>
        <v>Both</v>
      </c>
      <c r="L1260" s="2">
        <f>DAY(ORDERS[[#This Row],[OrderDate]])</f>
        <v>12</v>
      </c>
      <c r="M1260" s="2">
        <f>YEAR(ORDERS[[#This Row],[OrderDate]])</f>
        <v>2014</v>
      </c>
    </row>
    <row r="1261" spans="1:13" x14ac:dyDescent="0.3">
      <c r="A1261">
        <v>1260</v>
      </c>
      <c r="B1261">
        <v>1</v>
      </c>
      <c r="C1261">
        <v>1</v>
      </c>
      <c r="D1261" s="1">
        <v>41895</v>
      </c>
      <c r="E1261">
        <v>49</v>
      </c>
      <c r="F1261">
        <f>VLOOKUP(ORDERS[[#This Row],[ProductID]],Products[],4,FALSE)</f>
        <v>20</v>
      </c>
      <c r="G1261">
        <v>0</v>
      </c>
      <c r="H1261">
        <f>(ORDERS[[#This Row],[UnitsOrdered]]*ORDERS[[#This Row],[unit price]])-(ORDERS[[#This Row],[UnitsOrdered]]*ORDERS[[#This Row],[unit price]]*ORDERS[[#This Row],[Discount]])</f>
        <v>980</v>
      </c>
      <c r="I1261" t="str">
        <f>VLOOKUP(ORDERS[[#This Row],[CustomerID]],customers[],2,FALSE)</f>
        <v>Threads</v>
      </c>
      <c r="J1261" s="2" t="str">
        <f>VLOOKUP(ORDERS[[#This Row],[CustomerID]],customers[],4,FALSE)</f>
        <v>Seattle</v>
      </c>
      <c r="K1261" s="2" t="str">
        <f>VLOOKUP(ORDERS[[#This Row],[ProductID]],Products[],3,FALSE)</f>
        <v>Both</v>
      </c>
      <c r="L1261" s="2">
        <f>DAY(ORDERS[[#This Row],[OrderDate]])</f>
        <v>13</v>
      </c>
      <c r="M1261" s="2">
        <f>YEAR(ORDERS[[#This Row],[OrderDate]])</f>
        <v>2014</v>
      </c>
    </row>
    <row r="1262" spans="1:13" x14ac:dyDescent="0.3">
      <c r="A1262">
        <v>1261</v>
      </c>
      <c r="B1262">
        <v>5</v>
      </c>
      <c r="C1262">
        <v>9</v>
      </c>
      <c r="D1262" s="1">
        <v>41895</v>
      </c>
      <c r="E1262">
        <v>130</v>
      </c>
      <c r="F1262">
        <f>VLOOKUP(ORDERS[[#This Row],[ProductID]],Products[],4,FALSE)</f>
        <v>25</v>
      </c>
      <c r="G1262">
        <v>5.0000001000000002E-2</v>
      </c>
      <c r="H1262">
        <f>(ORDERS[[#This Row],[UnitsOrdered]]*ORDERS[[#This Row],[unit price]])-(ORDERS[[#This Row],[UnitsOrdered]]*ORDERS[[#This Row],[unit price]]*ORDERS[[#This Row],[Discount]])</f>
        <v>3087.4999967499998</v>
      </c>
      <c r="I1262" t="str">
        <f>VLOOKUP(ORDERS[[#This Row],[CustomerID]],customers[],2,FALSE)</f>
        <v>Rags to Riches</v>
      </c>
      <c r="J1262" s="2" t="str">
        <f>VLOOKUP(ORDERS[[#This Row],[CustomerID]],customers[],4,FALSE)</f>
        <v>Las Vegas</v>
      </c>
      <c r="K1262" s="2" t="str">
        <f>VLOOKUP(ORDERS[[#This Row],[ProductID]],Products[],3,FALSE)</f>
        <v>Male</v>
      </c>
      <c r="L1262" s="2">
        <f>DAY(ORDERS[[#This Row],[OrderDate]])</f>
        <v>13</v>
      </c>
      <c r="M1262" s="2">
        <f>YEAR(ORDERS[[#This Row],[OrderDate]])</f>
        <v>2014</v>
      </c>
    </row>
    <row r="1263" spans="1:13" x14ac:dyDescent="0.3">
      <c r="A1263">
        <v>1262</v>
      </c>
      <c r="B1263">
        <v>1</v>
      </c>
      <c r="C1263">
        <v>3</v>
      </c>
      <c r="D1263" s="1">
        <v>41898</v>
      </c>
      <c r="E1263">
        <v>80</v>
      </c>
      <c r="F1263">
        <f>VLOOKUP(ORDERS[[#This Row],[ProductID]],Products[],4,FALSE)</f>
        <v>22</v>
      </c>
      <c r="G1263">
        <v>0</v>
      </c>
      <c r="H1263">
        <f>(ORDERS[[#This Row],[UnitsOrdered]]*ORDERS[[#This Row],[unit price]])-(ORDERS[[#This Row],[UnitsOrdered]]*ORDERS[[#This Row],[unit price]]*ORDERS[[#This Row],[Discount]])</f>
        <v>1760</v>
      </c>
      <c r="I1263" t="str">
        <f>VLOOKUP(ORDERS[[#This Row],[CustomerID]],customers[],2,FALSE)</f>
        <v>Threads</v>
      </c>
      <c r="J1263" s="2" t="str">
        <f>VLOOKUP(ORDERS[[#This Row],[CustomerID]],customers[],4,FALSE)</f>
        <v>Seattle</v>
      </c>
      <c r="K1263" s="2" t="str">
        <f>VLOOKUP(ORDERS[[#This Row],[ProductID]],Products[],3,FALSE)</f>
        <v>Both</v>
      </c>
      <c r="L1263" s="2">
        <f>DAY(ORDERS[[#This Row],[OrderDate]])</f>
        <v>16</v>
      </c>
      <c r="M1263" s="2">
        <f>YEAR(ORDERS[[#This Row],[OrderDate]])</f>
        <v>2014</v>
      </c>
    </row>
    <row r="1264" spans="1:13" x14ac:dyDescent="0.3">
      <c r="A1264">
        <v>1263</v>
      </c>
      <c r="B1264">
        <v>5</v>
      </c>
      <c r="C1264">
        <v>8</v>
      </c>
      <c r="D1264" s="1">
        <v>41898</v>
      </c>
      <c r="E1264">
        <v>72</v>
      </c>
      <c r="F1264">
        <f>VLOOKUP(ORDERS[[#This Row],[ProductID]],Products[],4,FALSE)</f>
        <v>27</v>
      </c>
      <c r="G1264">
        <v>0</v>
      </c>
      <c r="H1264">
        <f>(ORDERS[[#This Row],[UnitsOrdered]]*ORDERS[[#This Row],[unit price]])-(ORDERS[[#This Row],[UnitsOrdered]]*ORDERS[[#This Row],[unit price]]*ORDERS[[#This Row],[Discount]])</f>
        <v>1944</v>
      </c>
      <c r="I1264" t="str">
        <f>VLOOKUP(ORDERS[[#This Row],[CustomerID]],customers[],2,FALSE)</f>
        <v>Rags to Riches</v>
      </c>
      <c r="J1264" s="2" t="str">
        <f>VLOOKUP(ORDERS[[#This Row],[CustomerID]],customers[],4,FALSE)</f>
        <v>Las Vegas</v>
      </c>
      <c r="K1264" s="2" t="str">
        <f>VLOOKUP(ORDERS[[#This Row],[ProductID]],Products[],3,FALSE)</f>
        <v>Female</v>
      </c>
      <c r="L1264" s="2">
        <f>DAY(ORDERS[[#This Row],[OrderDate]])</f>
        <v>16</v>
      </c>
      <c r="M1264" s="2">
        <f>YEAR(ORDERS[[#This Row],[OrderDate]])</f>
        <v>2014</v>
      </c>
    </row>
    <row r="1265" spans="1:13" x14ac:dyDescent="0.3">
      <c r="A1265">
        <v>1264</v>
      </c>
      <c r="B1265">
        <v>5</v>
      </c>
      <c r="C1265">
        <v>2</v>
      </c>
      <c r="D1265" s="1">
        <v>41899</v>
      </c>
      <c r="E1265">
        <v>57</v>
      </c>
      <c r="F1265">
        <f>VLOOKUP(ORDERS[[#This Row],[ProductID]],Products[],4,FALSE)</f>
        <v>30</v>
      </c>
      <c r="G1265">
        <v>0</v>
      </c>
      <c r="H1265">
        <f>(ORDERS[[#This Row],[UnitsOrdered]]*ORDERS[[#This Row],[unit price]])-(ORDERS[[#This Row],[UnitsOrdered]]*ORDERS[[#This Row],[unit price]]*ORDERS[[#This Row],[Discount]])</f>
        <v>1710</v>
      </c>
      <c r="I1265" t="str">
        <f>VLOOKUP(ORDERS[[#This Row],[CustomerID]],customers[],2,FALSE)</f>
        <v>Rags to Riches</v>
      </c>
      <c r="J1265" s="2" t="str">
        <f>VLOOKUP(ORDERS[[#This Row],[CustomerID]],customers[],4,FALSE)</f>
        <v>Las Vegas</v>
      </c>
      <c r="K1265" s="2" t="str">
        <f>VLOOKUP(ORDERS[[#This Row],[ProductID]],Products[],3,FALSE)</f>
        <v>Both</v>
      </c>
      <c r="L1265" s="2">
        <f>DAY(ORDERS[[#This Row],[OrderDate]])</f>
        <v>17</v>
      </c>
      <c r="M1265" s="2">
        <f>YEAR(ORDERS[[#This Row],[OrderDate]])</f>
        <v>2014</v>
      </c>
    </row>
    <row r="1266" spans="1:13" x14ac:dyDescent="0.3">
      <c r="A1266">
        <v>1265</v>
      </c>
      <c r="B1266">
        <v>6</v>
      </c>
      <c r="C1266">
        <v>6</v>
      </c>
      <c r="D1266" s="1">
        <v>41899</v>
      </c>
      <c r="E1266">
        <v>91</v>
      </c>
      <c r="F1266">
        <f>VLOOKUP(ORDERS[[#This Row],[ProductID]],Products[],4,FALSE)</f>
        <v>28</v>
      </c>
      <c r="G1266">
        <v>0</v>
      </c>
      <c r="H1266">
        <f>(ORDERS[[#This Row],[UnitsOrdered]]*ORDERS[[#This Row],[unit price]])-(ORDERS[[#This Row],[UnitsOrdered]]*ORDERS[[#This Row],[unit price]]*ORDERS[[#This Row],[Discount]])</f>
        <v>2548</v>
      </c>
      <c r="I1266" t="str">
        <f>VLOOKUP(ORDERS[[#This Row],[CustomerID]],customers[],2,FALSE)</f>
        <v>Abracadaba Ink</v>
      </c>
      <c r="J1266" s="2" t="str">
        <f>VLOOKUP(ORDERS[[#This Row],[CustomerID]],customers[],4,FALSE)</f>
        <v>Salt Lake City</v>
      </c>
      <c r="K1266" s="2" t="str">
        <f>VLOOKUP(ORDERS[[#This Row],[ProductID]],Products[],3,FALSE)</f>
        <v>Female</v>
      </c>
      <c r="L1266" s="2">
        <f>DAY(ORDERS[[#This Row],[OrderDate]])</f>
        <v>17</v>
      </c>
      <c r="M1266" s="2">
        <f>YEAR(ORDERS[[#This Row],[OrderDate]])</f>
        <v>2014</v>
      </c>
    </row>
    <row r="1267" spans="1:13" x14ac:dyDescent="0.3">
      <c r="A1267">
        <v>1266</v>
      </c>
      <c r="B1267">
        <v>2</v>
      </c>
      <c r="C1267">
        <v>8</v>
      </c>
      <c r="D1267" s="1">
        <v>41900</v>
      </c>
      <c r="E1267">
        <v>133</v>
      </c>
      <c r="F1267">
        <f>VLOOKUP(ORDERS[[#This Row],[ProductID]],Products[],4,FALSE)</f>
        <v>27</v>
      </c>
      <c r="G1267">
        <v>0</v>
      </c>
      <c r="H1267">
        <f>(ORDERS[[#This Row],[UnitsOrdered]]*ORDERS[[#This Row],[unit price]])-(ORDERS[[#This Row],[UnitsOrdered]]*ORDERS[[#This Row],[unit price]]*ORDERS[[#This Row],[Discount]])</f>
        <v>3591</v>
      </c>
      <c r="I1267" t="str">
        <f>VLOOKUP(ORDERS[[#This Row],[CustomerID]],customers[],2,FALSE)</f>
        <v>A Shirts Life</v>
      </c>
      <c r="J1267" s="2" t="str">
        <f>VLOOKUP(ORDERS[[#This Row],[CustomerID]],customers[],4,FALSE)</f>
        <v>Portland</v>
      </c>
      <c r="K1267" s="2" t="str">
        <f>VLOOKUP(ORDERS[[#This Row],[ProductID]],Products[],3,FALSE)</f>
        <v>Female</v>
      </c>
      <c r="L1267" s="2">
        <f>DAY(ORDERS[[#This Row],[OrderDate]])</f>
        <v>18</v>
      </c>
      <c r="M1267" s="2">
        <f>YEAR(ORDERS[[#This Row],[OrderDate]])</f>
        <v>2014</v>
      </c>
    </row>
    <row r="1268" spans="1:13" x14ac:dyDescent="0.3">
      <c r="A1268">
        <v>1267</v>
      </c>
      <c r="B1268">
        <v>2</v>
      </c>
      <c r="C1268">
        <v>2</v>
      </c>
      <c r="D1268" s="1">
        <v>41901</v>
      </c>
      <c r="E1268">
        <v>126</v>
      </c>
      <c r="F1268">
        <f>VLOOKUP(ORDERS[[#This Row],[ProductID]],Products[],4,FALSE)</f>
        <v>30</v>
      </c>
      <c r="G1268">
        <v>5.0000001000000002E-2</v>
      </c>
      <c r="H1268">
        <f>(ORDERS[[#This Row],[UnitsOrdered]]*ORDERS[[#This Row],[unit price]])-(ORDERS[[#This Row],[UnitsOrdered]]*ORDERS[[#This Row],[unit price]]*ORDERS[[#This Row],[Discount]])</f>
        <v>3590.99999622</v>
      </c>
      <c r="I1268" t="str">
        <f>VLOOKUP(ORDERS[[#This Row],[CustomerID]],customers[],2,FALSE)</f>
        <v>A Shirts Life</v>
      </c>
      <c r="J1268" s="2" t="str">
        <f>VLOOKUP(ORDERS[[#This Row],[CustomerID]],customers[],4,FALSE)</f>
        <v>Portland</v>
      </c>
      <c r="K1268" s="2" t="str">
        <f>VLOOKUP(ORDERS[[#This Row],[ProductID]],Products[],3,FALSE)</f>
        <v>Both</v>
      </c>
      <c r="L1268" s="2">
        <f>DAY(ORDERS[[#This Row],[OrderDate]])</f>
        <v>19</v>
      </c>
      <c r="M1268" s="2">
        <f>YEAR(ORDERS[[#This Row],[OrderDate]])</f>
        <v>2014</v>
      </c>
    </row>
    <row r="1269" spans="1:13" x14ac:dyDescent="0.3">
      <c r="A1269">
        <v>1268</v>
      </c>
      <c r="B1269">
        <v>3</v>
      </c>
      <c r="C1269">
        <v>3</v>
      </c>
      <c r="D1269" s="1">
        <v>41902</v>
      </c>
      <c r="E1269">
        <v>103</v>
      </c>
      <c r="F1269">
        <f>VLOOKUP(ORDERS[[#This Row],[ProductID]],Products[],4,FALSE)</f>
        <v>22</v>
      </c>
      <c r="G1269">
        <v>0</v>
      </c>
      <c r="H1269">
        <f>(ORDERS[[#This Row],[UnitsOrdered]]*ORDERS[[#This Row],[unit price]])-(ORDERS[[#This Row],[UnitsOrdered]]*ORDERS[[#This Row],[unit price]]*ORDERS[[#This Row],[Discount]])</f>
        <v>2266</v>
      </c>
      <c r="I1269" t="str">
        <f>VLOOKUP(ORDERS[[#This Row],[CustomerID]],customers[],2,FALSE)</f>
        <v>Shirts R Us</v>
      </c>
      <c r="J1269" s="2" t="str">
        <f>VLOOKUP(ORDERS[[#This Row],[CustomerID]],customers[],4,FALSE)</f>
        <v>Los Angeles</v>
      </c>
      <c r="K1269" s="2" t="str">
        <f>VLOOKUP(ORDERS[[#This Row],[ProductID]],Products[],3,FALSE)</f>
        <v>Both</v>
      </c>
      <c r="L1269" s="2">
        <f>DAY(ORDERS[[#This Row],[OrderDate]])</f>
        <v>20</v>
      </c>
      <c r="M1269" s="2">
        <f>YEAR(ORDERS[[#This Row],[OrderDate]])</f>
        <v>2014</v>
      </c>
    </row>
    <row r="1270" spans="1:13" x14ac:dyDescent="0.3">
      <c r="A1270">
        <v>1269</v>
      </c>
      <c r="B1270">
        <v>3</v>
      </c>
      <c r="C1270">
        <v>8</v>
      </c>
      <c r="D1270" s="1">
        <v>41902</v>
      </c>
      <c r="E1270">
        <v>140</v>
      </c>
      <c r="F1270">
        <f>VLOOKUP(ORDERS[[#This Row],[ProductID]],Products[],4,FALSE)</f>
        <v>27</v>
      </c>
      <c r="G1270">
        <v>0</v>
      </c>
      <c r="H1270">
        <f>(ORDERS[[#This Row],[UnitsOrdered]]*ORDERS[[#This Row],[unit price]])-(ORDERS[[#This Row],[UnitsOrdered]]*ORDERS[[#This Row],[unit price]]*ORDERS[[#This Row],[Discount]])</f>
        <v>3780</v>
      </c>
      <c r="I1270" t="str">
        <f>VLOOKUP(ORDERS[[#This Row],[CustomerID]],customers[],2,FALSE)</f>
        <v>Shirts R Us</v>
      </c>
      <c r="J1270" s="2" t="str">
        <f>VLOOKUP(ORDERS[[#This Row],[CustomerID]],customers[],4,FALSE)</f>
        <v>Los Angeles</v>
      </c>
      <c r="K1270" s="2" t="str">
        <f>VLOOKUP(ORDERS[[#This Row],[ProductID]],Products[],3,FALSE)</f>
        <v>Female</v>
      </c>
      <c r="L1270" s="2">
        <f>DAY(ORDERS[[#This Row],[OrderDate]])</f>
        <v>20</v>
      </c>
      <c r="M1270" s="2">
        <f>YEAR(ORDERS[[#This Row],[OrderDate]])</f>
        <v>2014</v>
      </c>
    </row>
    <row r="1271" spans="1:13" x14ac:dyDescent="0.3">
      <c r="A1271">
        <v>1270</v>
      </c>
      <c r="B1271">
        <v>6</v>
      </c>
      <c r="C1271">
        <v>10</v>
      </c>
      <c r="D1271" s="1">
        <v>41903</v>
      </c>
      <c r="E1271">
        <v>86</v>
      </c>
      <c r="F1271">
        <f>VLOOKUP(ORDERS[[#This Row],[ProductID]],Products[],4,FALSE)</f>
        <v>35</v>
      </c>
      <c r="G1271">
        <v>0</v>
      </c>
      <c r="H1271">
        <f>(ORDERS[[#This Row],[UnitsOrdered]]*ORDERS[[#This Row],[unit price]])-(ORDERS[[#This Row],[UnitsOrdered]]*ORDERS[[#This Row],[unit price]]*ORDERS[[#This Row],[Discount]])</f>
        <v>3010</v>
      </c>
      <c r="I1271" t="str">
        <f>VLOOKUP(ORDERS[[#This Row],[CustomerID]],customers[],2,FALSE)</f>
        <v>Abracadaba Ink</v>
      </c>
      <c r="J1271" s="2" t="str">
        <f>VLOOKUP(ORDERS[[#This Row],[CustomerID]],customers[],4,FALSE)</f>
        <v>Salt Lake City</v>
      </c>
      <c r="K1271" s="2" t="str">
        <f>VLOOKUP(ORDERS[[#This Row],[ProductID]],Products[],3,FALSE)</f>
        <v>Male</v>
      </c>
      <c r="L1271" s="2">
        <f>DAY(ORDERS[[#This Row],[OrderDate]])</f>
        <v>21</v>
      </c>
      <c r="M1271" s="2">
        <f>YEAR(ORDERS[[#This Row],[OrderDate]])</f>
        <v>2014</v>
      </c>
    </row>
    <row r="1272" spans="1:13" x14ac:dyDescent="0.3">
      <c r="A1272">
        <v>1271</v>
      </c>
      <c r="B1272">
        <v>2</v>
      </c>
      <c r="C1272">
        <v>3</v>
      </c>
      <c r="D1272" s="1">
        <v>41904</v>
      </c>
      <c r="E1272">
        <v>79</v>
      </c>
      <c r="F1272">
        <f>VLOOKUP(ORDERS[[#This Row],[ProductID]],Products[],4,FALSE)</f>
        <v>22</v>
      </c>
      <c r="G1272">
        <v>0</v>
      </c>
      <c r="H1272">
        <f>(ORDERS[[#This Row],[UnitsOrdered]]*ORDERS[[#This Row],[unit price]])-(ORDERS[[#This Row],[UnitsOrdered]]*ORDERS[[#This Row],[unit price]]*ORDERS[[#This Row],[Discount]])</f>
        <v>1738</v>
      </c>
      <c r="I1272" t="str">
        <f>VLOOKUP(ORDERS[[#This Row],[CustomerID]],customers[],2,FALSE)</f>
        <v>A Shirts Life</v>
      </c>
      <c r="J1272" s="2" t="str">
        <f>VLOOKUP(ORDERS[[#This Row],[CustomerID]],customers[],4,FALSE)</f>
        <v>Portland</v>
      </c>
      <c r="K1272" s="2" t="str">
        <f>VLOOKUP(ORDERS[[#This Row],[ProductID]],Products[],3,FALSE)</f>
        <v>Both</v>
      </c>
      <c r="L1272" s="2">
        <f>DAY(ORDERS[[#This Row],[OrderDate]])</f>
        <v>22</v>
      </c>
      <c r="M1272" s="2">
        <f>YEAR(ORDERS[[#This Row],[OrderDate]])</f>
        <v>2014</v>
      </c>
    </row>
    <row r="1273" spans="1:13" x14ac:dyDescent="0.3">
      <c r="A1273">
        <v>1272</v>
      </c>
      <c r="B1273">
        <v>4</v>
      </c>
      <c r="C1273">
        <v>9</v>
      </c>
      <c r="D1273" s="1">
        <v>41904</v>
      </c>
      <c r="E1273">
        <v>46</v>
      </c>
      <c r="F1273">
        <f>VLOOKUP(ORDERS[[#This Row],[ProductID]],Products[],4,FALSE)</f>
        <v>25</v>
      </c>
      <c r="G1273">
        <v>0.10000000100000001</v>
      </c>
      <c r="H1273">
        <f>(ORDERS[[#This Row],[UnitsOrdered]]*ORDERS[[#This Row],[unit price]])-(ORDERS[[#This Row],[UnitsOrdered]]*ORDERS[[#This Row],[unit price]]*ORDERS[[#This Row],[Discount]])</f>
        <v>1034.9999988499999</v>
      </c>
      <c r="I1273" t="str">
        <f>VLOOKUP(ORDERS[[#This Row],[CustomerID]],customers[],2,FALSE)</f>
        <v>Tshirt Unlimited</v>
      </c>
      <c r="J1273" s="2" t="str">
        <f>VLOOKUP(ORDERS[[#This Row],[CustomerID]],customers[],4,FALSE)</f>
        <v>Phoenix</v>
      </c>
      <c r="K1273" s="2" t="str">
        <f>VLOOKUP(ORDERS[[#This Row],[ProductID]],Products[],3,FALSE)</f>
        <v>Male</v>
      </c>
      <c r="L1273" s="2">
        <f>DAY(ORDERS[[#This Row],[OrderDate]])</f>
        <v>22</v>
      </c>
      <c r="M1273" s="2">
        <f>YEAR(ORDERS[[#This Row],[OrderDate]])</f>
        <v>2014</v>
      </c>
    </row>
    <row r="1274" spans="1:13" x14ac:dyDescent="0.3">
      <c r="A1274">
        <v>1273</v>
      </c>
      <c r="B1274">
        <v>4</v>
      </c>
      <c r="C1274">
        <v>3</v>
      </c>
      <c r="D1274" s="1">
        <v>41905</v>
      </c>
      <c r="E1274">
        <v>61</v>
      </c>
      <c r="F1274">
        <f>VLOOKUP(ORDERS[[#This Row],[ProductID]],Products[],4,FALSE)</f>
        <v>22</v>
      </c>
      <c r="G1274">
        <v>0</v>
      </c>
      <c r="H1274">
        <f>(ORDERS[[#This Row],[UnitsOrdered]]*ORDERS[[#This Row],[unit price]])-(ORDERS[[#This Row],[UnitsOrdered]]*ORDERS[[#This Row],[unit price]]*ORDERS[[#This Row],[Discount]])</f>
        <v>1342</v>
      </c>
      <c r="I1274" t="str">
        <f>VLOOKUP(ORDERS[[#This Row],[CustomerID]],customers[],2,FALSE)</f>
        <v>Tshirt Unlimited</v>
      </c>
      <c r="J1274" s="2" t="str">
        <f>VLOOKUP(ORDERS[[#This Row],[CustomerID]],customers[],4,FALSE)</f>
        <v>Phoenix</v>
      </c>
      <c r="K1274" s="2" t="str">
        <f>VLOOKUP(ORDERS[[#This Row],[ProductID]],Products[],3,FALSE)</f>
        <v>Both</v>
      </c>
      <c r="L1274" s="2">
        <f>DAY(ORDERS[[#This Row],[OrderDate]])</f>
        <v>23</v>
      </c>
      <c r="M1274" s="2">
        <f>YEAR(ORDERS[[#This Row],[OrderDate]])</f>
        <v>2014</v>
      </c>
    </row>
    <row r="1275" spans="1:13" x14ac:dyDescent="0.3">
      <c r="A1275">
        <v>1274</v>
      </c>
      <c r="B1275">
        <v>2</v>
      </c>
      <c r="C1275">
        <v>6</v>
      </c>
      <c r="D1275" s="1">
        <v>41906</v>
      </c>
      <c r="E1275">
        <v>78</v>
      </c>
      <c r="F1275">
        <f>VLOOKUP(ORDERS[[#This Row],[ProductID]],Products[],4,FALSE)</f>
        <v>28</v>
      </c>
      <c r="G1275">
        <v>0</v>
      </c>
      <c r="H1275">
        <f>(ORDERS[[#This Row],[UnitsOrdered]]*ORDERS[[#This Row],[unit price]])-(ORDERS[[#This Row],[UnitsOrdered]]*ORDERS[[#This Row],[unit price]]*ORDERS[[#This Row],[Discount]])</f>
        <v>2184</v>
      </c>
      <c r="I1275" t="str">
        <f>VLOOKUP(ORDERS[[#This Row],[CustomerID]],customers[],2,FALSE)</f>
        <v>A Shirts Life</v>
      </c>
      <c r="J1275" s="2" t="str">
        <f>VLOOKUP(ORDERS[[#This Row],[CustomerID]],customers[],4,FALSE)</f>
        <v>Portland</v>
      </c>
      <c r="K1275" s="2" t="str">
        <f>VLOOKUP(ORDERS[[#This Row],[ProductID]],Products[],3,FALSE)</f>
        <v>Female</v>
      </c>
      <c r="L1275" s="2">
        <f>DAY(ORDERS[[#This Row],[OrderDate]])</f>
        <v>24</v>
      </c>
      <c r="M1275" s="2">
        <f>YEAR(ORDERS[[#This Row],[OrderDate]])</f>
        <v>2014</v>
      </c>
    </row>
    <row r="1276" spans="1:13" x14ac:dyDescent="0.3">
      <c r="A1276">
        <v>1275</v>
      </c>
      <c r="B1276">
        <v>4</v>
      </c>
      <c r="C1276">
        <v>9</v>
      </c>
      <c r="D1276" s="1">
        <v>41906</v>
      </c>
      <c r="E1276">
        <v>79</v>
      </c>
      <c r="F1276">
        <f>VLOOKUP(ORDERS[[#This Row],[ProductID]],Products[],4,FALSE)</f>
        <v>25</v>
      </c>
      <c r="G1276">
        <v>0</v>
      </c>
      <c r="H1276">
        <f>(ORDERS[[#This Row],[UnitsOrdered]]*ORDERS[[#This Row],[unit price]])-(ORDERS[[#This Row],[UnitsOrdered]]*ORDERS[[#This Row],[unit price]]*ORDERS[[#This Row],[Discount]])</f>
        <v>1975</v>
      </c>
      <c r="I1276" t="str">
        <f>VLOOKUP(ORDERS[[#This Row],[CustomerID]],customers[],2,FALSE)</f>
        <v>Tshirt Unlimited</v>
      </c>
      <c r="J1276" s="2" t="str">
        <f>VLOOKUP(ORDERS[[#This Row],[CustomerID]],customers[],4,FALSE)</f>
        <v>Phoenix</v>
      </c>
      <c r="K1276" s="2" t="str">
        <f>VLOOKUP(ORDERS[[#This Row],[ProductID]],Products[],3,FALSE)</f>
        <v>Male</v>
      </c>
      <c r="L1276" s="2">
        <f>DAY(ORDERS[[#This Row],[OrderDate]])</f>
        <v>24</v>
      </c>
      <c r="M1276" s="2">
        <f>YEAR(ORDERS[[#This Row],[OrderDate]])</f>
        <v>2014</v>
      </c>
    </row>
    <row r="1277" spans="1:13" x14ac:dyDescent="0.3">
      <c r="A1277">
        <v>1276</v>
      </c>
      <c r="B1277">
        <v>5</v>
      </c>
      <c r="C1277">
        <v>8</v>
      </c>
      <c r="D1277" s="1">
        <v>41906</v>
      </c>
      <c r="E1277">
        <v>33</v>
      </c>
      <c r="F1277">
        <f>VLOOKUP(ORDERS[[#This Row],[ProductID]],Products[],4,FALSE)</f>
        <v>27</v>
      </c>
      <c r="G1277">
        <v>0.10000000100000001</v>
      </c>
      <c r="H1277">
        <f>(ORDERS[[#This Row],[UnitsOrdered]]*ORDERS[[#This Row],[unit price]])-(ORDERS[[#This Row],[UnitsOrdered]]*ORDERS[[#This Row],[unit price]]*ORDERS[[#This Row],[Discount]])</f>
        <v>801.89999910899996</v>
      </c>
      <c r="I1277" t="str">
        <f>VLOOKUP(ORDERS[[#This Row],[CustomerID]],customers[],2,FALSE)</f>
        <v>Rags to Riches</v>
      </c>
      <c r="J1277" s="2" t="str">
        <f>VLOOKUP(ORDERS[[#This Row],[CustomerID]],customers[],4,FALSE)</f>
        <v>Las Vegas</v>
      </c>
      <c r="K1277" s="2" t="str">
        <f>VLOOKUP(ORDERS[[#This Row],[ProductID]],Products[],3,FALSE)</f>
        <v>Female</v>
      </c>
      <c r="L1277" s="2">
        <f>DAY(ORDERS[[#This Row],[OrderDate]])</f>
        <v>24</v>
      </c>
      <c r="M1277" s="2">
        <f>YEAR(ORDERS[[#This Row],[OrderDate]])</f>
        <v>2014</v>
      </c>
    </row>
    <row r="1278" spans="1:13" x14ac:dyDescent="0.3">
      <c r="A1278">
        <v>1277</v>
      </c>
      <c r="B1278">
        <v>2</v>
      </c>
      <c r="C1278">
        <v>6</v>
      </c>
      <c r="D1278" s="1">
        <v>41908</v>
      </c>
      <c r="E1278">
        <v>36</v>
      </c>
      <c r="F1278">
        <f>VLOOKUP(ORDERS[[#This Row],[ProductID]],Products[],4,FALSE)</f>
        <v>28</v>
      </c>
      <c r="G1278">
        <v>0.10000000100000001</v>
      </c>
      <c r="H1278">
        <f>(ORDERS[[#This Row],[UnitsOrdered]]*ORDERS[[#This Row],[unit price]])-(ORDERS[[#This Row],[UnitsOrdered]]*ORDERS[[#This Row],[unit price]]*ORDERS[[#This Row],[Discount]])</f>
        <v>907.19999899200002</v>
      </c>
      <c r="I1278" t="str">
        <f>VLOOKUP(ORDERS[[#This Row],[CustomerID]],customers[],2,FALSE)</f>
        <v>A Shirts Life</v>
      </c>
      <c r="J1278" s="2" t="str">
        <f>VLOOKUP(ORDERS[[#This Row],[CustomerID]],customers[],4,FALSE)</f>
        <v>Portland</v>
      </c>
      <c r="K1278" s="2" t="str">
        <f>VLOOKUP(ORDERS[[#This Row],[ProductID]],Products[],3,FALSE)</f>
        <v>Female</v>
      </c>
      <c r="L1278" s="2">
        <f>DAY(ORDERS[[#This Row],[OrderDate]])</f>
        <v>26</v>
      </c>
      <c r="M1278" s="2">
        <f>YEAR(ORDERS[[#This Row],[OrderDate]])</f>
        <v>2014</v>
      </c>
    </row>
    <row r="1279" spans="1:13" x14ac:dyDescent="0.3">
      <c r="A1279">
        <v>1278</v>
      </c>
      <c r="B1279">
        <v>6</v>
      </c>
      <c r="C1279">
        <v>7</v>
      </c>
      <c r="D1279" s="1">
        <v>41908</v>
      </c>
      <c r="E1279">
        <v>95</v>
      </c>
      <c r="F1279">
        <f>VLOOKUP(ORDERS[[#This Row],[ProductID]],Products[],4,FALSE)</f>
        <v>38</v>
      </c>
      <c r="G1279">
        <v>0</v>
      </c>
      <c r="H1279">
        <f>(ORDERS[[#This Row],[UnitsOrdered]]*ORDERS[[#This Row],[unit price]])-(ORDERS[[#This Row],[UnitsOrdered]]*ORDERS[[#This Row],[unit price]]*ORDERS[[#This Row],[Discount]])</f>
        <v>3610</v>
      </c>
      <c r="I1279" t="str">
        <f>VLOOKUP(ORDERS[[#This Row],[CustomerID]],customers[],2,FALSE)</f>
        <v>Abracadaba Ink</v>
      </c>
      <c r="J1279" s="2" t="str">
        <f>VLOOKUP(ORDERS[[#This Row],[CustomerID]],customers[],4,FALSE)</f>
        <v>Salt Lake City</v>
      </c>
      <c r="K1279" s="2" t="str">
        <f>VLOOKUP(ORDERS[[#This Row],[ProductID]],Products[],3,FALSE)</f>
        <v>Female</v>
      </c>
      <c r="L1279" s="2">
        <f>DAY(ORDERS[[#This Row],[OrderDate]])</f>
        <v>26</v>
      </c>
      <c r="M1279" s="2">
        <f>YEAR(ORDERS[[#This Row],[OrderDate]])</f>
        <v>2014</v>
      </c>
    </row>
    <row r="1280" spans="1:13" x14ac:dyDescent="0.3">
      <c r="A1280">
        <v>1279</v>
      </c>
      <c r="B1280">
        <v>6</v>
      </c>
      <c r="C1280">
        <v>10</v>
      </c>
      <c r="D1280" s="1">
        <v>41908</v>
      </c>
      <c r="E1280">
        <v>66</v>
      </c>
      <c r="F1280">
        <f>VLOOKUP(ORDERS[[#This Row],[ProductID]],Products[],4,FALSE)</f>
        <v>35</v>
      </c>
      <c r="G1280">
        <v>0</v>
      </c>
      <c r="H1280">
        <f>(ORDERS[[#This Row],[UnitsOrdered]]*ORDERS[[#This Row],[unit price]])-(ORDERS[[#This Row],[UnitsOrdered]]*ORDERS[[#This Row],[unit price]]*ORDERS[[#This Row],[Discount]])</f>
        <v>2310</v>
      </c>
      <c r="I1280" t="str">
        <f>VLOOKUP(ORDERS[[#This Row],[CustomerID]],customers[],2,FALSE)</f>
        <v>Abracadaba Ink</v>
      </c>
      <c r="J1280" s="2" t="str">
        <f>VLOOKUP(ORDERS[[#This Row],[CustomerID]],customers[],4,FALSE)</f>
        <v>Salt Lake City</v>
      </c>
      <c r="K1280" s="2" t="str">
        <f>VLOOKUP(ORDERS[[#This Row],[ProductID]],Products[],3,FALSE)</f>
        <v>Male</v>
      </c>
      <c r="L1280" s="2">
        <f>DAY(ORDERS[[#This Row],[OrderDate]])</f>
        <v>26</v>
      </c>
      <c r="M1280" s="2">
        <f>YEAR(ORDERS[[#This Row],[OrderDate]])</f>
        <v>2014</v>
      </c>
    </row>
    <row r="1281" spans="1:13" x14ac:dyDescent="0.3">
      <c r="A1281">
        <v>1280</v>
      </c>
      <c r="B1281">
        <v>2</v>
      </c>
      <c r="C1281">
        <v>7</v>
      </c>
      <c r="D1281" s="1">
        <v>41912</v>
      </c>
      <c r="E1281">
        <v>62</v>
      </c>
      <c r="F1281">
        <f>VLOOKUP(ORDERS[[#This Row],[ProductID]],Products[],4,FALSE)</f>
        <v>38</v>
      </c>
      <c r="G1281">
        <v>0</v>
      </c>
      <c r="H1281">
        <f>(ORDERS[[#This Row],[UnitsOrdered]]*ORDERS[[#This Row],[unit price]])-(ORDERS[[#This Row],[UnitsOrdered]]*ORDERS[[#This Row],[unit price]]*ORDERS[[#This Row],[Discount]])</f>
        <v>2356</v>
      </c>
      <c r="I1281" t="str">
        <f>VLOOKUP(ORDERS[[#This Row],[CustomerID]],customers[],2,FALSE)</f>
        <v>A Shirts Life</v>
      </c>
      <c r="J1281" s="2" t="str">
        <f>VLOOKUP(ORDERS[[#This Row],[CustomerID]],customers[],4,FALSE)</f>
        <v>Portland</v>
      </c>
      <c r="K1281" s="2" t="str">
        <f>VLOOKUP(ORDERS[[#This Row],[ProductID]],Products[],3,FALSE)</f>
        <v>Female</v>
      </c>
      <c r="L1281" s="2">
        <f>DAY(ORDERS[[#This Row],[OrderDate]])</f>
        <v>30</v>
      </c>
      <c r="M1281" s="2">
        <f>YEAR(ORDERS[[#This Row],[OrderDate]])</f>
        <v>2014</v>
      </c>
    </row>
    <row r="1282" spans="1:13" x14ac:dyDescent="0.3">
      <c r="A1282">
        <v>1281</v>
      </c>
      <c r="B1282">
        <v>5</v>
      </c>
      <c r="C1282">
        <v>1</v>
      </c>
      <c r="D1282" s="1">
        <v>41912</v>
      </c>
      <c r="E1282">
        <v>73</v>
      </c>
      <c r="F1282">
        <f>VLOOKUP(ORDERS[[#This Row],[ProductID]],Products[],4,FALSE)</f>
        <v>20</v>
      </c>
      <c r="G1282">
        <v>0.15000000599999999</v>
      </c>
      <c r="H1282">
        <f>(ORDERS[[#This Row],[UnitsOrdered]]*ORDERS[[#This Row],[unit price]])-(ORDERS[[#This Row],[UnitsOrdered]]*ORDERS[[#This Row],[unit price]]*ORDERS[[#This Row],[Discount]])</f>
        <v>1240.9999912400001</v>
      </c>
      <c r="I1282" t="str">
        <f>VLOOKUP(ORDERS[[#This Row],[CustomerID]],customers[],2,FALSE)</f>
        <v>Rags to Riches</v>
      </c>
      <c r="J1282" s="2" t="str">
        <f>VLOOKUP(ORDERS[[#This Row],[CustomerID]],customers[],4,FALSE)</f>
        <v>Las Vegas</v>
      </c>
      <c r="K1282" s="2" t="str">
        <f>VLOOKUP(ORDERS[[#This Row],[ProductID]],Products[],3,FALSE)</f>
        <v>Both</v>
      </c>
      <c r="L1282" s="2">
        <f>DAY(ORDERS[[#This Row],[OrderDate]])</f>
        <v>30</v>
      </c>
      <c r="M1282" s="2">
        <f>YEAR(ORDERS[[#This Row],[OrderDate]])</f>
        <v>2014</v>
      </c>
    </row>
    <row r="1283" spans="1:13" x14ac:dyDescent="0.3">
      <c r="A1283">
        <v>1282</v>
      </c>
      <c r="B1283">
        <v>3</v>
      </c>
      <c r="C1283">
        <v>6</v>
      </c>
      <c r="D1283" s="1">
        <v>41913</v>
      </c>
      <c r="E1283">
        <v>139</v>
      </c>
      <c r="F1283">
        <f>VLOOKUP(ORDERS[[#This Row],[ProductID]],Products[],4,FALSE)</f>
        <v>28</v>
      </c>
      <c r="G1283">
        <v>0.10000000100000001</v>
      </c>
      <c r="H1283">
        <f>(ORDERS[[#This Row],[UnitsOrdered]]*ORDERS[[#This Row],[unit price]])-(ORDERS[[#This Row],[UnitsOrdered]]*ORDERS[[#This Row],[unit price]]*ORDERS[[#This Row],[Discount]])</f>
        <v>3502.799996108</v>
      </c>
      <c r="I1283" t="str">
        <f>VLOOKUP(ORDERS[[#This Row],[CustomerID]],customers[],2,FALSE)</f>
        <v>Shirts R Us</v>
      </c>
      <c r="J1283" s="2" t="str">
        <f>VLOOKUP(ORDERS[[#This Row],[CustomerID]],customers[],4,FALSE)</f>
        <v>Los Angeles</v>
      </c>
      <c r="K1283" s="2" t="str">
        <f>VLOOKUP(ORDERS[[#This Row],[ProductID]],Products[],3,FALSE)</f>
        <v>Female</v>
      </c>
      <c r="L1283" s="2">
        <f>DAY(ORDERS[[#This Row],[OrderDate]])</f>
        <v>1</v>
      </c>
      <c r="M1283" s="2">
        <f>YEAR(ORDERS[[#This Row],[OrderDate]])</f>
        <v>2014</v>
      </c>
    </row>
    <row r="1284" spans="1:13" x14ac:dyDescent="0.3">
      <c r="A1284">
        <v>1283</v>
      </c>
      <c r="B1284">
        <v>3</v>
      </c>
      <c r="C1284">
        <v>10</v>
      </c>
      <c r="D1284" s="1">
        <v>41913</v>
      </c>
      <c r="E1284">
        <v>71</v>
      </c>
      <c r="F1284">
        <f>VLOOKUP(ORDERS[[#This Row],[ProductID]],Products[],4,FALSE)</f>
        <v>35</v>
      </c>
      <c r="G1284">
        <v>0</v>
      </c>
      <c r="H1284">
        <f>(ORDERS[[#This Row],[UnitsOrdered]]*ORDERS[[#This Row],[unit price]])-(ORDERS[[#This Row],[UnitsOrdered]]*ORDERS[[#This Row],[unit price]]*ORDERS[[#This Row],[Discount]])</f>
        <v>2485</v>
      </c>
      <c r="I1284" t="str">
        <f>VLOOKUP(ORDERS[[#This Row],[CustomerID]],customers[],2,FALSE)</f>
        <v>Shirts R Us</v>
      </c>
      <c r="J1284" s="2" t="str">
        <f>VLOOKUP(ORDERS[[#This Row],[CustomerID]],customers[],4,FALSE)</f>
        <v>Los Angeles</v>
      </c>
      <c r="K1284" s="2" t="str">
        <f>VLOOKUP(ORDERS[[#This Row],[ProductID]],Products[],3,FALSE)</f>
        <v>Male</v>
      </c>
      <c r="L1284" s="2">
        <f>DAY(ORDERS[[#This Row],[OrderDate]])</f>
        <v>1</v>
      </c>
      <c r="M1284" s="2">
        <f>YEAR(ORDERS[[#This Row],[OrderDate]])</f>
        <v>2014</v>
      </c>
    </row>
    <row r="1285" spans="1:13" x14ac:dyDescent="0.3">
      <c r="A1285">
        <v>1284</v>
      </c>
      <c r="B1285">
        <v>4</v>
      </c>
      <c r="C1285">
        <v>3</v>
      </c>
      <c r="D1285" s="1">
        <v>41914</v>
      </c>
      <c r="E1285">
        <v>83</v>
      </c>
      <c r="F1285">
        <f>VLOOKUP(ORDERS[[#This Row],[ProductID]],Products[],4,FALSE)</f>
        <v>22</v>
      </c>
      <c r="G1285">
        <v>0</v>
      </c>
      <c r="H1285">
        <f>(ORDERS[[#This Row],[UnitsOrdered]]*ORDERS[[#This Row],[unit price]])-(ORDERS[[#This Row],[UnitsOrdered]]*ORDERS[[#This Row],[unit price]]*ORDERS[[#This Row],[Discount]])</f>
        <v>1826</v>
      </c>
      <c r="I1285" t="str">
        <f>VLOOKUP(ORDERS[[#This Row],[CustomerID]],customers[],2,FALSE)</f>
        <v>Tshirt Unlimited</v>
      </c>
      <c r="J1285" s="2" t="str">
        <f>VLOOKUP(ORDERS[[#This Row],[CustomerID]],customers[],4,FALSE)</f>
        <v>Phoenix</v>
      </c>
      <c r="K1285" s="2" t="str">
        <f>VLOOKUP(ORDERS[[#This Row],[ProductID]],Products[],3,FALSE)</f>
        <v>Both</v>
      </c>
      <c r="L1285" s="2">
        <f>DAY(ORDERS[[#This Row],[OrderDate]])</f>
        <v>2</v>
      </c>
      <c r="M1285" s="2">
        <f>YEAR(ORDERS[[#This Row],[OrderDate]])</f>
        <v>2014</v>
      </c>
    </row>
    <row r="1286" spans="1:13" x14ac:dyDescent="0.3">
      <c r="A1286">
        <v>1285</v>
      </c>
      <c r="B1286">
        <v>2</v>
      </c>
      <c r="C1286">
        <v>4</v>
      </c>
      <c r="D1286" s="1">
        <v>41915</v>
      </c>
      <c r="E1286">
        <v>76</v>
      </c>
      <c r="F1286">
        <f>VLOOKUP(ORDERS[[#This Row],[ProductID]],Products[],4,FALSE)</f>
        <v>30</v>
      </c>
      <c r="G1286">
        <v>0</v>
      </c>
      <c r="H1286">
        <f>(ORDERS[[#This Row],[UnitsOrdered]]*ORDERS[[#This Row],[unit price]])-(ORDERS[[#This Row],[UnitsOrdered]]*ORDERS[[#This Row],[unit price]]*ORDERS[[#This Row],[Discount]])</f>
        <v>2280</v>
      </c>
      <c r="I1286" t="str">
        <f>VLOOKUP(ORDERS[[#This Row],[CustomerID]],customers[],2,FALSE)</f>
        <v>A Shirts Life</v>
      </c>
      <c r="J1286" s="2" t="str">
        <f>VLOOKUP(ORDERS[[#This Row],[CustomerID]],customers[],4,FALSE)</f>
        <v>Portland</v>
      </c>
      <c r="K1286" s="2" t="str">
        <f>VLOOKUP(ORDERS[[#This Row],[ProductID]],Products[],3,FALSE)</f>
        <v>Both</v>
      </c>
      <c r="L1286" s="2">
        <f>DAY(ORDERS[[#This Row],[OrderDate]])</f>
        <v>3</v>
      </c>
      <c r="M1286" s="2">
        <f>YEAR(ORDERS[[#This Row],[OrderDate]])</f>
        <v>2014</v>
      </c>
    </row>
    <row r="1287" spans="1:13" x14ac:dyDescent="0.3">
      <c r="A1287">
        <v>1286</v>
      </c>
      <c r="B1287">
        <v>2</v>
      </c>
      <c r="C1287">
        <v>8</v>
      </c>
      <c r="D1287" s="1">
        <v>41915</v>
      </c>
      <c r="E1287">
        <v>145</v>
      </c>
      <c r="F1287">
        <f>VLOOKUP(ORDERS[[#This Row],[ProductID]],Products[],4,FALSE)</f>
        <v>27</v>
      </c>
      <c r="G1287">
        <v>0</v>
      </c>
      <c r="H1287">
        <f>(ORDERS[[#This Row],[UnitsOrdered]]*ORDERS[[#This Row],[unit price]])-(ORDERS[[#This Row],[UnitsOrdered]]*ORDERS[[#This Row],[unit price]]*ORDERS[[#This Row],[Discount]])</f>
        <v>3915</v>
      </c>
      <c r="I1287" t="str">
        <f>VLOOKUP(ORDERS[[#This Row],[CustomerID]],customers[],2,FALSE)</f>
        <v>A Shirts Life</v>
      </c>
      <c r="J1287" s="2" t="str">
        <f>VLOOKUP(ORDERS[[#This Row],[CustomerID]],customers[],4,FALSE)</f>
        <v>Portland</v>
      </c>
      <c r="K1287" s="2" t="str">
        <f>VLOOKUP(ORDERS[[#This Row],[ProductID]],Products[],3,FALSE)</f>
        <v>Female</v>
      </c>
      <c r="L1287" s="2">
        <f>DAY(ORDERS[[#This Row],[OrderDate]])</f>
        <v>3</v>
      </c>
      <c r="M1287" s="2">
        <f>YEAR(ORDERS[[#This Row],[OrderDate]])</f>
        <v>2014</v>
      </c>
    </row>
    <row r="1288" spans="1:13" x14ac:dyDescent="0.3">
      <c r="A1288">
        <v>1287</v>
      </c>
      <c r="B1288">
        <v>4</v>
      </c>
      <c r="C1288">
        <v>7</v>
      </c>
      <c r="D1288" s="1">
        <v>41915</v>
      </c>
      <c r="E1288">
        <v>63</v>
      </c>
      <c r="F1288">
        <f>VLOOKUP(ORDERS[[#This Row],[ProductID]],Products[],4,FALSE)</f>
        <v>38</v>
      </c>
      <c r="G1288">
        <v>0</v>
      </c>
      <c r="H1288">
        <f>(ORDERS[[#This Row],[UnitsOrdered]]*ORDERS[[#This Row],[unit price]])-(ORDERS[[#This Row],[UnitsOrdered]]*ORDERS[[#This Row],[unit price]]*ORDERS[[#This Row],[Discount]])</f>
        <v>2394</v>
      </c>
      <c r="I1288" t="str">
        <f>VLOOKUP(ORDERS[[#This Row],[CustomerID]],customers[],2,FALSE)</f>
        <v>Tshirt Unlimited</v>
      </c>
      <c r="J1288" s="2" t="str">
        <f>VLOOKUP(ORDERS[[#This Row],[CustomerID]],customers[],4,FALSE)</f>
        <v>Phoenix</v>
      </c>
      <c r="K1288" s="2" t="str">
        <f>VLOOKUP(ORDERS[[#This Row],[ProductID]],Products[],3,FALSE)</f>
        <v>Female</v>
      </c>
      <c r="L1288" s="2">
        <f>DAY(ORDERS[[#This Row],[OrderDate]])</f>
        <v>3</v>
      </c>
      <c r="M1288" s="2">
        <f>YEAR(ORDERS[[#This Row],[OrderDate]])</f>
        <v>2014</v>
      </c>
    </row>
    <row r="1289" spans="1:13" x14ac:dyDescent="0.3">
      <c r="A1289">
        <v>1288</v>
      </c>
      <c r="B1289">
        <v>7</v>
      </c>
      <c r="C1289">
        <v>1</v>
      </c>
      <c r="D1289" s="1">
        <v>41915</v>
      </c>
      <c r="E1289">
        <v>112</v>
      </c>
      <c r="F1289">
        <f>VLOOKUP(ORDERS[[#This Row],[ProductID]],Products[],4,FALSE)</f>
        <v>20</v>
      </c>
      <c r="G1289">
        <v>5.0000001000000002E-2</v>
      </c>
      <c r="H1289">
        <f>(ORDERS[[#This Row],[UnitsOrdered]]*ORDERS[[#This Row],[unit price]])-(ORDERS[[#This Row],[UnitsOrdered]]*ORDERS[[#This Row],[unit price]]*ORDERS[[#This Row],[Discount]])</f>
        <v>2127.99999776</v>
      </c>
      <c r="I1289" t="str">
        <f>VLOOKUP(ORDERS[[#This Row],[CustomerID]],customers[],2,FALSE)</f>
        <v>The Shirt on Your Back</v>
      </c>
      <c r="J1289" s="2" t="str">
        <f>VLOOKUP(ORDERS[[#This Row],[CustomerID]],customers[],4,FALSE)</f>
        <v>Bonners Ferry</v>
      </c>
      <c r="K1289" s="2" t="str">
        <f>VLOOKUP(ORDERS[[#This Row],[ProductID]],Products[],3,FALSE)</f>
        <v>Both</v>
      </c>
      <c r="L1289" s="2">
        <f>DAY(ORDERS[[#This Row],[OrderDate]])</f>
        <v>3</v>
      </c>
      <c r="M1289" s="2">
        <f>YEAR(ORDERS[[#This Row],[OrderDate]])</f>
        <v>2014</v>
      </c>
    </row>
    <row r="1290" spans="1:13" x14ac:dyDescent="0.3">
      <c r="A1290">
        <v>1289</v>
      </c>
      <c r="B1290">
        <v>1</v>
      </c>
      <c r="C1290">
        <v>8</v>
      </c>
      <c r="D1290" s="1">
        <v>41917</v>
      </c>
      <c r="E1290">
        <v>90</v>
      </c>
      <c r="F1290">
        <f>VLOOKUP(ORDERS[[#This Row],[ProductID]],Products[],4,FALSE)</f>
        <v>27</v>
      </c>
      <c r="G1290">
        <v>0</v>
      </c>
      <c r="H1290">
        <f>(ORDERS[[#This Row],[UnitsOrdered]]*ORDERS[[#This Row],[unit price]])-(ORDERS[[#This Row],[UnitsOrdered]]*ORDERS[[#This Row],[unit price]]*ORDERS[[#This Row],[Discount]])</f>
        <v>2430</v>
      </c>
      <c r="I1290" t="str">
        <f>VLOOKUP(ORDERS[[#This Row],[CustomerID]],customers[],2,FALSE)</f>
        <v>Threads</v>
      </c>
      <c r="J1290" s="2" t="str">
        <f>VLOOKUP(ORDERS[[#This Row],[CustomerID]],customers[],4,FALSE)</f>
        <v>Seattle</v>
      </c>
      <c r="K1290" s="2" t="str">
        <f>VLOOKUP(ORDERS[[#This Row],[ProductID]],Products[],3,FALSE)</f>
        <v>Female</v>
      </c>
      <c r="L1290" s="2">
        <f>DAY(ORDERS[[#This Row],[OrderDate]])</f>
        <v>5</v>
      </c>
      <c r="M1290" s="2">
        <f>YEAR(ORDERS[[#This Row],[OrderDate]])</f>
        <v>2014</v>
      </c>
    </row>
    <row r="1291" spans="1:13" x14ac:dyDescent="0.3">
      <c r="A1291">
        <v>1290</v>
      </c>
      <c r="B1291">
        <v>2</v>
      </c>
      <c r="C1291">
        <v>4</v>
      </c>
      <c r="D1291" s="1">
        <v>41917</v>
      </c>
      <c r="E1291">
        <v>81</v>
      </c>
      <c r="F1291">
        <f>VLOOKUP(ORDERS[[#This Row],[ProductID]],Products[],4,FALSE)</f>
        <v>30</v>
      </c>
      <c r="G1291">
        <v>0</v>
      </c>
      <c r="H1291">
        <f>(ORDERS[[#This Row],[UnitsOrdered]]*ORDERS[[#This Row],[unit price]])-(ORDERS[[#This Row],[UnitsOrdered]]*ORDERS[[#This Row],[unit price]]*ORDERS[[#This Row],[Discount]])</f>
        <v>2430</v>
      </c>
      <c r="I1291" t="str">
        <f>VLOOKUP(ORDERS[[#This Row],[CustomerID]],customers[],2,FALSE)</f>
        <v>A Shirts Life</v>
      </c>
      <c r="J1291" s="2" t="str">
        <f>VLOOKUP(ORDERS[[#This Row],[CustomerID]],customers[],4,FALSE)</f>
        <v>Portland</v>
      </c>
      <c r="K1291" s="2" t="str">
        <f>VLOOKUP(ORDERS[[#This Row],[ProductID]],Products[],3,FALSE)</f>
        <v>Both</v>
      </c>
      <c r="L1291" s="2">
        <f>DAY(ORDERS[[#This Row],[OrderDate]])</f>
        <v>5</v>
      </c>
      <c r="M1291" s="2">
        <f>YEAR(ORDERS[[#This Row],[OrderDate]])</f>
        <v>2014</v>
      </c>
    </row>
    <row r="1292" spans="1:13" x14ac:dyDescent="0.3">
      <c r="A1292">
        <v>1291</v>
      </c>
      <c r="B1292">
        <v>7</v>
      </c>
      <c r="C1292">
        <v>7</v>
      </c>
      <c r="D1292" s="1">
        <v>41917</v>
      </c>
      <c r="E1292">
        <v>68</v>
      </c>
      <c r="F1292">
        <f>VLOOKUP(ORDERS[[#This Row],[ProductID]],Products[],4,FALSE)</f>
        <v>38</v>
      </c>
      <c r="G1292">
        <v>0</v>
      </c>
      <c r="H1292">
        <f>(ORDERS[[#This Row],[UnitsOrdered]]*ORDERS[[#This Row],[unit price]])-(ORDERS[[#This Row],[UnitsOrdered]]*ORDERS[[#This Row],[unit price]]*ORDERS[[#This Row],[Discount]])</f>
        <v>2584</v>
      </c>
      <c r="I1292" t="str">
        <f>VLOOKUP(ORDERS[[#This Row],[CustomerID]],customers[],2,FALSE)</f>
        <v>The Shirt on Your Back</v>
      </c>
      <c r="J1292" s="2" t="str">
        <f>VLOOKUP(ORDERS[[#This Row],[CustomerID]],customers[],4,FALSE)</f>
        <v>Bonners Ferry</v>
      </c>
      <c r="K1292" s="2" t="str">
        <f>VLOOKUP(ORDERS[[#This Row],[ProductID]],Products[],3,FALSE)</f>
        <v>Female</v>
      </c>
      <c r="L1292" s="2">
        <f>DAY(ORDERS[[#This Row],[OrderDate]])</f>
        <v>5</v>
      </c>
      <c r="M1292" s="2">
        <f>YEAR(ORDERS[[#This Row],[OrderDate]])</f>
        <v>2014</v>
      </c>
    </row>
    <row r="1293" spans="1:13" x14ac:dyDescent="0.3">
      <c r="A1293">
        <v>1292</v>
      </c>
      <c r="B1293">
        <v>1</v>
      </c>
      <c r="C1293">
        <v>1</v>
      </c>
      <c r="D1293" s="1">
        <v>41918</v>
      </c>
      <c r="E1293">
        <v>65</v>
      </c>
      <c r="F1293">
        <f>VLOOKUP(ORDERS[[#This Row],[ProductID]],Products[],4,FALSE)</f>
        <v>20</v>
      </c>
      <c r="G1293">
        <v>0</v>
      </c>
      <c r="H1293">
        <f>(ORDERS[[#This Row],[UnitsOrdered]]*ORDERS[[#This Row],[unit price]])-(ORDERS[[#This Row],[UnitsOrdered]]*ORDERS[[#This Row],[unit price]]*ORDERS[[#This Row],[Discount]])</f>
        <v>1300</v>
      </c>
      <c r="I1293" t="str">
        <f>VLOOKUP(ORDERS[[#This Row],[CustomerID]],customers[],2,FALSE)</f>
        <v>Threads</v>
      </c>
      <c r="J1293" s="2" t="str">
        <f>VLOOKUP(ORDERS[[#This Row],[CustomerID]],customers[],4,FALSE)</f>
        <v>Seattle</v>
      </c>
      <c r="K1293" s="2" t="str">
        <f>VLOOKUP(ORDERS[[#This Row],[ProductID]],Products[],3,FALSE)</f>
        <v>Both</v>
      </c>
      <c r="L1293" s="2">
        <f>DAY(ORDERS[[#This Row],[OrderDate]])</f>
        <v>6</v>
      </c>
      <c r="M1293" s="2">
        <f>YEAR(ORDERS[[#This Row],[OrderDate]])</f>
        <v>2014</v>
      </c>
    </row>
    <row r="1294" spans="1:13" x14ac:dyDescent="0.3">
      <c r="A1294">
        <v>1293</v>
      </c>
      <c r="B1294">
        <v>1</v>
      </c>
      <c r="C1294">
        <v>4</v>
      </c>
      <c r="D1294" s="1">
        <v>41918</v>
      </c>
      <c r="E1294">
        <v>30</v>
      </c>
      <c r="F1294">
        <f>VLOOKUP(ORDERS[[#This Row],[ProductID]],Products[],4,FALSE)</f>
        <v>30</v>
      </c>
      <c r="G1294">
        <v>0</v>
      </c>
      <c r="H1294">
        <f>(ORDERS[[#This Row],[UnitsOrdered]]*ORDERS[[#This Row],[unit price]])-(ORDERS[[#This Row],[UnitsOrdered]]*ORDERS[[#This Row],[unit price]]*ORDERS[[#This Row],[Discount]])</f>
        <v>900</v>
      </c>
      <c r="I1294" t="str">
        <f>VLOOKUP(ORDERS[[#This Row],[CustomerID]],customers[],2,FALSE)</f>
        <v>Threads</v>
      </c>
      <c r="J1294" s="2" t="str">
        <f>VLOOKUP(ORDERS[[#This Row],[CustomerID]],customers[],4,FALSE)</f>
        <v>Seattle</v>
      </c>
      <c r="K1294" s="2" t="str">
        <f>VLOOKUP(ORDERS[[#This Row],[ProductID]],Products[],3,FALSE)</f>
        <v>Both</v>
      </c>
      <c r="L1294" s="2">
        <f>DAY(ORDERS[[#This Row],[OrderDate]])</f>
        <v>6</v>
      </c>
      <c r="M1294" s="2">
        <f>YEAR(ORDERS[[#This Row],[OrderDate]])</f>
        <v>2014</v>
      </c>
    </row>
    <row r="1295" spans="1:13" x14ac:dyDescent="0.3">
      <c r="A1295">
        <v>1294</v>
      </c>
      <c r="B1295">
        <v>1</v>
      </c>
      <c r="C1295">
        <v>6</v>
      </c>
      <c r="D1295" s="1">
        <v>41918</v>
      </c>
      <c r="E1295">
        <v>107</v>
      </c>
      <c r="F1295">
        <f>VLOOKUP(ORDERS[[#This Row],[ProductID]],Products[],4,FALSE)</f>
        <v>28</v>
      </c>
      <c r="G1295">
        <v>0</v>
      </c>
      <c r="H1295">
        <f>(ORDERS[[#This Row],[UnitsOrdered]]*ORDERS[[#This Row],[unit price]])-(ORDERS[[#This Row],[UnitsOrdered]]*ORDERS[[#This Row],[unit price]]*ORDERS[[#This Row],[Discount]])</f>
        <v>2996</v>
      </c>
      <c r="I1295" t="str">
        <f>VLOOKUP(ORDERS[[#This Row],[CustomerID]],customers[],2,FALSE)</f>
        <v>Threads</v>
      </c>
      <c r="J1295" s="2" t="str">
        <f>VLOOKUP(ORDERS[[#This Row],[CustomerID]],customers[],4,FALSE)</f>
        <v>Seattle</v>
      </c>
      <c r="K1295" s="2" t="str">
        <f>VLOOKUP(ORDERS[[#This Row],[ProductID]],Products[],3,FALSE)</f>
        <v>Female</v>
      </c>
      <c r="L1295" s="2">
        <f>DAY(ORDERS[[#This Row],[OrderDate]])</f>
        <v>6</v>
      </c>
      <c r="M1295" s="2">
        <f>YEAR(ORDERS[[#This Row],[OrderDate]])</f>
        <v>2014</v>
      </c>
    </row>
    <row r="1296" spans="1:13" x14ac:dyDescent="0.3">
      <c r="A1296">
        <v>1295</v>
      </c>
      <c r="B1296">
        <v>2</v>
      </c>
      <c r="C1296">
        <v>4</v>
      </c>
      <c r="D1296" s="1">
        <v>41919</v>
      </c>
      <c r="E1296">
        <v>87</v>
      </c>
      <c r="F1296">
        <f>VLOOKUP(ORDERS[[#This Row],[ProductID]],Products[],4,FALSE)</f>
        <v>30</v>
      </c>
      <c r="G1296">
        <v>0</v>
      </c>
      <c r="H1296">
        <f>(ORDERS[[#This Row],[UnitsOrdered]]*ORDERS[[#This Row],[unit price]])-(ORDERS[[#This Row],[UnitsOrdered]]*ORDERS[[#This Row],[unit price]]*ORDERS[[#This Row],[Discount]])</f>
        <v>2610</v>
      </c>
      <c r="I1296" t="str">
        <f>VLOOKUP(ORDERS[[#This Row],[CustomerID]],customers[],2,FALSE)</f>
        <v>A Shirts Life</v>
      </c>
      <c r="J1296" s="2" t="str">
        <f>VLOOKUP(ORDERS[[#This Row],[CustomerID]],customers[],4,FALSE)</f>
        <v>Portland</v>
      </c>
      <c r="K1296" s="2" t="str">
        <f>VLOOKUP(ORDERS[[#This Row],[ProductID]],Products[],3,FALSE)</f>
        <v>Both</v>
      </c>
      <c r="L1296" s="2">
        <f>DAY(ORDERS[[#This Row],[OrderDate]])</f>
        <v>7</v>
      </c>
      <c r="M1296" s="2">
        <f>YEAR(ORDERS[[#This Row],[OrderDate]])</f>
        <v>2014</v>
      </c>
    </row>
    <row r="1297" spans="1:13" x14ac:dyDescent="0.3">
      <c r="A1297">
        <v>1296</v>
      </c>
      <c r="B1297">
        <v>5</v>
      </c>
      <c r="C1297">
        <v>3</v>
      </c>
      <c r="D1297" s="1">
        <v>41919</v>
      </c>
      <c r="E1297">
        <v>130</v>
      </c>
      <c r="F1297">
        <f>VLOOKUP(ORDERS[[#This Row],[ProductID]],Products[],4,FALSE)</f>
        <v>22</v>
      </c>
      <c r="G1297">
        <v>0</v>
      </c>
      <c r="H1297">
        <f>(ORDERS[[#This Row],[UnitsOrdered]]*ORDERS[[#This Row],[unit price]])-(ORDERS[[#This Row],[UnitsOrdered]]*ORDERS[[#This Row],[unit price]]*ORDERS[[#This Row],[Discount]])</f>
        <v>2860</v>
      </c>
      <c r="I1297" t="str">
        <f>VLOOKUP(ORDERS[[#This Row],[CustomerID]],customers[],2,FALSE)</f>
        <v>Rags to Riches</v>
      </c>
      <c r="J1297" s="2" t="str">
        <f>VLOOKUP(ORDERS[[#This Row],[CustomerID]],customers[],4,FALSE)</f>
        <v>Las Vegas</v>
      </c>
      <c r="K1297" s="2" t="str">
        <f>VLOOKUP(ORDERS[[#This Row],[ProductID]],Products[],3,FALSE)</f>
        <v>Both</v>
      </c>
      <c r="L1297" s="2">
        <f>DAY(ORDERS[[#This Row],[OrderDate]])</f>
        <v>7</v>
      </c>
      <c r="M1297" s="2">
        <f>YEAR(ORDERS[[#This Row],[OrderDate]])</f>
        <v>2014</v>
      </c>
    </row>
    <row r="1298" spans="1:13" x14ac:dyDescent="0.3">
      <c r="A1298">
        <v>1297</v>
      </c>
      <c r="B1298">
        <v>6</v>
      </c>
      <c r="C1298">
        <v>8</v>
      </c>
      <c r="D1298" s="1">
        <v>41919</v>
      </c>
      <c r="E1298">
        <v>89</v>
      </c>
      <c r="F1298">
        <f>VLOOKUP(ORDERS[[#This Row],[ProductID]],Products[],4,FALSE)</f>
        <v>27</v>
      </c>
      <c r="G1298">
        <v>5.0000001000000002E-2</v>
      </c>
      <c r="H1298">
        <f>(ORDERS[[#This Row],[UnitsOrdered]]*ORDERS[[#This Row],[unit price]])-(ORDERS[[#This Row],[UnitsOrdered]]*ORDERS[[#This Row],[unit price]]*ORDERS[[#This Row],[Discount]])</f>
        <v>2282.8499975969999</v>
      </c>
      <c r="I1298" t="str">
        <f>VLOOKUP(ORDERS[[#This Row],[CustomerID]],customers[],2,FALSE)</f>
        <v>Abracadaba Ink</v>
      </c>
      <c r="J1298" s="2" t="str">
        <f>VLOOKUP(ORDERS[[#This Row],[CustomerID]],customers[],4,FALSE)</f>
        <v>Salt Lake City</v>
      </c>
      <c r="K1298" s="2" t="str">
        <f>VLOOKUP(ORDERS[[#This Row],[ProductID]],Products[],3,FALSE)</f>
        <v>Female</v>
      </c>
      <c r="L1298" s="2">
        <f>DAY(ORDERS[[#This Row],[OrderDate]])</f>
        <v>7</v>
      </c>
      <c r="M1298" s="2">
        <f>YEAR(ORDERS[[#This Row],[OrderDate]])</f>
        <v>2014</v>
      </c>
    </row>
    <row r="1299" spans="1:13" x14ac:dyDescent="0.3">
      <c r="A1299">
        <v>1298</v>
      </c>
      <c r="B1299">
        <v>2</v>
      </c>
      <c r="C1299">
        <v>8</v>
      </c>
      <c r="D1299" s="1">
        <v>41920</v>
      </c>
      <c r="E1299">
        <v>116</v>
      </c>
      <c r="F1299">
        <f>VLOOKUP(ORDERS[[#This Row],[ProductID]],Products[],4,FALSE)</f>
        <v>27</v>
      </c>
      <c r="G1299">
        <v>5.0000001000000002E-2</v>
      </c>
      <c r="H1299">
        <f>(ORDERS[[#This Row],[UnitsOrdered]]*ORDERS[[#This Row],[unit price]])-(ORDERS[[#This Row],[UnitsOrdered]]*ORDERS[[#This Row],[unit price]]*ORDERS[[#This Row],[Discount]])</f>
        <v>2975.399996868</v>
      </c>
      <c r="I1299" t="str">
        <f>VLOOKUP(ORDERS[[#This Row],[CustomerID]],customers[],2,FALSE)</f>
        <v>A Shirts Life</v>
      </c>
      <c r="J1299" s="2" t="str">
        <f>VLOOKUP(ORDERS[[#This Row],[CustomerID]],customers[],4,FALSE)</f>
        <v>Portland</v>
      </c>
      <c r="K1299" s="2" t="str">
        <f>VLOOKUP(ORDERS[[#This Row],[ProductID]],Products[],3,FALSE)</f>
        <v>Female</v>
      </c>
      <c r="L1299" s="2">
        <f>DAY(ORDERS[[#This Row],[OrderDate]])</f>
        <v>8</v>
      </c>
      <c r="M1299" s="2">
        <f>YEAR(ORDERS[[#This Row],[OrderDate]])</f>
        <v>2014</v>
      </c>
    </row>
    <row r="1300" spans="1:13" x14ac:dyDescent="0.3">
      <c r="A1300">
        <v>1299</v>
      </c>
      <c r="B1300">
        <v>5</v>
      </c>
      <c r="C1300">
        <v>8</v>
      </c>
      <c r="D1300" s="1">
        <v>41920</v>
      </c>
      <c r="E1300">
        <v>105</v>
      </c>
      <c r="F1300">
        <f>VLOOKUP(ORDERS[[#This Row],[ProductID]],Products[],4,FALSE)</f>
        <v>27</v>
      </c>
      <c r="G1300">
        <v>0</v>
      </c>
      <c r="H1300">
        <f>(ORDERS[[#This Row],[UnitsOrdered]]*ORDERS[[#This Row],[unit price]])-(ORDERS[[#This Row],[UnitsOrdered]]*ORDERS[[#This Row],[unit price]]*ORDERS[[#This Row],[Discount]])</f>
        <v>2835</v>
      </c>
      <c r="I1300" t="str">
        <f>VLOOKUP(ORDERS[[#This Row],[CustomerID]],customers[],2,FALSE)</f>
        <v>Rags to Riches</v>
      </c>
      <c r="J1300" s="2" t="str">
        <f>VLOOKUP(ORDERS[[#This Row],[CustomerID]],customers[],4,FALSE)</f>
        <v>Las Vegas</v>
      </c>
      <c r="K1300" s="2" t="str">
        <f>VLOOKUP(ORDERS[[#This Row],[ProductID]],Products[],3,FALSE)</f>
        <v>Female</v>
      </c>
      <c r="L1300" s="2">
        <f>DAY(ORDERS[[#This Row],[OrderDate]])</f>
        <v>8</v>
      </c>
      <c r="M1300" s="2">
        <f>YEAR(ORDERS[[#This Row],[OrderDate]])</f>
        <v>2014</v>
      </c>
    </row>
    <row r="1301" spans="1:13" x14ac:dyDescent="0.3">
      <c r="A1301">
        <v>1300</v>
      </c>
      <c r="B1301">
        <v>1</v>
      </c>
      <c r="C1301">
        <v>8</v>
      </c>
      <c r="D1301" s="1">
        <v>41921</v>
      </c>
      <c r="E1301">
        <v>74</v>
      </c>
      <c r="F1301">
        <f>VLOOKUP(ORDERS[[#This Row],[ProductID]],Products[],4,FALSE)</f>
        <v>27</v>
      </c>
      <c r="G1301">
        <v>0</v>
      </c>
      <c r="H1301">
        <f>(ORDERS[[#This Row],[UnitsOrdered]]*ORDERS[[#This Row],[unit price]])-(ORDERS[[#This Row],[UnitsOrdered]]*ORDERS[[#This Row],[unit price]]*ORDERS[[#This Row],[Discount]])</f>
        <v>1998</v>
      </c>
      <c r="I1301" t="str">
        <f>VLOOKUP(ORDERS[[#This Row],[CustomerID]],customers[],2,FALSE)</f>
        <v>Threads</v>
      </c>
      <c r="J1301" s="2" t="str">
        <f>VLOOKUP(ORDERS[[#This Row],[CustomerID]],customers[],4,FALSE)</f>
        <v>Seattle</v>
      </c>
      <c r="K1301" s="2" t="str">
        <f>VLOOKUP(ORDERS[[#This Row],[ProductID]],Products[],3,FALSE)</f>
        <v>Female</v>
      </c>
      <c r="L1301" s="2">
        <f>DAY(ORDERS[[#This Row],[OrderDate]])</f>
        <v>9</v>
      </c>
      <c r="M1301" s="2">
        <f>YEAR(ORDERS[[#This Row],[OrderDate]])</f>
        <v>2014</v>
      </c>
    </row>
    <row r="1302" spans="1:13" x14ac:dyDescent="0.3">
      <c r="A1302">
        <v>1301</v>
      </c>
      <c r="B1302">
        <v>4</v>
      </c>
      <c r="C1302">
        <v>6</v>
      </c>
      <c r="D1302" s="1">
        <v>41921</v>
      </c>
      <c r="E1302">
        <v>149</v>
      </c>
      <c r="F1302">
        <f>VLOOKUP(ORDERS[[#This Row],[ProductID]],Products[],4,FALSE)</f>
        <v>28</v>
      </c>
      <c r="G1302">
        <v>0.15000000599999999</v>
      </c>
      <c r="H1302">
        <f>(ORDERS[[#This Row],[UnitsOrdered]]*ORDERS[[#This Row],[unit price]])-(ORDERS[[#This Row],[UnitsOrdered]]*ORDERS[[#This Row],[unit price]]*ORDERS[[#This Row],[Discount]])</f>
        <v>3546.1999749679999</v>
      </c>
      <c r="I1302" t="str">
        <f>VLOOKUP(ORDERS[[#This Row],[CustomerID]],customers[],2,FALSE)</f>
        <v>Tshirt Unlimited</v>
      </c>
      <c r="J1302" s="2" t="str">
        <f>VLOOKUP(ORDERS[[#This Row],[CustomerID]],customers[],4,FALSE)</f>
        <v>Phoenix</v>
      </c>
      <c r="K1302" s="2" t="str">
        <f>VLOOKUP(ORDERS[[#This Row],[ProductID]],Products[],3,FALSE)</f>
        <v>Female</v>
      </c>
      <c r="L1302" s="2">
        <f>DAY(ORDERS[[#This Row],[OrderDate]])</f>
        <v>9</v>
      </c>
      <c r="M1302" s="2">
        <f>YEAR(ORDERS[[#This Row],[OrderDate]])</f>
        <v>2014</v>
      </c>
    </row>
    <row r="1303" spans="1:13" x14ac:dyDescent="0.3">
      <c r="A1303">
        <v>1302</v>
      </c>
      <c r="B1303">
        <v>4</v>
      </c>
      <c r="C1303">
        <v>10</v>
      </c>
      <c r="D1303" s="1">
        <v>41921</v>
      </c>
      <c r="E1303">
        <v>27</v>
      </c>
      <c r="F1303">
        <f>VLOOKUP(ORDERS[[#This Row],[ProductID]],Products[],4,FALSE)</f>
        <v>35</v>
      </c>
      <c r="G1303">
        <v>0</v>
      </c>
      <c r="H1303">
        <f>(ORDERS[[#This Row],[UnitsOrdered]]*ORDERS[[#This Row],[unit price]])-(ORDERS[[#This Row],[UnitsOrdered]]*ORDERS[[#This Row],[unit price]]*ORDERS[[#This Row],[Discount]])</f>
        <v>945</v>
      </c>
      <c r="I1303" t="str">
        <f>VLOOKUP(ORDERS[[#This Row],[CustomerID]],customers[],2,FALSE)</f>
        <v>Tshirt Unlimited</v>
      </c>
      <c r="J1303" s="2" t="str">
        <f>VLOOKUP(ORDERS[[#This Row],[CustomerID]],customers[],4,FALSE)</f>
        <v>Phoenix</v>
      </c>
      <c r="K1303" s="2" t="str">
        <f>VLOOKUP(ORDERS[[#This Row],[ProductID]],Products[],3,FALSE)</f>
        <v>Male</v>
      </c>
      <c r="L1303" s="2">
        <f>DAY(ORDERS[[#This Row],[OrderDate]])</f>
        <v>9</v>
      </c>
      <c r="M1303" s="2">
        <f>YEAR(ORDERS[[#This Row],[OrderDate]])</f>
        <v>2014</v>
      </c>
    </row>
    <row r="1304" spans="1:13" x14ac:dyDescent="0.3">
      <c r="A1304">
        <v>1303</v>
      </c>
      <c r="B1304">
        <v>7</v>
      </c>
      <c r="C1304">
        <v>2</v>
      </c>
      <c r="D1304" s="1">
        <v>41922</v>
      </c>
      <c r="E1304">
        <v>36</v>
      </c>
      <c r="F1304">
        <f>VLOOKUP(ORDERS[[#This Row],[ProductID]],Products[],4,FALSE)</f>
        <v>30</v>
      </c>
      <c r="G1304">
        <v>0</v>
      </c>
      <c r="H1304">
        <f>(ORDERS[[#This Row],[UnitsOrdered]]*ORDERS[[#This Row],[unit price]])-(ORDERS[[#This Row],[UnitsOrdered]]*ORDERS[[#This Row],[unit price]]*ORDERS[[#This Row],[Discount]])</f>
        <v>1080</v>
      </c>
      <c r="I1304" t="str">
        <f>VLOOKUP(ORDERS[[#This Row],[CustomerID]],customers[],2,FALSE)</f>
        <v>The Shirt on Your Back</v>
      </c>
      <c r="J1304" s="2" t="str">
        <f>VLOOKUP(ORDERS[[#This Row],[CustomerID]],customers[],4,FALSE)</f>
        <v>Bonners Ferry</v>
      </c>
      <c r="K1304" s="2" t="str">
        <f>VLOOKUP(ORDERS[[#This Row],[ProductID]],Products[],3,FALSE)</f>
        <v>Both</v>
      </c>
      <c r="L1304" s="2">
        <f>DAY(ORDERS[[#This Row],[OrderDate]])</f>
        <v>10</v>
      </c>
      <c r="M1304" s="2">
        <f>YEAR(ORDERS[[#This Row],[OrderDate]])</f>
        <v>2014</v>
      </c>
    </row>
    <row r="1305" spans="1:13" x14ac:dyDescent="0.3">
      <c r="A1305">
        <v>1304</v>
      </c>
      <c r="B1305">
        <v>1</v>
      </c>
      <c r="C1305">
        <v>10</v>
      </c>
      <c r="D1305" s="1">
        <v>41923</v>
      </c>
      <c r="E1305">
        <v>91</v>
      </c>
      <c r="F1305">
        <f>VLOOKUP(ORDERS[[#This Row],[ProductID]],Products[],4,FALSE)</f>
        <v>35</v>
      </c>
      <c r="G1305">
        <v>0</v>
      </c>
      <c r="H1305">
        <f>(ORDERS[[#This Row],[UnitsOrdered]]*ORDERS[[#This Row],[unit price]])-(ORDERS[[#This Row],[UnitsOrdered]]*ORDERS[[#This Row],[unit price]]*ORDERS[[#This Row],[Discount]])</f>
        <v>3185</v>
      </c>
      <c r="I1305" t="str">
        <f>VLOOKUP(ORDERS[[#This Row],[CustomerID]],customers[],2,FALSE)</f>
        <v>Threads</v>
      </c>
      <c r="J1305" s="2" t="str">
        <f>VLOOKUP(ORDERS[[#This Row],[CustomerID]],customers[],4,FALSE)</f>
        <v>Seattle</v>
      </c>
      <c r="K1305" s="2" t="str">
        <f>VLOOKUP(ORDERS[[#This Row],[ProductID]],Products[],3,FALSE)</f>
        <v>Male</v>
      </c>
      <c r="L1305" s="2">
        <f>DAY(ORDERS[[#This Row],[OrderDate]])</f>
        <v>11</v>
      </c>
      <c r="M1305" s="2">
        <f>YEAR(ORDERS[[#This Row],[OrderDate]])</f>
        <v>2014</v>
      </c>
    </row>
    <row r="1306" spans="1:13" x14ac:dyDescent="0.3">
      <c r="A1306">
        <v>1305</v>
      </c>
      <c r="B1306">
        <v>3</v>
      </c>
      <c r="C1306">
        <v>5</v>
      </c>
      <c r="D1306" s="1">
        <v>41924</v>
      </c>
      <c r="E1306">
        <v>129</v>
      </c>
      <c r="F1306">
        <f>VLOOKUP(ORDERS[[#This Row],[ProductID]],Products[],4,FALSE)</f>
        <v>16</v>
      </c>
      <c r="G1306">
        <v>0</v>
      </c>
      <c r="H1306">
        <f>(ORDERS[[#This Row],[UnitsOrdered]]*ORDERS[[#This Row],[unit price]])-(ORDERS[[#This Row],[UnitsOrdered]]*ORDERS[[#This Row],[unit price]]*ORDERS[[#This Row],[Discount]])</f>
        <v>2064</v>
      </c>
      <c r="I1306" t="str">
        <f>VLOOKUP(ORDERS[[#This Row],[CustomerID]],customers[],2,FALSE)</f>
        <v>Shirts R Us</v>
      </c>
      <c r="J1306" s="2" t="str">
        <f>VLOOKUP(ORDERS[[#This Row],[CustomerID]],customers[],4,FALSE)</f>
        <v>Los Angeles</v>
      </c>
      <c r="K1306" s="2" t="str">
        <f>VLOOKUP(ORDERS[[#This Row],[ProductID]],Products[],3,FALSE)</f>
        <v>Female</v>
      </c>
      <c r="L1306" s="2">
        <f>DAY(ORDERS[[#This Row],[OrderDate]])</f>
        <v>12</v>
      </c>
      <c r="M1306" s="2">
        <f>YEAR(ORDERS[[#This Row],[OrderDate]])</f>
        <v>2014</v>
      </c>
    </row>
    <row r="1307" spans="1:13" x14ac:dyDescent="0.3">
      <c r="A1307">
        <v>1306</v>
      </c>
      <c r="B1307">
        <v>4</v>
      </c>
      <c r="C1307">
        <v>9</v>
      </c>
      <c r="D1307" s="1">
        <v>41924</v>
      </c>
      <c r="E1307">
        <v>50</v>
      </c>
      <c r="F1307">
        <f>VLOOKUP(ORDERS[[#This Row],[ProductID]],Products[],4,FALSE)</f>
        <v>25</v>
      </c>
      <c r="G1307">
        <v>0</v>
      </c>
      <c r="H1307">
        <f>(ORDERS[[#This Row],[UnitsOrdered]]*ORDERS[[#This Row],[unit price]])-(ORDERS[[#This Row],[UnitsOrdered]]*ORDERS[[#This Row],[unit price]]*ORDERS[[#This Row],[Discount]])</f>
        <v>1250</v>
      </c>
      <c r="I1307" t="str">
        <f>VLOOKUP(ORDERS[[#This Row],[CustomerID]],customers[],2,FALSE)</f>
        <v>Tshirt Unlimited</v>
      </c>
      <c r="J1307" s="2" t="str">
        <f>VLOOKUP(ORDERS[[#This Row],[CustomerID]],customers[],4,FALSE)</f>
        <v>Phoenix</v>
      </c>
      <c r="K1307" s="2" t="str">
        <f>VLOOKUP(ORDERS[[#This Row],[ProductID]],Products[],3,FALSE)</f>
        <v>Male</v>
      </c>
      <c r="L1307" s="2">
        <f>DAY(ORDERS[[#This Row],[OrderDate]])</f>
        <v>12</v>
      </c>
      <c r="M1307" s="2">
        <f>YEAR(ORDERS[[#This Row],[OrderDate]])</f>
        <v>2014</v>
      </c>
    </row>
    <row r="1308" spans="1:13" x14ac:dyDescent="0.3">
      <c r="A1308">
        <v>1307</v>
      </c>
      <c r="B1308">
        <v>3</v>
      </c>
      <c r="C1308">
        <v>9</v>
      </c>
      <c r="D1308" s="1">
        <v>41926</v>
      </c>
      <c r="E1308">
        <v>38</v>
      </c>
      <c r="F1308">
        <f>VLOOKUP(ORDERS[[#This Row],[ProductID]],Products[],4,FALSE)</f>
        <v>25</v>
      </c>
      <c r="G1308">
        <v>0</v>
      </c>
      <c r="H1308">
        <f>(ORDERS[[#This Row],[UnitsOrdered]]*ORDERS[[#This Row],[unit price]])-(ORDERS[[#This Row],[UnitsOrdered]]*ORDERS[[#This Row],[unit price]]*ORDERS[[#This Row],[Discount]])</f>
        <v>950</v>
      </c>
      <c r="I1308" t="str">
        <f>VLOOKUP(ORDERS[[#This Row],[CustomerID]],customers[],2,FALSE)</f>
        <v>Shirts R Us</v>
      </c>
      <c r="J1308" s="2" t="str">
        <f>VLOOKUP(ORDERS[[#This Row],[CustomerID]],customers[],4,FALSE)</f>
        <v>Los Angeles</v>
      </c>
      <c r="K1308" s="2" t="str">
        <f>VLOOKUP(ORDERS[[#This Row],[ProductID]],Products[],3,FALSE)</f>
        <v>Male</v>
      </c>
      <c r="L1308" s="2">
        <f>DAY(ORDERS[[#This Row],[OrderDate]])</f>
        <v>14</v>
      </c>
      <c r="M1308" s="2">
        <f>YEAR(ORDERS[[#This Row],[OrderDate]])</f>
        <v>2014</v>
      </c>
    </row>
    <row r="1309" spans="1:13" x14ac:dyDescent="0.3">
      <c r="A1309">
        <v>1308</v>
      </c>
      <c r="B1309">
        <v>2</v>
      </c>
      <c r="C1309">
        <v>9</v>
      </c>
      <c r="D1309" s="1">
        <v>41928</v>
      </c>
      <c r="E1309">
        <v>141</v>
      </c>
      <c r="F1309">
        <f>VLOOKUP(ORDERS[[#This Row],[ProductID]],Products[],4,FALSE)</f>
        <v>25</v>
      </c>
      <c r="G1309">
        <v>0</v>
      </c>
      <c r="H1309">
        <f>(ORDERS[[#This Row],[UnitsOrdered]]*ORDERS[[#This Row],[unit price]])-(ORDERS[[#This Row],[UnitsOrdered]]*ORDERS[[#This Row],[unit price]]*ORDERS[[#This Row],[Discount]])</f>
        <v>3525</v>
      </c>
      <c r="I1309" t="str">
        <f>VLOOKUP(ORDERS[[#This Row],[CustomerID]],customers[],2,FALSE)</f>
        <v>A Shirts Life</v>
      </c>
      <c r="J1309" s="2" t="str">
        <f>VLOOKUP(ORDERS[[#This Row],[CustomerID]],customers[],4,FALSE)</f>
        <v>Portland</v>
      </c>
      <c r="K1309" s="2" t="str">
        <f>VLOOKUP(ORDERS[[#This Row],[ProductID]],Products[],3,FALSE)</f>
        <v>Male</v>
      </c>
      <c r="L1309" s="2">
        <f>DAY(ORDERS[[#This Row],[OrderDate]])</f>
        <v>16</v>
      </c>
      <c r="M1309" s="2">
        <f>YEAR(ORDERS[[#This Row],[OrderDate]])</f>
        <v>2014</v>
      </c>
    </row>
    <row r="1310" spans="1:13" x14ac:dyDescent="0.3">
      <c r="A1310">
        <v>1309</v>
      </c>
      <c r="B1310">
        <v>7</v>
      </c>
      <c r="C1310">
        <v>10</v>
      </c>
      <c r="D1310" s="1">
        <v>41930</v>
      </c>
      <c r="E1310">
        <v>74</v>
      </c>
      <c r="F1310">
        <f>VLOOKUP(ORDERS[[#This Row],[ProductID]],Products[],4,FALSE)</f>
        <v>35</v>
      </c>
      <c r="G1310">
        <v>0</v>
      </c>
      <c r="H1310">
        <f>(ORDERS[[#This Row],[UnitsOrdered]]*ORDERS[[#This Row],[unit price]])-(ORDERS[[#This Row],[UnitsOrdered]]*ORDERS[[#This Row],[unit price]]*ORDERS[[#This Row],[Discount]])</f>
        <v>2590</v>
      </c>
      <c r="I1310" t="str">
        <f>VLOOKUP(ORDERS[[#This Row],[CustomerID]],customers[],2,FALSE)</f>
        <v>The Shirt on Your Back</v>
      </c>
      <c r="J1310" s="2" t="str">
        <f>VLOOKUP(ORDERS[[#This Row],[CustomerID]],customers[],4,FALSE)</f>
        <v>Bonners Ferry</v>
      </c>
      <c r="K1310" s="2" t="str">
        <f>VLOOKUP(ORDERS[[#This Row],[ProductID]],Products[],3,FALSE)</f>
        <v>Male</v>
      </c>
      <c r="L1310" s="2">
        <f>DAY(ORDERS[[#This Row],[OrderDate]])</f>
        <v>18</v>
      </c>
      <c r="M1310" s="2">
        <f>YEAR(ORDERS[[#This Row],[OrderDate]])</f>
        <v>2014</v>
      </c>
    </row>
    <row r="1311" spans="1:13" x14ac:dyDescent="0.3">
      <c r="A1311">
        <v>1310</v>
      </c>
      <c r="B1311">
        <v>5</v>
      </c>
      <c r="C1311">
        <v>1</v>
      </c>
      <c r="D1311" s="1">
        <v>41931</v>
      </c>
      <c r="E1311">
        <v>125</v>
      </c>
      <c r="F1311">
        <f>VLOOKUP(ORDERS[[#This Row],[ProductID]],Products[],4,FALSE)</f>
        <v>20</v>
      </c>
      <c r="G1311">
        <v>0.10000000100000001</v>
      </c>
      <c r="H1311">
        <f>(ORDERS[[#This Row],[UnitsOrdered]]*ORDERS[[#This Row],[unit price]])-(ORDERS[[#This Row],[UnitsOrdered]]*ORDERS[[#This Row],[unit price]]*ORDERS[[#This Row],[Discount]])</f>
        <v>2249.9999975000001</v>
      </c>
      <c r="I1311" t="str">
        <f>VLOOKUP(ORDERS[[#This Row],[CustomerID]],customers[],2,FALSE)</f>
        <v>Rags to Riches</v>
      </c>
      <c r="J1311" s="2" t="str">
        <f>VLOOKUP(ORDERS[[#This Row],[CustomerID]],customers[],4,FALSE)</f>
        <v>Las Vegas</v>
      </c>
      <c r="K1311" s="2" t="str">
        <f>VLOOKUP(ORDERS[[#This Row],[ProductID]],Products[],3,FALSE)</f>
        <v>Both</v>
      </c>
      <c r="L1311" s="2">
        <f>DAY(ORDERS[[#This Row],[OrderDate]])</f>
        <v>19</v>
      </c>
      <c r="M1311" s="2">
        <f>YEAR(ORDERS[[#This Row],[OrderDate]])</f>
        <v>2014</v>
      </c>
    </row>
    <row r="1312" spans="1:13" x14ac:dyDescent="0.3">
      <c r="A1312">
        <v>1311</v>
      </c>
      <c r="B1312">
        <v>3</v>
      </c>
      <c r="C1312">
        <v>7</v>
      </c>
      <c r="D1312" s="1">
        <v>41932</v>
      </c>
      <c r="E1312">
        <v>36</v>
      </c>
      <c r="F1312">
        <f>VLOOKUP(ORDERS[[#This Row],[ProductID]],Products[],4,FALSE)</f>
        <v>38</v>
      </c>
      <c r="G1312">
        <v>0</v>
      </c>
      <c r="H1312">
        <f>(ORDERS[[#This Row],[UnitsOrdered]]*ORDERS[[#This Row],[unit price]])-(ORDERS[[#This Row],[UnitsOrdered]]*ORDERS[[#This Row],[unit price]]*ORDERS[[#This Row],[Discount]])</f>
        <v>1368</v>
      </c>
      <c r="I1312" t="str">
        <f>VLOOKUP(ORDERS[[#This Row],[CustomerID]],customers[],2,FALSE)</f>
        <v>Shirts R Us</v>
      </c>
      <c r="J1312" s="2" t="str">
        <f>VLOOKUP(ORDERS[[#This Row],[CustomerID]],customers[],4,FALSE)</f>
        <v>Los Angeles</v>
      </c>
      <c r="K1312" s="2" t="str">
        <f>VLOOKUP(ORDERS[[#This Row],[ProductID]],Products[],3,FALSE)</f>
        <v>Female</v>
      </c>
      <c r="L1312" s="2">
        <f>DAY(ORDERS[[#This Row],[OrderDate]])</f>
        <v>20</v>
      </c>
      <c r="M1312" s="2">
        <f>YEAR(ORDERS[[#This Row],[OrderDate]])</f>
        <v>2014</v>
      </c>
    </row>
    <row r="1313" spans="1:13" x14ac:dyDescent="0.3">
      <c r="A1313">
        <v>1312</v>
      </c>
      <c r="B1313">
        <v>4</v>
      </c>
      <c r="C1313">
        <v>5</v>
      </c>
      <c r="D1313" s="1">
        <v>41933</v>
      </c>
      <c r="E1313">
        <v>101</v>
      </c>
      <c r="F1313">
        <f>VLOOKUP(ORDERS[[#This Row],[ProductID]],Products[],4,FALSE)</f>
        <v>16</v>
      </c>
      <c r="G1313">
        <v>0.10000000100000001</v>
      </c>
      <c r="H1313">
        <f>(ORDERS[[#This Row],[UnitsOrdered]]*ORDERS[[#This Row],[unit price]])-(ORDERS[[#This Row],[UnitsOrdered]]*ORDERS[[#This Row],[unit price]]*ORDERS[[#This Row],[Discount]])</f>
        <v>1454.3999983839999</v>
      </c>
      <c r="I1313" t="str">
        <f>VLOOKUP(ORDERS[[#This Row],[CustomerID]],customers[],2,FALSE)</f>
        <v>Tshirt Unlimited</v>
      </c>
      <c r="J1313" s="2" t="str">
        <f>VLOOKUP(ORDERS[[#This Row],[CustomerID]],customers[],4,FALSE)</f>
        <v>Phoenix</v>
      </c>
      <c r="K1313" s="2" t="str">
        <f>VLOOKUP(ORDERS[[#This Row],[ProductID]],Products[],3,FALSE)</f>
        <v>Female</v>
      </c>
      <c r="L1313" s="2">
        <f>DAY(ORDERS[[#This Row],[OrderDate]])</f>
        <v>21</v>
      </c>
      <c r="M1313" s="2">
        <f>YEAR(ORDERS[[#This Row],[OrderDate]])</f>
        <v>2014</v>
      </c>
    </row>
    <row r="1314" spans="1:13" x14ac:dyDescent="0.3">
      <c r="A1314">
        <v>1313</v>
      </c>
      <c r="B1314">
        <v>3</v>
      </c>
      <c r="C1314">
        <v>7</v>
      </c>
      <c r="D1314" s="1">
        <v>41934</v>
      </c>
      <c r="E1314">
        <v>148</v>
      </c>
      <c r="F1314">
        <f>VLOOKUP(ORDERS[[#This Row],[ProductID]],Products[],4,FALSE)</f>
        <v>38</v>
      </c>
      <c r="G1314">
        <v>0.10000000100000001</v>
      </c>
      <c r="H1314">
        <f>(ORDERS[[#This Row],[UnitsOrdered]]*ORDERS[[#This Row],[unit price]])-(ORDERS[[#This Row],[UnitsOrdered]]*ORDERS[[#This Row],[unit price]]*ORDERS[[#This Row],[Discount]])</f>
        <v>5061.5999943759998</v>
      </c>
      <c r="I1314" t="str">
        <f>VLOOKUP(ORDERS[[#This Row],[CustomerID]],customers[],2,FALSE)</f>
        <v>Shirts R Us</v>
      </c>
      <c r="J1314" s="2" t="str">
        <f>VLOOKUP(ORDERS[[#This Row],[CustomerID]],customers[],4,FALSE)</f>
        <v>Los Angeles</v>
      </c>
      <c r="K1314" s="2" t="str">
        <f>VLOOKUP(ORDERS[[#This Row],[ProductID]],Products[],3,FALSE)</f>
        <v>Female</v>
      </c>
      <c r="L1314" s="2">
        <f>DAY(ORDERS[[#This Row],[OrderDate]])</f>
        <v>22</v>
      </c>
      <c r="M1314" s="2">
        <f>YEAR(ORDERS[[#This Row],[OrderDate]])</f>
        <v>2014</v>
      </c>
    </row>
    <row r="1315" spans="1:13" x14ac:dyDescent="0.3">
      <c r="A1315">
        <v>1314</v>
      </c>
      <c r="B1315">
        <v>1</v>
      </c>
      <c r="C1315">
        <v>3</v>
      </c>
      <c r="D1315" s="1">
        <v>41935</v>
      </c>
      <c r="E1315">
        <v>39</v>
      </c>
      <c r="F1315">
        <f>VLOOKUP(ORDERS[[#This Row],[ProductID]],Products[],4,FALSE)</f>
        <v>22</v>
      </c>
      <c r="G1315">
        <v>0</v>
      </c>
      <c r="H1315">
        <f>(ORDERS[[#This Row],[UnitsOrdered]]*ORDERS[[#This Row],[unit price]])-(ORDERS[[#This Row],[UnitsOrdered]]*ORDERS[[#This Row],[unit price]]*ORDERS[[#This Row],[Discount]])</f>
        <v>858</v>
      </c>
      <c r="I1315" t="str">
        <f>VLOOKUP(ORDERS[[#This Row],[CustomerID]],customers[],2,FALSE)</f>
        <v>Threads</v>
      </c>
      <c r="J1315" s="2" t="str">
        <f>VLOOKUP(ORDERS[[#This Row],[CustomerID]],customers[],4,FALSE)</f>
        <v>Seattle</v>
      </c>
      <c r="K1315" s="2" t="str">
        <f>VLOOKUP(ORDERS[[#This Row],[ProductID]],Products[],3,FALSE)</f>
        <v>Both</v>
      </c>
      <c r="L1315" s="2">
        <f>DAY(ORDERS[[#This Row],[OrderDate]])</f>
        <v>23</v>
      </c>
      <c r="M1315" s="2">
        <f>YEAR(ORDERS[[#This Row],[OrderDate]])</f>
        <v>2014</v>
      </c>
    </row>
    <row r="1316" spans="1:13" x14ac:dyDescent="0.3">
      <c r="A1316">
        <v>1315</v>
      </c>
      <c r="B1316">
        <v>3</v>
      </c>
      <c r="C1316">
        <v>10</v>
      </c>
      <c r="D1316" s="1">
        <v>41938</v>
      </c>
      <c r="E1316">
        <v>43</v>
      </c>
      <c r="F1316">
        <f>VLOOKUP(ORDERS[[#This Row],[ProductID]],Products[],4,FALSE)</f>
        <v>35</v>
      </c>
      <c r="G1316">
        <v>0</v>
      </c>
      <c r="H1316">
        <f>(ORDERS[[#This Row],[UnitsOrdered]]*ORDERS[[#This Row],[unit price]])-(ORDERS[[#This Row],[UnitsOrdered]]*ORDERS[[#This Row],[unit price]]*ORDERS[[#This Row],[Discount]])</f>
        <v>1505</v>
      </c>
      <c r="I1316" t="str">
        <f>VLOOKUP(ORDERS[[#This Row],[CustomerID]],customers[],2,FALSE)</f>
        <v>Shirts R Us</v>
      </c>
      <c r="J1316" s="2" t="str">
        <f>VLOOKUP(ORDERS[[#This Row],[CustomerID]],customers[],4,FALSE)</f>
        <v>Los Angeles</v>
      </c>
      <c r="K1316" s="2" t="str">
        <f>VLOOKUP(ORDERS[[#This Row],[ProductID]],Products[],3,FALSE)</f>
        <v>Male</v>
      </c>
      <c r="L1316" s="2">
        <f>DAY(ORDERS[[#This Row],[OrderDate]])</f>
        <v>26</v>
      </c>
      <c r="M1316" s="2">
        <f>YEAR(ORDERS[[#This Row],[OrderDate]])</f>
        <v>2014</v>
      </c>
    </row>
    <row r="1317" spans="1:13" x14ac:dyDescent="0.3">
      <c r="A1317">
        <v>1316</v>
      </c>
      <c r="B1317">
        <v>3</v>
      </c>
      <c r="C1317">
        <v>5</v>
      </c>
      <c r="D1317" s="1">
        <v>41939</v>
      </c>
      <c r="E1317">
        <v>83</v>
      </c>
      <c r="F1317">
        <f>VLOOKUP(ORDERS[[#This Row],[ProductID]],Products[],4,FALSE)</f>
        <v>16</v>
      </c>
      <c r="G1317">
        <v>0</v>
      </c>
      <c r="H1317">
        <f>(ORDERS[[#This Row],[UnitsOrdered]]*ORDERS[[#This Row],[unit price]])-(ORDERS[[#This Row],[UnitsOrdered]]*ORDERS[[#This Row],[unit price]]*ORDERS[[#This Row],[Discount]])</f>
        <v>1328</v>
      </c>
      <c r="I1317" t="str">
        <f>VLOOKUP(ORDERS[[#This Row],[CustomerID]],customers[],2,FALSE)</f>
        <v>Shirts R Us</v>
      </c>
      <c r="J1317" s="2" t="str">
        <f>VLOOKUP(ORDERS[[#This Row],[CustomerID]],customers[],4,FALSE)</f>
        <v>Los Angeles</v>
      </c>
      <c r="K1317" s="2" t="str">
        <f>VLOOKUP(ORDERS[[#This Row],[ProductID]],Products[],3,FALSE)</f>
        <v>Female</v>
      </c>
      <c r="L1317" s="2">
        <f>DAY(ORDERS[[#This Row],[OrderDate]])</f>
        <v>27</v>
      </c>
      <c r="M1317" s="2">
        <f>YEAR(ORDERS[[#This Row],[OrderDate]])</f>
        <v>2014</v>
      </c>
    </row>
    <row r="1318" spans="1:13" x14ac:dyDescent="0.3">
      <c r="A1318">
        <v>1317</v>
      </c>
      <c r="B1318">
        <v>7</v>
      </c>
      <c r="C1318">
        <v>5</v>
      </c>
      <c r="D1318" s="1">
        <v>41939</v>
      </c>
      <c r="E1318">
        <v>48</v>
      </c>
      <c r="F1318">
        <f>VLOOKUP(ORDERS[[#This Row],[ProductID]],Products[],4,FALSE)</f>
        <v>16</v>
      </c>
      <c r="G1318">
        <v>0</v>
      </c>
      <c r="H1318">
        <f>(ORDERS[[#This Row],[UnitsOrdered]]*ORDERS[[#This Row],[unit price]])-(ORDERS[[#This Row],[UnitsOrdered]]*ORDERS[[#This Row],[unit price]]*ORDERS[[#This Row],[Discount]])</f>
        <v>768</v>
      </c>
      <c r="I1318" t="str">
        <f>VLOOKUP(ORDERS[[#This Row],[CustomerID]],customers[],2,FALSE)</f>
        <v>The Shirt on Your Back</v>
      </c>
      <c r="J1318" s="2" t="str">
        <f>VLOOKUP(ORDERS[[#This Row],[CustomerID]],customers[],4,FALSE)</f>
        <v>Bonners Ferry</v>
      </c>
      <c r="K1318" s="2" t="str">
        <f>VLOOKUP(ORDERS[[#This Row],[ProductID]],Products[],3,FALSE)</f>
        <v>Female</v>
      </c>
      <c r="L1318" s="2">
        <f>DAY(ORDERS[[#This Row],[OrderDate]])</f>
        <v>27</v>
      </c>
      <c r="M1318" s="2">
        <f>YEAR(ORDERS[[#This Row],[OrderDate]])</f>
        <v>2014</v>
      </c>
    </row>
    <row r="1319" spans="1:13" x14ac:dyDescent="0.3">
      <c r="A1319">
        <v>1318</v>
      </c>
      <c r="B1319">
        <v>7</v>
      </c>
      <c r="C1319">
        <v>7</v>
      </c>
      <c r="D1319" s="1">
        <v>41939</v>
      </c>
      <c r="E1319">
        <v>27</v>
      </c>
      <c r="F1319">
        <f>VLOOKUP(ORDERS[[#This Row],[ProductID]],Products[],4,FALSE)</f>
        <v>38</v>
      </c>
      <c r="G1319">
        <v>0</v>
      </c>
      <c r="H1319">
        <f>(ORDERS[[#This Row],[UnitsOrdered]]*ORDERS[[#This Row],[unit price]])-(ORDERS[[#This Row],[UnitsOrdered]]*ORDERS[[#This Row],[unit price]]*ORDERS[[#This Row],[Discount]])</f>
        <v>1026</v>
      </c>
      <c r="I1319" t="str">
        <f>VLOOKUP(ORDERS[[#This Row],[CustomerID]],customers[],2,FALSE)</f>
        <v>The Shirt on Your Back</v>
      </c>
      <c r="J1319" s="2" t="str">
        <f>VLOOKUP(ORDERS[[#This Row],[CustomerID]],customers[],4,FALSE)</f>
        <v>Bonners Ferry</v>
      </c>
      <c r="K1319" s="2" t="str">
        <f>VLOOKUP(ORDERS[[#This Row],[ProductID]],Products[],3,FALSE)</f>
        <v>Female</v>
      </c>
      <c r="L1319" s="2">
        <f>DAY(ORDERS[[#This Row],[OrderDate]])</f>
        <v>27</v>
      </c>
      <c r="M1319" s="2">
        <f>YEAR(ORDERS[[#This Row],[OrderDate]])</f>
        <v>2014</v>
      </c>
    </row>
    <row r="1320" spans="1:13" x14ac:dyDescent="0.3">
      <c r="A1320">
        <v>1319</v>
      </c>
      <c r="B1320">
        <v>1</v>
      </c>
      <c r="C1320">
        <v>7</v>
      </c>
      <c r="D1320" s="1">
        <v>41940</v>
      </c>
      <c r="E1320">
        <v>94</v>
      </c>
      <c r="F1320">
        <f>VLOOKUP(ORDERS[[#This Row],[ProductID]],Products[],4,FALSE)</f>
        <v>38</v>
      </c>
      <c r="G1320">
        <v>0</v>
      </c>
      <c r="H1320">
        <f>(ORDERS[[#This Row],[UnitsOrdered]]*ORDERS[[#This Row],[unit price]])-(ORDERS[[#This Row],[UnitsOrdered]]*ORDERS[[#This Row],[unit price]]*ORDERS[[#This Row],[Discount]])</f>
        <v>3572</v>
      </c>
      <c r="I1320" t="str">
        <f>VLOOKUP(ORDERS[[#This Row],[CustomerID]],customers[],2,FALSE)</f>
        <v>Threads</v>
      </c>
      <c r="J1320" s="2" t="str">
        <f>VLOOKUP(ORDERS[[#This Row],[CustomerID]],customers[],4,FALSE)</f>
        <v>Seattle</v>
      </c>
      <c r="K1320" s="2" t="str">
        <f>VLOOKUP(ORDERS[[#This Row],[ProductID]],Products[],3,FALSE)</f>
        <v>Female</v>
      </c>
      <c r="L1320" s="2">
        <f>DAY(ORDERS[[#This Row],[OrderDate]])</f>
        <v>28</v>
      </c>
      <c r="M1320" s="2">
        <f>YEAR(ORDERS[[#This Row],[OrderDate]])</f>
        <v>2014</v>
      </c>
    </row>
    <row r="1321" spans="1:13" x14ac:dyDescent="0.3">
      <c r="A1321">
        <v>1320</v>
      </c>
      <c r="B1321">
        <v>3</v>
      </c>
      <c r="C1321">
        <v>8</v>
      </c>
      <c r="D1321" s="1">
        <v>41940</v>
      </c>
      <c r="E1321">
        <v>113</v>
      </c>
      <c r="F1321">
        <f>VLOOKUP(ORDERS[[#This Row],[ProductID]],Products[],4,FALSE)</f>
        <v>27</v>
      </c>
      <c r="G1321">
        <v>0</v>
      </c>
      <c r="H1321">
        <f>(ORDERS[[#This Row],[UnitsOrdered]]*ORDERS[[#This Row],[unit price]])-(ORDERS[[#This Row],[UnitsOrdered]]*ORDERS[[#This Row],[unit price]]*ORDERS[[#This Row],[Discount]])</f>
        <v>3051</v>
      </c>
      <c r="I1321" t="str">
        <f>VLOOKUP(ORDERS[[#This Row],[CustomerID]],customers[],2,FALSE)</f>
        <v>Shirts R Us</v>
      </c>
      <c r="J1321" s="2" t="str">
        <f>VLOOKUP(ORDERS[[#This Row],[CustomerID]],customers[],4,FALSE)</f>
        <v>Los Angeles</v>
      </c>
      <c r="K1321" s="2" t="str">
        <f>VLOOKUP(ORDERS[[#This Row],[ProductID]],Products[],3,FALSE)</f>
        <v>Female</v>
      </c>
      <c r="L1321" s="2">
        <f>DAY(ORDERS[[#This Row],[OrderDate]])</f>
        <v>28</v>
      </c>
      <c r="M1321" s="2">
        <f>YEAR(ORDERS[[#This Row],[OrderDate]])</f>
        <v>2014</v>
      </c>
    </row>
    <row r="1322" spans="1:13" x14ac:dyDescent="0.3">
      <c r="A1322">
        <v>1321</v>
      </c>
      <c r="B1322">
        <v>7</v>
      </c>
      <c r="C1322">
        <v>2</v>
      </c>
      <c r="D1322" s="1">
        <v>41940</v>
      </c>
      <c r="E1322">
        <v>36</v>
      </c>
      <c r="F1322">
        <f>VLOOKUP(ORDERS[[#This Row],[ProductID]],Products[],4,FALSE)</f>
        <v>30</v>
      </c>
      <c r="G1322">
        <v>5.0000001000000002E-2</v>
      </c>
      <c r="H1322">
        <f>(ORDERS[[#This Row],[UnitsOrdered]]*ORDERS[[#This Row],[unit price]])-(ORDERS[[#This Row],[UnitsOrdered]]*ORDERS[[#This Row],[unit price]]*ORDERS[[#This Row],[Discount]])</f>
        <v>1025.9999989200001</v>
      </c>
      <c r="I1322" t="str">
        <f>VLOOKUP(ORDERS[[#This Row],[CustomerID]],customers[],2,FALSE)</f>
        <v>The Shirt on Your Back</v>
      </c>
      <c r="J1322" s="2" t="str">
        <f>VLOOKUP(ORDERS[[#This Row],[CustomerID]],customers[],4,FALSE)</f>
        <v>Bonners Ferry</v>
      </c>
      <c r="K1322" s="2" t="str">
        <f>VLOOKUP(ORDERS[[#This Row],[ProductID]],Products[],3,FALSE)</f>
        <v>Both</v>
      </c>
      <c r="L1322" s="2">
        <f>DAY(ORDERS[[#This Row],[OrderDate]])</f>
        <v>28</v>
      </c>
      <c r="M1322" s="2">
        <f>YEAR(ORDERS[[#This Row],[OrderDate]])</f>
        <v>2014</v>
      </c>
    </row>
    <row r="1323" spans="1:13" x14ac:dyDescent="0.3">
      <c r="A1323">
        <v>1322</v>
      </c>
      <c r="B1323">
        <v>4</v>
      </c>
      <c r="C1323">
        <v>4</v>
      </c>
      <c r="D1323" s="1">
        <v>41941</v>
      </c>
      <c r="E1323">
        <v>122</v>
      </c>
      <c r="F1323">
        <f>VLOOKUP(ORDERS[[#This Row],[ProductID]],Products[],4,FALSE)</f>
        <v>30</v>
      </c>
      <c r="G1323">
        <v>0</v>
      </c>
      <c r="H1323">
        <f>(ORDERS[[#This Row],[UnitsOrdered]]*ORDERS[[#This Row],[unit price]])-(ORDERS[[#This Row],[UnitsOrdered]]*ORDERS[[#This Row],[unit price]]*ORDERS[[#This Row],[Discount]])</f>
        <v>3660</v>
      </c>
      <c r="I1323" t="str">
        <f>VLOOKUP(ORDERS[[#This Row],[CustomerID]],customers[],2,FALSE)</f>
        <v>Tshirt Unlimited</v>
      </c>
      <c r="J1323" s="2" t="str">
        <f>VLOOKUP(ORDERS[[#This Row],[CustomerID]],customers[],4,FALSE)</f>
        <v>Phoenix</v>
      </c>
      <c r="K1323" s="2" t="str">
        <f>VLOOKUP(ORDERS[[#This Row],[ProductID]],Products[],3,FALSE)</f>
        <v>Both</v>
      </c>
      <c r="L1323" s="2">
        <f>DAY(ORDERS[[#This Row],[OrderDate]])</f>
        <v>29</v>
      </c>
      <c r="M1323" s="2">
        <f>YEAR(ORDERS[[#This Row],[OrderDate]])</f>
        <v>2014</v>
      </c>
    </row>
    <row r="1324" spans="1:13" x14ac:dyDescent="0.3">
      <c r="A1324">
        <v>1323</v>
      </c>
      <c r="B1324">
        <v>6</v>
      </c>
      <c r="C1324">
        <v>4</v>
      </c>
      <c r="D1324" s="1">
        <v>41941</v>
      </c>
      <c r="E1324">
        <v>42</v>
      </c>
      <c r="F1324">
        <f>VLOOKUP(ORDERS[[#This Row],[ProductID]],Products[],4,FALSE)</f>
        <v>30</v>
      </c>
      <c r="G1324">
        <v>0</v>
      </c>
      <c r="H1324">
        <f>(ORDERS[[#This Row],[UnitsOrdered]]*ORDERS[[#This Row],[unit price]])-(ORDERS[[#This Row],[UnitsOrdered]]*ORDERS[[#This Row],[unit price]]*ORDERS[[#This Row],[Discount]])</f>
        <v>1260</v>
      </c>
      <c r="I1324" t="str">
        <f>VLOOKUP(ORDERS[[#This Row],[CustomerID]],customers[],2,FALSE)</f>
        <v>Abracadaba Ink</v>
      </c>
      <c r="J1324" s="2" t="str">
        <f>VLOOKUP(ORDERS[[#This Row],[CustomerID]],customers[],4,FALSE)</f>
        <v>Salt Lake City</v>
      </c>
      <c r="K1324" s="2" t="str">
        <f>VLOOKUP(ORDERS[[#This Row],[ProductID]],Products[],3,FALSE)</f>
        <v>Both</v>
      </c>
      <c r="L1324" s="2">
        <f>DAY(ORDERS[[#This Row],[OrderDate]])</f>
        <v>29</v>
      </c>
      <c r="M1324" s="2">
        <f>YEAR(ORDERS[[#This Row],[OrderDate]])</f>
        <v>2014</v>
      </c>
    </row>
    <row r="1325" spans="1:13" x14ac:dyDescent="0.3">
      <c r="A1325">
        <v>1324</v>
      </c>
      <c r="B1325">
        <v>1</v>
      </c>
      <c r="C1325">
        <v>1</v>
      </c>
      <c r="D1325" s="1">
        <v>41942</v>
      </c>
      <c r="E1325">
        <v>78</v>
      </c>
      <c r="F1325">
        <f>VLOOKUP(ORDERS[[#This Row],[ProductID]],Products[],4,FALSE)</f>
        <v>20</v>
      </c>
      <c r="G1325">
        <v>0</v>
      </c>
      <c r="H1325">
        <f>(ORDERS[[#This Row],[UnitsOrdered]]*ORDERS[[#This Row],[unit price]])-(ORDERS[[#This Row],[UnitsOrdered]]*ORDERS[[#This Row],[unit price]]*ORDERS[[#This Row],[Discount]])</f>
        <v>1560</v>
      </c>
      <c r="I1325" t="str">
        <f>VLOOKUP(ORDERS[[#This Row],[CustomerID]],customers[],2,FALSE)</f>
        <v>Threads</v>
      </c>
      <c r="J1325" s="2" t="str">
        <f>VLOOKUP(ORDERS[[#This Row],[CustomerID]],customers[],4,FALSE)</f>
        <v>Seattle</v>
      </c>
      <c r="K1325" s="2" t="str">
        <f>VLOOKUP(ORDERS[[#This Row],[ProductID]],Products[],3,FALSE)</f>
        <v>Both</v>
      </c>
      <c r="L1325" s="2">
        <f>DAY(ORDERS[[#This Row],[OrderDate]])</f>
        <v>30</v>
      </c>
      <c r="M1325" s="2">
        <f>YEAR(ORDERS[[#This Row],[OrderDate]])</f>
        <v>2014</v>
      </c>
    </row>
    <row r="1326" spans="1:13" x14ac:dyDescent="0.3">
      <c r="A1326">
        <v>1325</v>
      </c>
      <c r="B1326">
        <v>1</v>
      </c>
      <c r="C1326">
        <v>10</v>
      </c>
      <c r="D1326" s="1">
        <v>41944</v>
      </c>
      <c r="E1326">
        <v>116</v>
      </c>
      <c r="F1326">
        <f>VLOOKUP(ORDERS[[#This Row],[ProductID]],Products[],4,FALSE)</f>
        <v>35</v>
      </c>
      <c r="G1326">
        <v>0</v>
      </c>
      <c r="H1326">
        <f>(ORDERS[[#This Row],[UnitsOrdered]]*ORDERS[[#This Row],[unit price]])-(ORDERS[[#This Row],[UnitsOrdered]]*ORDERS[[#This Row],[unit price]]*ORDERS[[#This Row],[Discount]])</f>
        <v>4060</v>
      </c>
      <c r="I1326" t="str">
        <f>VLOOKUP(ORDERS[[#This Row],[CustomerID]],customers[],2,FALSE)</f>
        <v>Threads</v>
      </c>
      <c r="J1326" s="2" t="str">
        <f>VLOOKUP(ORDERS[[#This Row],[CustomerID]],customers[],4,FALSE)</f>
        <v>Seattle</v>
      </c>
      <c r="K1326" s="2" t="str">
        <f>VLOOKUP(ORDERS[[#This Row],[ProductID]],Products[],3,FALSE)</f>
        <v>Male</v>
      </c>
      <c r="L1326" s="2">
        <f>DAY(ORDERS[[#This Row],[OrderDate]])</f>
        <v>1</v>
      </c>
      <c r="M1326" s="2">
        <f>YEAR(ORDERS[[#This Row],[OrderDate]])</f>
        <v>2014</v>
      </c>
    </row>
    <row r="1327" spans="1:13" x14ac:dyDescent="0.3">
      <c r="A1327">
        <v>1326</v>
      </c>
      <c r="B1327">
        <v>2</v>
      </c>
      <c r="C1327">
        <v>10</v>
      </c>
      <c r="D1327" s="1">
        <v>41944</v>
      </c>
      <c r="E1327">
        <v>97</v>
      </c>
      <c r="F1327">
        <f>VLOOKUP(ORDERS[[#This Row],[ProductID]],Products[],4,FALSE)</f>
        <v>35</v>
      </c>
      <c r="G1327">
        <v>0</v>
      </c>
      <c r="H1327">
        <f>(ORDERS[[#This Row],[UnitsOrdered]]*ORDERS[[#This Row],[unit price]])-(ORDERS[[#This Row],[UnitsOrdered]]*ORDERS[[#This Row],[unit price]]*ORDERS[[#This Row],[Discount]])</f>
        <v>3395</v>
      </c>
      <c r="I1327" t="str">
        <f>VLOOKUP(ORDERS[[#This Row],[CustomerID]],customers[],2,FALSE)</f>
        <v>A Shirts Life</v>
      </c>
      <c r="J1327" s="2" t="str">
        <f>VLOOKUP(ORDERS[[#This Row],[CustomerID]],customers[],4,FALSE)</f>
        <v>Portland</v>
      </c>
      <c r="K1327" s="2" t="str">
        <f>VLOOKUP(ORDERS[[#This Row],[ProductID]],Products[],3,FALSE)</f>
        <v>Male</v>
      </c>
      <c r="L1327" s="2">
        <f>DAY(ORDERS[[#This Row],[OrderDate]])</f>
        <v>1</v>
      </c>
      <c r="M1327" s="2">
        <f>YEAR(ORDERS[[#This Row],[OrderDate]])</f>
        <v>2014</v>
      </c>
    </row>
    <row r="1328" spans="1:13" x14ac:dyDescent="0.3">
      <c r="A1328">
        <v>1327</v>
      </c>
      <c r="B1328">
        <v>3</v>
      </c>
      <c r="C1328">
        <v>2</v>
      </c>
      <c r="D1328" s="1">
        <v>41944</v>
      </c>
      <c r="E1328">
        <v>108</v>
      </c>
      <c r="F1328">
        <f>VLOOKUP(ORDERS[[#This Row],[ProductID]],Products[],4,FALSE)</f>
        <v>30</v>
      </c>
      <c r="G1328">
        <v>0</v>
      </c>
      <c r="H1328">
        <f>(ORDERS[[#This Row],[UnitsOrdered]]*ORDERS[[#This Row],[unit price]])-(ORDERS[[#This Row],[UnitsOrdered]]*ORDERS[[#This Row],[unit price]]*ORDERS[[#This Row],[Discount]])</f>
        <v>3240</v>
      </c>
      <c r="I1328" t="str">
        <f>VLOOKUP(ORDERS[[#This Row],[CustomerID]],customers[],2,FALSE)</f>
        <v>Shirts R Us</v>
      </c>
      <c r="J1328" s="2" t="str">
        <f>VLOOKUP(ORDERS[[#This Row],[CustomerID]],customers[],4,FALSE)</f>
        <v>Los Angeles</v>
      </c>
      <c r="K1328" s="2" t="str">
        <f>VLOOKUP(ORDERS[[#This Row],[ProductID]],Products[],3,FALSE)</f>
        <v>Both</v>
      </c>
      <c r="L1328" s="2">
        <f>DAY(ORDERS[[#This Row],[OrderDate]])</f>
        <v>1</v>
      </c>
      <c r="M1328" s="2">
        <f>YEAR(ORDERS[[#This Row],[OrderDate]])</f>
        <v>2014</v>
      </c>
    </row>
    <row r="1329" spans="1:13" x14ac:dyDescent="0.3">
      <c r="A1329">
        <v>1328</v>
      </c>
      <c r="B1329">
        <v>4</v>
      </c>
      <c r="C1329">
        <v>5</v>
      </c>
      <c r="D1329" s="1">
        <v>41944</v>
      </c>
      <c r="E1329">
        <v>134</v>
      </c>
      <c r="F1329">
        <f>VLOOKUP(ORDERS[[#This Row],[ProductID]],Products[],4,FALSE)</f>
        <v>16</v>
      </c>
      <c r="G1329">
        <v>0</v>
      </c>
      <c r="H1329">
        <f>(ORDERS[[#This Row],[UnitsOrdered]]*ORDERS[[#This Row],[unit price]])-(ORDERS[[#This Row],[UnitsOrdered]]*ORDERS[[#This Row],[unit price]]*ORDERS[[#This Row],[Discount]])</f>
        <v>2144</v>
      </c>
      <c r="I1329" t="str">
        <f>VLOOKUP(ORDERS[[#This Row],[CustomerID]],customers[],2,FALSE)</f>
        <v>Tshirt Unlimited</v>
      </c>
      <c r="J1329" s="2" t="str">
        <f>VLOOKUP(ORDERS[[#This Row],[CustomerID]],customers[],4,FALSE)</f>
        <v>Phoenix</v>
      </c>
      <c r="K1329" s="2" t="str">
        <f>VLOOKUP(ORDERS[[#This Row],[ProductID]],Products[],3,FALSE)</f>
        <v>Female</v>
      </c>
      <c r="L1329" s="2">
        <f>DAY(ORDERS[[#This Row],[OrderDate]])</f>
        <v>1</v>
      </c>
      <c r="M1329" s="2">
        <f>YEAR(ORDERS[[#This Row],[OrderDate]])</f>
        <v>2014</v>
      </c>
    </row>
    <row r="1330" spans="1:13" x14ac:dyDescent="0.3">
      <c r="A1330">
        <v>1329</v>
      </c>
      <c r="B1330">
        <v>1</v>
      </c>
      <c r="C1330">
        <v>9</v>
      </c>
      <c r="D1330" s="1">
        <v>41946</v>
      </c>
      <c r="E1330">
        <v>101</v>
      </c>
      <c r="F1330">
        <f>VLOOKUP(ORDERS[[#This Row],[ProductID]],Products[],4,FALSE)</f>
        <v>25</v>
      </c>
      <c r="G1330">
        <v>0</v>
      </c>
      <c r="H1330">
        <f>(ORDERS[[#This Row],[UnitsOrdered]]*ORDERS[[#This Row],[unit price]])-(ORDERS[[#This Row],[UnitsOrdered]]*ORDERS[[#This Row],[unit price]]*ORDERS[[#This Row],[Discount]])</f>
        <v>2525</v>
      </c>
      <c r="I1330" t="str">
        <f>VLOOKUP(ORDERS[[#This Row],[CustomerID]],customers[],2,FALSE)</f>
        <v>Threads</v>
      </c>
      <c r="J1330" s="2" t="str">
        <f>VLOOKUP(ORDERS[[#This Row],[CustomerID]],customers[],4,FALSE)</f>
        <v>Seattle</v>
      </c>
      <c r="K1330" s="2" t="str">
        <f>VLOOKUP(ORDERS[[#This Row],[ProductID]],Products[],3,FALSE)</f>
        <v>Male</v>
      </c>
      <c r="L1330" s="2">
        <f>DAY(ORDERS[[#This Row],[OrderDate]])</f>
        <v>3</v>
      </c>
      <c r="M1330" s="2">
        <f>YEAR(ORDERS[[#This Row],[OrderDate]])</f>
        <v>2014</v>
      </c>
    </row>
    <row r="1331" spans="1:13" x14ac:dyDescent="0.3">
      <c r="A1331">
        <v>1330</v>
      </c>
      <c r="B1331">
        <v>4</v>
      </c>
      <c r="C1331">
        <v>1</v>
      </c>
      <c r="D1331" s="1">
        <v>41946</v>
      </c>
      <c r="E1331">
        <v>57</v>
      </c>
      <c r="F1331">
        <f>VLOOKUP(ORDERS[[#This Row],[ProductID]],Products[],4,FALSE)</f>
        <v>20</v>
      </c>
      <c r="G1331">
        <v>0</v>
      </c>
      <c r="H1331">
        <f>(ORDERS[[#This Row],[UnitsOrdered]]*ORDERS[[#This Row],[unit price]])-(ORDERS[[#This Row],[UnitsOrdered]]*ORDERS[[#This Row],[unit price]]*ORDERS[[#This Row],[Discount]])</f>
        <v>1140</v>
      </c>
      <c r="I1331" t="str">
        <f>VLOOKUP(ORDERS[[#This Row],[CustomerID]],customers[],2,FALSE)</f>
        <v>Tshirt Unlimited</v>
      </c>
      <c r="J1331" s="2" t="str">
        <f>VLOOKUP(ORDERS[[#This Row],[CustomerID]],customers[],4,FALSE)</f>
        <v>Phoenix</v>
      </c>
      <c r="K1331" s="2" t="str">
        <f>VLOOKUP(ORDERS[[#This Row],[ProductID]],Products[],3,FALSE)</f>
        <v>Both</v>
      </c>
      <c r="L1331" s="2">
        <f>DAY(ORDERS[[#This Row],[OrderDate]])</f>
        <v>3</v>
      </c>
      <c r="M1331" s="2">
        <f>YEAR(ORDERS[[#This Row],[OrderDate]])</f>
        <v>2014</v>
      </c>
    </row>
    <row r="1332" spans="1:13" x14ac:dyDescent="0.3">
      <c r="A1332">
        <v>1331</v>
      </c>
      <c r="B1332">
        <v>4</v>
      </c>
      <c r="C1332">
        <v>8</v>
      </c>
      <c r="D1332" s="1">
        <v>41946</v>
      </c>
      <c r="E1332">
        <v>58</v>
      </c>
      <c r="F1332">
        <f>VLOOKUP(ORDERS[[#This Row],[ProductID]],Products[],4,FALSE)</f>
        <v>27</v>
      </c>
      <c r="G1332">
        <v>0</v>
      </c>
      <c r="H1332">
        <f>(ORDERS[[#This Row],[UnitsOrdered]]*ORDERS[[#This Row],[unit price]])-(ORDERS[[#This Row],[UnitsOrdered]]*ORDERS[[#This Row],[unit price]]*ORDERS[[#This Row],[Discount]])</f>
        <v>1566</v>
      </c>
      <c r="I1332" t="str">
        <f>VLOOKUP(ORDERS[[#This Row],[CustomerID]],customers[],2,FALSE)</f>
        <v>Tshirt Unlimited</v>
      </c>
      <c r="J1332" s="2" t="str">
        <f>VLOOKUP(ORDERS[[#This Row],[CustomerID]],customers[],4,FALSE)</f>
        <v>Phoenix</v>
      </c>
      <c r="K1332" s="2" t="str">
        <f>VLOOKUP(ORDERS[[#This Row],[ProductID]],Products[],3,FALSE)</f>
        <v>Female</v>
      </c>
      <c r="L1332" s="2">
        <f>DAY(ORDERS[[#This Row],[OrderDate]])</f>
        <v>3</v>
      </c>
      <c r="M1332" s="2">
        <f>YEAR(ORDERS[[#This Row],[OrderDate]])</f>
        <v>2014</v>
      </c>
    </row>
    <row r="1333" spans="1:13" x14ac:dyDescent="0.3">
      <c r="A1333">
        <v>1332</v>
      </c>
      <c r="B1333">
        <v>1</v>
      </c>
      <c r="C1333">
        <v>2</v>
      </c>
      <c r="D1333" s="1">
        <v>41947</v>
      </c>
      <c r="E1333">
        <v>129</v>
      </c>
      <c r="F1333">
        <f>VLOOKUP(ORDERS[[#This Row],[ProductID]],Products[],4,FALSE)</f>
        <v>30</v>
      </c>
      <c r="G1333">
        <v>0</v>
      </c>
      <c r="H1333">
        <f>(ORDERS[[#This Row],[UnitsOrdered]]*ORDERS[[#This Row],[unit price]])-(ORDERS[[#This Row],[UnitsOrdered]]*ORDERS[[#This Row],[unit price]]*ORDERS[[#This Row],[Discount]])</f>
        <v>3870</v>
      </c>
      <c r="I1333" t="str">
        <f>VLOOKUP(ORDERS[[#This Row],[CustomerID]],customers[],2,FALSE)</f>
        <v>Threads</v>
      </c>
      <c r="J1333" s="2" t="str">
        <f>VLOOKUP(ORDERS[[#This Row],[CustomerID]],customers[],4,FALSE)</f>
        <v>Seattle</v>
      </c>
      <c r="K1333" s="2" t="str">
        <f>VLOOKUP(ORDERS[[#This Row],[ProductID]],Products[],3,FALSE)</f>
        <v>Both</v>
      </c>
      <c r="L1333" s="2">
        <f>DAY(ORDERS[[#This Row],[OrderDate]])</f>
        <v>4</v>
      </c>
      <c r="M1333" s="2">
        <f>YEAR(ORDERS[[#This Row],[OrderDate]])</f>
        <v>2014</v>
      </c>
    </row>
    <row r="1334" spans="1:13" x14ac:dyDescent="0.3">
      <c r="A1334">
        <v>1333</v>
      </c>
      <c r="B1334">
        <v>6</v>
      </c>
      <c r="C1334">
        <v>6</v>
      </c>
      <c r="D1334" s="1">
        <v>41948</v>
      </c>
      <c r="E1334">
        <v>147</v>
      </c>
      <c r="F1334">
        <f>VLOOKUP(ORDERS[[#This Row],[ProductID]],Products[],4,FALSE)</f>
        <v>28</v>
      </c>
      <c r="G1334">
        <v>0</v>
      </c>
      <c r="H1334">
        <f>(ORDERS[[#This Row],[UnitsOrdered]]*ORDERS[[#This Row],[unit price]])-(ORDERS[[#This Row],[UnitsOrdered]]*ORDERS[[#This Row],[unit price]]*ORDERS[[#This Row],[Discount]])</f>
        <v>4116</v>
      </c>
      <c r="I1334" t="str">
        <f>VLOOKUP(ORDERS[[#This Row],[CustomerID]],customers[],2,FALSE)</f>
        <v>Abracadaba Ink</v>
      </c>
      <c r="J1334" s="2" t="str">
        <f>VLOOKUP(ORDERS[[#This Row],[CustomerID]],customers[],4,FALSE)</f>
        <v>Salt Lake City</v>
      </c>
      <c r="K1334" s="2" t="str">
        <f>VLOOKUP(ORDERS[[#This Row],[ProductID]],Products[],3,FALSE)</f>
        <v>Female</v>
      </c>
      <c r="L1334" s="2">
        <f>DAY(ORDERS[[#This Row],[OrderDate]])</f>
        <v>5</v>
      </c>
      <c r="M1334" s="2">
        <f>YEAR(ORDERS[[#This Row],[OrderDate]])</f>
        <v>2014</v>
      </c>
    </row>
    <row r="1335" spans="1:13" x14ac:dyDescent="0.3">
      <c r="A1335">
        <v>1334</v>
      </c>
      <c r="B1335">
        <v>1</v>
      </c>
      <c r="C1335">
        <v>7</v>
      </c>
      <c r="D1335" s="1">
        <v>41949</v>
      </c>
      <c r="E1335">
        <v>108</v>
      </c>
      <c r="F1335">
        <f>VLOOKUP(ORDERS[[#This Row],[ProductID]],Products[],4,FALSE)</f>
        <v>38</v>
      </c>
      <c r="G1335">
        <v>0</v>
      </c>
      <c r="H1335">
        <f>(ORDERS[[#This Row],[UnitsOrdered]]*ORDERS[[#This Row],[unit price]])-(ORDERS[[#This Row],[UnitsOrdered]]*ORDERS[[#This Row],[unit price]]*ORDERS[[#This Row],[Discount]])</f>
        <v>4104</v>
      </c>
      <c r="I1335" t="str">
        <f>VLOOKUP(ORDERS[[#This Row],[CustomerID]],customers[],2,FALSE)</f>
        <v>Threads</v>
      </c>
      <c r="J1335" s="2" t="str">
        <f>VLOOKUP(ORDERS[[#This Row],[CustomerID]],customers[],4,FALSE)</f>
        <v>Seattle</v>
      </c>
      <c r="K1335" s="2" t="str">
        <f>VLOOKUP(ORDERS[[#This Row],[ProductID]],Products[],3,FALSE)</f>
        <v>Female</v>
      </c>
      <c r="L1335" s="2">
        <f>DAY(ORDERS[[#This Row],[OrderDate]])</f>
        <v>6</v>
      </c>
      <c r="M1335" s="2">
        <f>YEAR(ORDERS[[#This Row],[OrderDate]])</f>
        <v>2014</v>
      </c>
    </row>
    <row r="1336" spans="1:13" x14ac:dyDescent="0.3">
      <c r="A1336">
        <v>1335</v>
      </c>
      <c r="B1336">
        <v>2</v>
      </c>
      <c r="C1336">
        <v>2</v>
      </c>
      <c r="D1336" s="1">
        <v>41949</v>
      </c>
      <c r="E1336">
        <v>90</v>
      </c>
      <c r="F1336">
        <f>VLOOKUP(ORDERS[[#This Row],[ProductID]],Products[],4,FALSE)</f>
        <v>30</v>
      </c>
      <c r="G1336">
        <v>5.0000001000000002E-2</v>
      </c>
      <c r="H1336">
        <f>(ORDERS[[#This Row],[UnitsOrdered]]*ORDERS[[#This Row],[unit price]])-(ORDERS[[#This Row],[UnitsOrdered]]*ORDERS[[#This Row],[unit price]]*ORDERS[[#This Row],[Discount]])</f>
        <v>2564.9999972999999</v>
      </c>
      <c r="I1336" t="str">
        <f>VLOOKUP(ORDERS[[#This Row],[CustomerID]],customers[],2,FALSE)</f>
        <v>A Shirts Life</v>
      </c>
      <c r="J1336" s="2" t="str">
        <f>VLOOKUP(ORDERS[[#This Row],[CustomerID]],customers[],4,FALSE)</f>
        <v>Portland</v>
      </c>
      <c r="K1336" s="2" t="str">
        <f>VLOOKUP(ORDERS[[#This Row],[ProductID]],Products[],3,FALSE)</f>
        <v>Both</v>
      </c>
      <c r="L1336" s="2">
        <f>DAY(ORDERS[[#This Row],[OrderDate]])</f>
        <v>6</v>
      </c>
      <c r="M1336" s="2">
        <f>YEAR(ORDERS[[#This Row],[OrderDate]])</f>
        <v>2014</v>
      </c>
    </row>
    <row r="1337" spans="1:13" x14ac:dyDescent="0.3">
      <c r="A1337">
        <v>1336</v>
      </c>
      <c r="B1337">
        <v>7</v>
      </c>
      <c r="C1337">
        <v>7</v>
      </c>
      <c r="D1337" s="1">
        <v>41950</v>
      </c>
      <c r="E1337">
        <v>33</v>
      </c>
      <c r="F1337">
        <f>VLOOKUP(ORDERS[[#This Row],[ProductID]],Products[],4,FALSE)</f>
        <v>38</v>
      </c>
      <c r="G1337">
        <v>0</v>
      </c>
      <c r="H1337">
        <f>(ORDERS[[#This Row],[UnitsOrdered]]*ORDERS[[#This Row],[unit price]])-(ORDERS[[#This Row],[UnitsOrdered]]*ORDERS[[#This Row],[unit price]]*ORDERS[[#This Row],[Discount]])</f>
        <v>1254</v>
      </c>
      <c r="I1337" t="str">
        <f>VLOOKUP(ORDERS[[#This Row],[CustomerID]],customers[],2,FALSE)</f>
        <v>The Shirt on Your Back</v>
      </c>
      <c r="J1337" s="2" t="str">
        <f>VLOOKUP(ORDERS[[#This Row],[CustomerID]],customers[],4,FALSE)</f>
        <v>Bonners Ferry</v>
      </c>
      <c r="K1337" s="2" t="str">
        <f>VLOOKUP(ORDERS[[#This Row],[ProductID]],Products[],3,FALSE)</f>
        <v>Female</v>
      </c>
      <c r="L1337" s="2">
        <f>DAY(ORDERS[[#This Row],[OrderDate]])</f>
        <v>7</v>
      </c>
      <c r="M1337" s="2">
        <f>YEAR(ORDERS[[#This Row],[OrderDate]])</f>
        <v>2014</v>
      </c>
    </row>
    <row r="1338" spans="1:13" x14ac:dyDescent="0.3">
      <c r="A1338">
        <v>1337</v>
      </c>
      <c r="B1338">
        <v>6</v>
      </c>
      <c r="C1338">
        <v>10</v>
      </c>
      <c r="D1338" s="1">
        <v>41951</v>
      </c>
      <c r="E1338">
        <v>29</v>
      </c>
      <c r="F1338">
        <f>VLOOKUP(ORDERS[[#This Row],[ProductID]],Products[],4,FALSE)</f>
        <v>35</v>
      </c>
      <c r="G1338">
        <v>0</v>
      </c>
      <c r="H1338">
        <f>(ORDERS[[#This Row],[UnitsOrdered]]*ORDERS[[#This Row],[unit price]])-(ORDERS[[#This Row],[UnitsOrdered]]*ORDERS[[#This Row],[unit price]]*ORDERS[[#This Row],[Discount]])</f>
        <v>1015</v>
      </c>
      <c r="I1338" t="str">
        <f>VLOOKUP(ORDERS[[#This Row],[CustomerID]],customers[],2,FALSE)</f>
        <v>Abracadaba Ink</v>
      </c>
      <c r="J1338" s="2" t="str">
        <f>VLOOKUP(ORDERS[[#This Row],[CustomerID]],customers[],4,FALSE)</f>
        <v>Salt Lake City</v>
      </c>
      <c r="K1338" s="2" t="str">
        <f>VLOOKUP(ORDERS[[#This Row],[ProductID]],Products[],3,FALSE)</f>
        <v>Male</v>
      </c>
      <c r="L1338" s="2">
        <f>DAY(ORDERS[[#This Row],[OrderDate]])</f>
        <v>8</v>
      </c>
      <c r="M1338" s="2">
        <f>YEAR(ORDERS[[#This Row],[OrderDate]])</f>
        <v>2014</v>
      </c>
    </row>
    <row r="1339" spans="1:13" x14ac:dyDescent="0.3">
      <c r="A1339">
        <v>1338</v>
      </c>
      <c r="B1339">
        <v>2</v>
      </c>
      <c r="C1339">
        <v>2</v>
      </c>
      <c r="D1339" s="1">
        <v>41953</v>
      </c>
      <c r="E1339">
        <v>147</v>
      </c>
      <c r="F1339">
        <f>VLOOKUP(ORDERS[[#This Row],[ProductID]],Products[],4,FALSE)</f>
        <v>30</v>
      </c>
      <c r="G1339">
        <v>0</v>
      </c>
      <c r="H1339">
        <f>(ORDERS[[#This Row],[UnitsOrdered]]*ORDERS[[#This Row],[unit price]])-(ORDERS[[#This Row],[UnitsOrdered]]*ORDERS[[#This Row],[unit price]]*ORDERS[[#This Row],[Discount]])</f>
        <v>4410</v>
      </c>
      <c r="I1339" t="str">
        <f>VLOOKUP(ORDERS[[#This Row],[CustomerID]],customers[],2,FALSE)</f>
        <v>A Shirts Life</v>
      </c>
      <c r="J1339" s="2" t="str">
        <f>VLOOKUP(ORDERS[[#This Row],[CustomerID]],customers[],4,FALSE)</f>
        <v>Portland</v>
      </c>
      <c r="K1339" s="2" t="str">
        <f>VLOOKUP(ORDERS[[#This Row],[ProductID]],Products[],3,FALSE)</f>
        <v>Both</v>
      </c>
      <c r="L1339" s="2">
        <f>DAY(ORDERS[[#This Row],[OrderDate]])</f>
        <v>10</v>
      </c>
      <c r="M1339" s="2">
        <f>YEAR(ORDERS[[#This Row],[OrderDate]])</f>
        <v>2014</v>
      </c>
    </row>
    <row r="1340" spans="1:13" x14ac:dyDescent="0.3">
      <c r="A1340">
        <v>1339</v>
      </c>
      <c r="B1340">
        <v>6</v>
      </c>
      <c r="C1340">
        <v>5</v>
      </c>
      <c r="D1340" s="1">
        <v>41953</v>
      </c>
      <c r="E1340">
        <v>68</v>
      </c>
      <c r="F1340">
        <f>VLOOKUP(ORDERS[[#This Row],[ProductID]],Products[],4,FALSE)</f>
        <v>16</v>
      </c>
      <c r="G1340">
        <v>0</v>
      </c>
      <c r="H1340">
        <f>(ORDERS[[#This Row],[UnitsOrdered]]*ORDERS[[#This Row],[unit price]])-(ORDERS[[#This Row],[UnitsOrdered]]*ORDERS[[#This Row],[unit price]]*ORDERS[[#This Row],[Discount]])</f>
        <v>1088</v>
      </c>
      <c r="I1340" t="str">
        <f>VLOOKUP(ORDERS[[#This Row],[CustomerID]],customers[],2,FALSE)</f>
        <v>Abracadaba Ink</v>
      </c>
      <c r="J1340" s="2" t="str">
        <f>VLOOKUP(ORDERS[[#This Row],[CustomerID]],customers[],4,FALSE)</f>
        <v>Salt Lake City</v>
      </c>
      <c r="K1340" s="2" t="str">
        <f>VLOOKUP(ORDERS[[#This Row],[ProductID]],Products[],3,FALSE)</f>
        <v>Female</v>
      </c>
      <c r="L1340" s="2">
        <f>DAY(ORDERS[[#This Row],[OrderDate]])</f>
        <v>10</v>
      </c>
      <c r="M1340" s="2">
        <f>YEAR(ORDERS[[#This Row],[OrderDate]])</f>
        <v>2014</v>
      </c>
    </row>
    <row r="1341" spans="1:13" x14ac:dyDescent="0.3">
      <c r="A1341">
        <v>1340</v>
      </c>
      <c r="B1341">
        <v>7</v>
      </c>
      <c r="C1341">
        <v>9</v>
      </c>
      <c r="D1341" s="1">
        <v>41953</v>
      </c>
      <c r="E1341">
        <v>101</v>
      </c>
      <c r="F1341">
        <f>VLOOKUP(ORDERS[[#This Row],[ProductID]],Products[],4,FALSE)</f>
        <v>25</v>
      </c>
      <c r="G1341">
        <v>5.0000001000000002E-2</v>
      </c>
      <c r="H1341">
        <f>(ORDERS[[#This Row],[UnitsOrdered]]*ORDERS[[#This Row],[unit price]])-(ORDERS[[#This Row],[UnitsOrdered]]*ORDERS[[#This Row],[unit price]]*ORDERS[[#This Row],[Discount]])</f>
        <v>2398.7499974749999</v>
      </c>
      <c r="I1341" t="str">
        <f>VLOOKUP(ORDERS[[#This Row],[CustomerID]],customers[],2,FALSE)</f>
        <v>The Shirt on Your Back</v>
      </c>
      <c r="J1341" s="2" t="str">
        <f>VLOOKUP(ORDERS[[#This Row],[CustomerID]],customers[],4,FALSE)</f>
        <v>Bonners Ferry</v>
      </c>
      <c r="K1341" s="2" t="str">
        <f>VLOOKUP(ORDERS[[#This Row],[ProductID]],Products[],3,FALSE)</f>
        <v>Male</v>
      </c>
      <c r="L1341" s="2">
        <f>DAY(ORDERS[[#This Row],[OrderDate]])</f>
        <v>10</v>
      </c>
      <c r="M1341" s="2">
        <f>YEAR(ORDERS[[#This Row],[OrderDate]])</f>
        <v>2014</v>
      </c>
    </row>
    <row r="1342" spans="1:13" x14ac:dyDescent="0.3">
      <c r="A1342">
        <v>1341</v>
      </c>
      <c r="B1342">
        <v>2</v>
      </c>
      <c r="C1342">
        <v>3</v>
      </c>
      <c r="D1342" s="1">
        <v>41954</v>
      </c>
      <c r="E1342">
        <v>143</v>
      </c>
      <c r="F1342">
        <f>VLOOKUP(ORDERS[[#This Row],[ProductID]],Products[],4,FALSE)</f>
        <v>22</v>
      </c>
      <c r="G1342">
        <v>0.15000000599999999</v>
      </c>
      <c r="H1342">
        <f>(ORDERS[[#This Row],[UnitsOrdered]]*ORDERS[[#This Row],[unit price]])-(ORDERS[[#This Row],[UnitsOrdered]]*ORDERS[[#This Row],[unit price]]*ORDERS[[#This Row],[Discount]])</f>
        <v>2674.0999811239999</v>
      </c>
      <c r="I1342" t="str">
        <f>VLOOKUP(ORDERS[[#This Row],[CustomerID]],customers[],2,FALSE)</f>
        <v>A Shirts Life</v>
      </c>
      <c r="J1342" s="2" t="str">
        <f>VLOOKUP(ORDERS[[#This Row],[CustomerID]],customers[],4,FALSE)</f>
        <v>Portland</v>
      </c>
      <c r="K1342" s="2" t="str">
        <f>VLOOKUP(ORDERS[[#This Row],[ProductID]],Products[],3,FALSE)</f>
        <v>Both</v>
      </c>
      <c r="L1342" s="2">
        <f>DAY(ORDERS[[#This Row],[OrderDate]])</f>
        <v>11</v>
      </c>
      <c r="M1342" s="2">
        <f>YEAR(ORDERS[[#This Row],[OrderDate]])</f>
        <v>2014</v>
      </c>
    </row>
    <row r="1343" spans="1:13" x14ac:dyDescent="0.3">
      <c r="A1343">
        <v>1342</v>
      </c>
      <c r="B1343">
        <v>4</v>
      </c>
      <c r="C1343">
        <v>1</v>
      </c>
      <c r="D1343" s="1">
        <v>41954</v>
      </c>
      <c r="E1343">
        <v>111</v>
      </c>
      <c r="F1343">
        <f>VLOOKUP(ORDERS[[#This Row],[ProductID]],Products[],4,FALSE)</f>
        <v>20</v>
      </c>
      <c r="G1343">
        <v>0.10000000100000001</v>
      </c>
      <c r="H1343">
        <f>(ORDERS[[#This Row],[UnitsOrdered]]*ORDERS[[#This Row],[unit price]])-(ORDERS[[#This Row],[UnitsOrdered]]*ORDERS[[#This Row],[unit price]]*ORDERS[[#This Row],[Discount]])</f>
        <v>1997.9999977800001</v>
      </c>
      <c r="I1343" t="str">
        <f>VLOOKUP(ORDERS[[#This Row],[CustomerID]],customers[],2,FALSE)</f>
        <v>Tshirt Unlimited</v>
      </c>
      <c r="J1343" s="2" t="str">
        <f>VLOOKUP(ORDERS[[#This Row],[CustomerID]],customers[],4,FALSE)</f>
        <v>Phoenix</v>
      </c>
      <c r="K1343" s="2" t="str">
        <f>VLOOKUP(ORDERS[[#This Row],[ProductID]],Products[],3,FALSE)</f>
        <v>Both</v>
      </c>
      <c r="L1343" s="2">
        <f>DAY(ORDERS[[#This Row],[OrderDate]])</f>
        <v>11</v>
      </c>
      <c r="M1343" s="2">
        <f>YEAR(ORDERS[[#This Row],[OrderDate]])</f>
        <v>2014</v>
      </c>
    </row>
    <row r="1344" spans="1:13" x14ac:dyDescent="0.3">
      <c r="A1344">
        <v>1343</v>
      </c>
      <c r="B1344">
        <v>5</v>
      </c>
      <c r="C1344">
        <v>10</v>
      </c>
      <c r="D1344" s="1">
        <v>41954</v>
      </c>
      <c r="E1344">
        <v>118</v>
      </c>
      <c r="F1344">
        <f>VLOOKUP(ORDERS[[#This Row],[ProductID]],Products[],4,FALSE)</f>
        <v>35</v>
      </c>
      <c r="G1344">
        <v>0</v>
      </c>
      <c r="H1344">
        <f>(ORDERS[[#This Row],[UnitsOrdered]]*ORDERS[[#This Row],[unit price]])-(ORDERS[[#This Row],[UnitsOrdered]]*ORDERS[[#This Row],[unit price]]*ORDERS[[#This Row],[Discount]])</f>
        <v>4130</v>
      </c>
      <c r="I1344" t="str">
        <f>VLOOKUP(ORDERS[[#This Row],[CustomerID]],customers[],2,FALSE)</f>
        <v>Rags to Riches</v>
      </c>
      <c r="J1344" s="2" t="str">
        <f>VLOOKUP(ORDERS[[#This Row],[CustomerID]],customers[],4,FALSE)</f>
        <v>Las Vegas</v>
      </c>
      <c r="K1344" s="2" t="str">
        <f>VLOOKUP(ORDERS[[#This Row],[ProductID]],Products[],3,FALSE)</f>
        <v>Male</v>
      </c>
      <c r="L1344" s="2">
        <f>DAY(ORDERS[[#This Row],[OrderDate]])</f>
        <v>11</v>
      </c>
      <c r="M1344" s="2">
        <f>YEAR(ORDERS[[#This Row],[OrderDate]])</f>
        <v>2014</v>
      </c>
    </row>
    <row r="1345" spans="1:13" x14ac:dyDescent="0.3">
      <c r="A1345">
        <v>1344</v>
      </c>
      <c r="B1345">
        <v>3</v>
      </c>
      <c r="C1345">
        <v>4</v>
      </c>
      <c r="D1345" s="1">
        <v>41955</v>
      </c>
      <c r="E1345">
        <v>81</v>
      </c>
      <c r="F1345">
        <f>VLOOKUP(ORDERS[[#This Row],[ProductID]],Products[],4,FALSE)</f>
        <v>30</v>
      </c>
      <c r="G1345">
        <v>0</v>
      </c>
      <c r="H1345">
        <f>(ORDERS[[#This Row],[UnitsOrdered]]*ORDERS[[#This Row],[unit price]])-(ORDERS[[#This Row],[UnitsOrdered]]*ORDERS[[#This Row],[unit price]]*ORDERS[[#This Row],[Discount]])</f>
        <v>2430</v>
      </c>
      <c r="I1345" t="str">
        <f>VLOOKUP(ORDERS[[#This Row],[CustomerID]],customers[],2,FALSE)</f>
        <v>Shirts R Us</v>
      </c>
      <c r="J1345" s="2" t="str">
        <f>VLOOKUP(ORDERS[[#This Row],[CustomerID]],customers[],4,FALSE)</f>
        <v>Los Angeles</v>
      </c>
      <c r="K1345" s="2" t="str">
        <f>VLOOKUP(ORDERS[[#This Row],[ProductID]],Products[],3,FALSE)</f>
        <v>Both</v>
      </c>
      <c r="L1345" s="2">
        <f>DAY(ORDERS[[#This Row],[OrderDate]])</f>
        <v>12</v>
      </c>
      <c r="M1345" s="2">
        <f>YEAR(ORDERS[[#This Row],[OrderDate]])</f>
        <v>2014</v>
      </c>
    </row>
    <row r="1346" spans="1:13" x14ac:dyDescent="0.3">
      <c r="A1346">
        <v>1345</v>
      </c>
      <c r="B1346">
        <v>7</v>
      </c>
      <c r="C1346">
        <v>10</v>
      </c>
      <c r="D1346" s="1">
        <v>41955</v>
      </c>
      <c r="E1346">
        <v>31</v>
      </c>
      <c r="F1346">
        <f>VLOOKUP(ORDERS[[#This Row],[ProductID]],Products[],4,FALSE)</f>
        <v>35</v>
      </c>
      <c r="G1346">
        <v>0</v>
      </c>
      <c r="H1346">
        <f>(ORDERS[[#This Row],[UnitsOrdered]]*ORDERS[[#This Row],[unit price]])-(ORDERS[[#This Row],[UnitsOrdered]]*ORDERS[[#This Row],[unit price]]*ORDERS[[#This Row],[Discount]])</f>
        <v>1085</v>
      </c>
      <c r="I1346" t="str">
        <f>VLOOKUP(ORDERS[[#This Row],[CustomerID]],customers[],2,FALSE)</f>
        <v>The Shirt on Your Back</v>
      </c>
      <c r="J1346" s="2" t="str">
        <f>VLOOKUP(ORDERS[[#This Row],[CustomerID]],customers[],4,FALSE)</f>
        <v>Bonners Ferry</v>
      </c>
      <c r="K1346" s="2" t="str">
        <f>VLOOKUP(ORDERS[[#This Row],[ProductID]],Products[],3,FALSE)</f>
        <v>Male</v>
      </c>
      <c r="L1346" s="2">
        <f>DAY(ORDERS[[#This Row],[OrderDate]])</f>
        <v>12</v>
      </c>
      <c r="M1346" s="2">
        <f>YEAR(ORDERS[[#This Row],[OrderDate]])</f>
        <v>2014</v>
      </c>
    </row>
    <row r="1347" spans="1:13" x14ac:dyDescent="0.3">
      <c r="A1347">
        <v>1346</v>
      </c>
      <c r="B1347">
        <v>1</v>
      </c>
      <c r="C1347">
        <v>10</v>
      </c>
      <c r="D1347" s="1">
        <v>41956</v>
      </c>
      <c r="E1347">
        <v>82</v>
      </c>
      <c r="F1347">
        <f>VLOOKUP(ORDERS[[#This Row],[ProductID]],Products[],4,FALSE)</f>
        <v>35</v>
      </c>
      <c r="G1347">
        <v>0</v>
      </c>
      <c r="H1347">
        <f>(ORDERS[[#This Row],[UnitsOrdered]]*ORDERS[[#This Row],[unit price]])-(ORDERS[[#This Row],[UnitsOrdered]]*ORDERS[[#This Row],[unit price]]*ORDERS[[#This Row],[Discount]])</f>
        <v>2870</v>
      </c>
      <c r="I1347" t="str">
        <f>VLOOKUP(ORDERS[[#This Row],[CustomerID]],customers[],2,FALSE)</f>
        <v>Threads</v>
      </c>
      <c r="J1347" s="2" t="str">
        <f>VLOOKUP(ORDERS[[#This Row],[CustomerID]],customers[],4,FALSE)</f>
        <v>Seattle</v>
      </c>
      <c r="K1347" s="2" t="str">
        <f>VLOOKUP(ORDERS[[#This Row],[ProductID]],Products[],3,FALSE)</f>
        <v>Male</v>
      </c>
      <c r="L1347" s="2">
        <f>DAY(ORDERS[[#This Row],[OrderDate]])</f>
        <v>13</v>
      </c>
      <c r="M1347" s="2">
        <f>YEAR(ORDERS[[#This Row],[OrderDate]])</f>
        <v>2014</v>
      </c>
    </row>
    <row r="1348" spans="1:13" x14ac:dyDescent="0.3">
      <c r="A1348">
        <v>1347</v>
      </c>
      <c r="B1348">
        <v>7</v>
      </c>
      <c r="C1348">
        <v>4</v>
      </c>
      <c r="D1348" s="1">
        <v>41957</v>
      </c>
      <c r="E1348">
        <v>95</v>
      </c>
      <c r="F1348">
        <f>VLOOKUP(ORDERS[[#This Row],[ProductID]],Products[],4,FALSE)</f>
        <v>30</v>
      </c>
      <c r="G1348">
        <v>0</v>
      </c>
      <c r="H1348">
        <f>(ORDERS[[#This Row],[UnitsOrdered]]*ORDERS[[#This Row],[unit price]])-(ORDERS[[#This Row],[UnitsOrdered]]*ORDERS[[#This Row],[unit price]]*ORDERS[[#This Row],[Discount]])</f>
        <v>2850</v>
      </c>
      <c r="I1348" t="str">
        <f>VLOOKUP(ORDERS[[#This Row],[CustomerID]],customers[],2,FALSE)</f>
        <v>The Shirt on Your Back</v>
      </c>
      <c r="J1348" s="2" t="str">
        <f>VLOOKUP(ORDERS[[#This Row],[CustomerID]],customers[],4,FALSE)</f>
        <v>Bonners Ferry</v>
      </c>
      <c r="K1348" s="2" t="str">
        <f>VLOOKUP(ORDERS[[#This Row],[ProductID]],Products[],3,FALSE)</f>
        <v>Both</v>
      </c>
      <c r="L1348" s="2">
        <f>DAY(ORDERS[[#This Row],[OrderDate]])</f>
        <v>14</v>
      </c>
      <c r="M1348" s="2">
        <f>YEAR(ORDERS[[#This Row],[OrderDate]])</f>
        <v>2014</v>
      </c>
    </row>
    <row r="1349" spans="1:13" x14ac:dyDescent="0.3">
      <c r="A1349">
        <v>1348</v>
      </c>
      <c r="B1349">
        <v>7</v>
      </c>
      <c r="C1349">
        <v>7</v>
      </c>
      <c r="D1349" s="1">
        <v>41958</v>
      </c>
      <c r="E1349">
        <v>60</v>
      </c>
      <c r="F1349">
        <f>VLOOKUP(ORDERS[[#This Row],[ProductID]],Products[],4,FALSE)</f>
        <v>38</v>
      </c>
      <c r="G1349">
        <v>0</v>
      </c>
      <c r="H1349">
        <f>(ORDERS[[#This Row],[UnitsOrdered]]*ORDERS[[#This Row],[unit price]])-(ORDERS[[#This Row],[UnitsOrdered]]*ORDERS[[#This Row],[unit price]]*ORDERS[[#This Row],[Discount]])</f>
        <v>2280</v>
      </c>
      <c r="I1349" t="str">
        <f>VLOOKUP(ORDERS[[#This Row],[CustomerID]],customers[],2,FALSE)</f>
        <v>The Shirt on Your Back</v>
      </c>
      <c r="J1349" s="2" t="str">
        <f>VLOOKUP(ORDERS[[#This Row],[CustomerID]],customers[],4,FALSE)</f>
        <v>Bonners Ferry</v>
      </c>
      <c r="K1349" s="2" t="str">
        <f>VLOOKUP(ORDERS[[#This Row],[ProductID]],Products[],3,FALSE)</f>
        <v>Female</v>
      </c>
      <c r="L1349" s="2">
        <f>DAY(ORDERS[[#This Row],[OrderDate]])</f>
        <v>15</v>
      </c>
      <c r="M1349" s="2">
        <f>YEAR(ORDERS[[#This Row],[OrderDate]])</f>
        <v>2014</v>
      </c>
    </row>
    <row r="1350" spans="1:13" x14ac:dyDescent="0.3">
      <c r="A1350">
        <v>1349</v>
      </c>
      <c r="B1350">
        <v>5</v>
      </c>
      <c r="C1350">
        <v>5</v>
      </c>
      <c r="D1350" s="1">
        <v>41959</v>
      </c>
      <c r="E1350">
        <v>28</v>
      </c>
      <c r="F1350">
        <f>VLOOKUP(ORDERS[[#This Row],[ProductID]],Products[],4,FALSE)</f>
        <v>16</v>
      </c>
      <c r="G1350">
        <v>0</v>
      </c>
      <c r="H1350">
        <f>(ORDERS[[#This Row],[UnitsOrdered]]*ORDERS[[#This Row],[unit price]])-(ORDERS[[#This Row],[UnitsOrdered]]*ORDERS[[#This Row],[unit price]]*ORDERS[[#This Row],[Discount]])</f>
        <v>448</v>
      </c>
      <c r="I1350" t="str">
        <f>VLOOKUP(ORDERS[[#This Row],[CustomerID]],customers[],2,FALSE)</f>
        <v>Rags to Riches</v>
      </c>
      <c r="J1350" s="2" t="str">
        <f>VLOOKUP(ORDERS[[#This Row],[CustomerID]],customers[],4,FALSE)</f>
        <v>Las Vegas</v>
      </c>
      <c r="K1350" s="2" t="str">
        <f>VLOOKUP(ORDERS[[#This Row],[ProductID]],Products[],3,FALSE)</f>
        <v>Female</v>
      </c>
      <c r="L1350" s="2">
        <f>DAY(ORDERS[[#This Row],[OrderDate]])</f>
        <v>16</v>
      </c>
      <c r="M1350" s="2">
        <f>YEAR(ORDERS[[#This Row],[OrderDate]])</f>
        <v>2014</v>
      </c>
    </row>
    <row r="1351" spans="1:13" x14ac:dyDescent="0.3">
      <c r="A1351">
        <v>1350</v>
      </c>
      <c r="B1351">
        <v>5</v>
      </c>
      <c r="C1351">
        <v>8</v>
      </c>
      <c r="D1351" s="1">
        <v>41959</v>
      </c>
      <c r="E1351">
        <v>65</v>
      </c>
      <c r="F1351">
        <f>VLOOKUP(ORDERS[[#This Row],[ProductID]],Products[],4,FALSE)</f>
        <v>27</v>
      </c>
      <c r="G1351">
        <v>5.0000001000000002E-2</v>
      </c>
      <c r="H1351">
        <f>(ORDERS[[#This Row],[UnitsOrdered]]*ORDERS[[#This Row],[unit price]])-(ORDERS[[#This Row],[UnitsOrdered]]*ORDERS[[#This Row],[unit price]]*ORDERS[[#This Row],[Discount]])</f>
        <v>1667.2499982449999</v>
      </c>
      <c r="I1351" t="str">
        <f>VLOOKUP(ORDERS[[#This Row],[CustomerID]],customers[],2,FALSE)</f>
        <v>Rags to Riches</v>
      </c>
      <c r="J1351" s="2" t="str">
        <f>VLOOKUP(ORDERS[[#This Row],[CustomerID]],customers[],4,FALSE)</f>
        <v>Las Vegas</v>
      </c>
      <c r="K1351" s="2" t="str">
        <f>VLOOKUP(ORDERS[[#This Row],[ProductID]],Products[],3,FALSE)</f>
        <v>Female</v>
      </c>
      <c r="L1351" s="2">
        <f>DAY(ORDERS[[#This Row],[OrderDate]])</f>
        <v>16</v>
      </c>
      <c r="M1351" s="2">
        <f>YEAR(ORDERS[[#This Row],[OrderDate]])</f>
        <v>2014</v>
      </c>
    </row>
    <row r="1352" spans="1:13" x14ac:dyDescent="0.3">
      <c r="A1352">
        <v>1351</v>
      </c>
      <c r="B1352">
        <v>3</v>
      </c>
      <c r="C1352">
        <v>10</v>
      </c>
      <c r="D1352" s="1">
        <v>41960</v>
      </c>
      <c r="E1352">
        <v>126</v>
      </c>
      <c r="F1352">
        <f>VLOOKUP(ORDERS[[#This Row],[ProductID]],Products[],4,FALSE)</f>
        <v>35</v>
      </c>
      <c r="G1352">
        <v>0</v>
      </c>
      <c r="H1352">
        <f>(ORDERS[[#This Row],[UnitsOrdered]]*ORDERS[[#This Row],[unit price]])-(ORDERS[[#This Row],[UnitsOrdered]]*ORDERS[[#This Row],[unit price]]*ORDERS[[#This Row],[Discount]])</f>
        <v>4410</v>
      </c>
      <c r="I1352" t="str">
        <f>VLOOKUP(ORDERS[[#This Row],[CustomerID]],customers[],2,FALSE)</f>
        <v>Shirts R Us</v>
      </c>
      <c r="J1352" s="2" t="str">
        <f>VLOOKUP(ORDERS[[#This Row],[CustomerID]],customers[],4,FALSE)</f>
        <v>Los Angeles</v>
      </c>
      <c r="K1352" s="2" t="str">
        <f>VLOOKUP(ORDERS[[#This Row],[ProductID]],Products[],3,FALSE)</f>
        <v>Male</v>
      </c>
      <c r="L1352" s="2">
        <f>DAY(ORDERS[[#This Row],[OrderDate]])</f>
        <v>17</v>
      </c>
      <c r="M1352" s="2">
        <f>YEAR(ORDERS[[#This Row],[OrderDate]])</f>
        <v>2014</v>
      </c>
    </row>
    <row r="1353" spans="1:13" x14ac:dyDescent="0.3">
      <c r="A1353">
        <v>1352</v>
      </c>
      <c r="B1353">
        <v>6</v>
      </c>
      <c r="C1353">
        <v>2</v>
      </c>
      <c r="D1353" s="1">
        <v>41962</v>
      </c>
      <c r="E1353">
        <v>83</v>
      </c>
      <c r="F1353">
        <f>VLOOKUP(ORDERS[[#This Row],[ProductID]],Products[],4,FALSE)</f>
        <v>30</v>
      </c>
      <c r="G1353">
        <v>0</v>
      </c>
      <c r="H1353">
        <f>(ORDERS[[#This Row],[UnitsOrdered]]*ORDERS[[#This Row],[unit price]])-(ORDERS[[#This Row],[UnitsOrdered]]*ORDERS[[#This Row],[unit price]]*ORDERS[[#This Row],[Discount]])</f>
        <v>2490</v>
      </c>
      <c r="I1353" t="str">
        <f>VLOOKUP(ORDERS[[#This Row],[CustomerID]],customers[],2,FALSE)</f>
        <v>Abracadaba Ink</v>
      </c>
      <c r="J1353" s="2" t="str">
        <f>VLOOKUP(ORDERS[[#This Row],[CustomerID]],customers[],4,FALSE)</f>
        <v>Salt Lake City</v>
      </c>
      <c r="K1353" s="2" t="str">
        <f>VLOOKUP(ORDERS[[#This Row],[ProductID]],Products[],3,FALSE)</f>
        <v>Both</v>
      </c>
      <c r="L1353" s="2">
        <f>DAY(ORDERS[[#This Row],[OrderDate]])</f>
        <v>19</v>
      </c>
      <c r="M1353" s="2">
        <f>YEAR(ORDERS[[#This Row],[OrderDate]])</f>
        <v>2014</v>
      </c>
    </row>
    <row r="1354" spans="1:13" x14ac:dyDescent="0.3">
      <c r="A1354">
        <v>1353</v>
      </c>
      <c r="B1354">
        <v>4</v>
      </c>
      <c r="C1354">
        <v>1</v>
      </c>
      <c r="D1354" s="1">
        <v>41963</v>
      </c>
      <c r="E1354">
        <v>62</v>
      </c>
      <c r="F1354">
        <f>VLOOKUP(ORDERS[[#This Row],[ProductID]],Products[],4,FALSE)</f>
        <v>20</v>
      </c>
      <c r="G1354">
        <v>5.0000001000000002E-2</v>
      </c>
      <c r="H1354">
        <f>(ORDERS[[#This Row],[UnitsOrdered]]*ORDERS[[#This Row],[unit price]])-(ORDERS[[#This Row],[UnitsOrdered]]*ORDERS[[#This Row],[unit price]]*ORDERS[[#This Row],[Discount]])</f>
        <v>1177.9999987599999</v>
      </c>
      <c r="I1354" t="str">
        <f>VLOOKUP(ORDERS[[#This Row],[CustomerID]],customers[],2,FALSE)</f>
        <v>Tshirt Unlimited</v>
      </c>
      <c r="J1354" s="2" t="str">
        <f>VLOOKUP(ORDERS[[#This Row],[CustomerID]],customers[],4,FALSE)</f>
        <v>Phoenix</v>
      </c>
      <c r="K1354" s="2" t="str">
        <f>VLOOKUP(ORDERS[[#This Row],[ProductID]],Products[],3,FALSE)</f>
        <v>Both</v>
      </c>
      <c r="L1354" s="2">
        <f>DAY(ORDERS[[#This Row],[OrderDate]])</f>
        <v>20</v>
      </c>
      <c r="M1354" s="2">
        <f>YEAR(ORDERS[[#This Row],[OrderDate]])</f>
        <v>2014</v>
      </c>
    </row>
    <row r="1355" spans="1:13" x14ac:dyDescent="0.3">
      <c r="A1355">
        <v>1354</v>
      </c>
      <c r="B1355">
        <v>5</v>
      </c>
      <c r="C1355">
        <v>1</v>
      </c>
      <c r="D1355" s="1">
        <v>41963</v>
      </c>
      <c r="E1355">
        <v>111</v>
      </c>
      <c r="F1355">
        <f>VLOOKUP(ORDERS[[#This Row],[ProductID]],Products[],4,FALSE)</f>
        <v>20</v>
      </c>
      <c r="G1355">
        <v>0</v>
      </c>
      <c r="H1355">
        <f>(ORDERS[[#This Row],[UnitsOrdered]]*ORDERS[[#This Row],[unit price]])-(ORDERS[[#This Row],[UnitsOrdered]]*ORDERS[[#This Row],[unit price]]*ORDERS[[#This Row],[Discount]])</f>
        <v>2220</v>
      </c>
      <c r="I1355" t="str">
        <f>VLOOKUP(ORDERS[[#This Row],[CustomerID]],customers[],2,FALSE)</f>
        <v>Rags to Riches</v>
      </c>
      <c r="J1355" s="2" t="str">
        <f>VLOOKUP(ORDERS[[#This Row],[CustomerID]],customers[],4,FALSE)</f>
        <v>Las Vegas</v>
      </c>
      <c r="K1355" s="2" t="str">
        <f>VLOOKUP(ORDERS[[#This Row],[ProductID]],Products[],3,FALSE)</f>
        <v>Both</v>
      </c>
      <c r="L1355" s="2">
        <f>DAY(ORDERS[[#This Row],[OrderDate]])</f>
        <v>20</v>
      </c>
      <c r="M1355" s="2">
        <f>YEAR(ORDERS[[#This Row],[OrderDate]])</f>
        <v>2014</v>
      </c>
    </row>
    <row r="1356" spans="1:13" x14ac:dyDescent="0.3">
      <c r="A1356">
        <v>1355</v>
      </c>
      <c r="B1356">
        <v>1</v>
      </c>
      <c r="C1356">
        <v>5</v>
      </c>
      <c r="D1356" s="1">
        <v>41968</v>
      </c>
      <c r="E1356">
        <v>142</v>
      </c>
      <c r="F1356">
        <f>VLOOKUP(ORDERS[[#This Row],[ProductID]],Products[],4,FALSE)</f>
        <v>16</v>
      </c>
      <c r="G1356">
        <v>0.15000000599999999</v>
      </c>
      <c r="H1356">
        <f>(ORDERS[[#This Row],[UnitsOrdered]]*ORDERS[[#This Row],[unit price]])-(ORDERS[[#This Row],[UnitsOrdered]]*ORDERS[[#This Row],[unit price]]*ORDERS[[#This Row],[Discount]])</f>
        <v>1931.1999863680001</v>
      </c>
      <c r="I1356" t="str">
        <f>VLOOKUP(ORDERS[[#This Row],[CustomerID]],customers[],2,FALSE)</f>
        <v>Threads</v>
      </c>
      <c r="J1356" s="2" t="str">
        <f>VLOOKUP(ORDERS[[#This Row],[CustomerID]],customers[],4,FALSE)</f>
        <v>Seattle</v>
      </c>
      <c r="K1356" s="2" t="str">
        <f>VLOOKUP(ORDERS[[#This Row],[ProductID]],Products[],3,FALSE)</f>
        <v>Female</v>
      </c>
      <c r="L1356" s="2">
        <f>DAY(ORDERS[[#This Row],[OrderDate]])</f>
        <v>25</v>
      </c>
      <c r="M1356" s="2">
        <f>YEAR(ORDERS[[#This Row],[OrderDate]])</f>
        <v>2014</v>
      </c>
    </row>
    <row r="1357" spans="1:13" x14ac:dyDescent="0.3">
      <c r="A1357">
        <v>1356</v>
      </c>
      <c r="B1357">
        <v>7</v>
      </c>
      <c r="C1357">
        <v>3</v>
      </c>
      <c r="D1357" s="1">
        <v>41968</v>
      </c>
      <c r="E1357">
        <v>77</v>
      </c>
      <c r="F1357">
        <f>VLOOKUP(ORDERS[[#This Row],[ProductID]],Products[],4,FALSE)</f>
        <v>22</v>
      </c>
      <c r="G1357">
        <v>0</v>
      </c>
      <c r="H1357">
        <f>(ORDERS[[#This Row],[UnitsOrdered]]*ORDERS[[#This Row],[unit price]])-(ORDERS[[#This Row],[UnitsOrdered]]*ORDERS[[#This Row],[unit price]]*ORDERS[[#This Row],[Discount]])</f>
        <v>1694</v>
      </c>
      <c r="I1357" t="str">
        <f>VLOOKUP(ORDERS[[#This Row],[CustomerID]],customers[],2,FALSE)</f>
        <v>The Shirt on Your Back</v>
      </c>
      <c r="J1357" s="2" t="str">
        <f>VLOOKUP(ORDERS[[#This Row],[CustomerID]],customers[],4,FALSE)</f>
        <v>Bonners Ferry</v>
      </c>
      <c r="K1357" s="2" t="str">
        <f>VLOOKUP(ORDERS[[#This Row],[ProductID]],Products[],3,FALSE)</f>
        <v>Both</v>
      </c>
      <c r="L1357" s="2">
        <f>DAY(ORDERS[[#This Row],[OrderDate]])</f>
        <v>25</v>
      </c>
      <c r="M1357" s="2">
        <f>YEAR(ORDERS[[#This Row],[OrderDate]])</f>
        <v>2014</v>
      </c>
    </row>
    <row r="1358" spans="1:13" x14ac:dyDescent="0.3">
      <c r="A1358">
        <v>1357</v>
      </c>
      <c r="B1358">
        <v>7</v>
      </c>
      <c r="C1358">
        <v>5</v>
      </c>
      <c r="D1358" s="1">
        <v>41968</v>
      </c>
      <c r="E1358">
        <v>36</v>
      </c>
      <c r="F1358">
        <f>VLOOKUP(ORDERS[[#This Row],[ProductID]],Products[],4,FALSE)</f>
        <v>16</v>
      </c>
      <c r="G1358">
        <v>0</v>
      </c>
      <c r="H1358">
        <f>(ORDERS[[#This Row],[UnitsOrdered]]*ORDERS[[#This Row],[unit price]])-(ORDERS[[#This Row],[UnitsOrdered]]*ORDERS[[#This Row],[unit price]]*ORDERS[[#This Row],[Discount]])</f>
        <v>576</v>
      </c>
      <c r="I1358" t="str">
        <f>VLOOKUP(ORDERS[[#This Row],[CustomerID]],customers[],2,FALSE)</f>
        <v>The Shirt on Your Back</v>
      </c>
      <c r="J1358" s="2" t="str">
        <f>VLOOKUP(ORDERS[[#This Row],[CustomerID]],customers[],4,FALSE)</f>
        <v>Bonners Ferry</v>
      </c>
      <c r="K1358" s="2" t="str">
        <f>VLOOKUP(ORDERS[[#This Row],[ProductID]],Products[],3,FALSE)</f>
        <v>Female</v>
      </c>
      <c r="L1358" s="2">
        <f>DAY(ORDERS[[#This Row],[OrderDate]])</f>
        <v>25</v>
      </c>
      <c r="M1358" s="2">
        <f>YEAR(ORDERS[[#This Row],[OrderDate]])</f>
        <v>2014</v>
      </c>
    </row>
    <row r="1359" spans="1:13" x14ac:dyDescent="0.3">
      <c r="A1359">
        <v>1358</v>
      </c>
      <c r="B1359">
        <v>7</v>
      </c>
      <c r="C1359">
        <v>7</v>
      </c>
      <c r="D1359" s="1">
        <v>41968</v>
      </c>
      <c r="E1359">
        <v>141</v>
      </c>
      <c r="F1359">
        <f>VLOOKUP(ORDERS[[#This Row],[ProductID]],Products[],4,FALSE)</f>
        <v>38</v>
      </c>
      <c r="G1359">
        <v>0</v>
      </c>
      <c r="H1359">
        <f>(ORDERS[[#This Row],[UnitsOrdered]]*ORDERS[[#This Row],[unit price]])-(ORDERS[[#This Row],[UnitsOrdered]]*ORDERS[[#This Row],[unit price]]*ORDERS[[#This Row],[Discount]])</f>
        <v>5358</v>
      </c>
      <c r="I1359" t="str">
        <f>VLOOKUP(ORDERS[[#This Row],[CustomerID]],customers[],2,FALSE)</f>
        <v>The Shirt on Your Back</v>
      </c>
      <c r="J1359" s="2" t="str">
        <f>VLOOKUP(ORDERS[[#This Row],[CustomerID]],customers[],4,FALSE)</f>
        <v>Bonners Ferry</v>
      </c>
      <c r="K1359" s="2" t="str">
        <f>VLOOKUP(ORDERS[[#This Row],[ProductID]],Products[],3,FALSE)</f>
        <v>Female</v>
      </c>
      <c r="L1359" s="2">
        <f>DAY(ORDERS[[#This Row],[OrderDate]])</f>
        <v>25</v>
      </c>
      <c r="M1359" s="2">
        <f>YEAR(ORDERS[[#This Row],[OrderDate]])</f>
        <v>2014</v>
      </c>
    </row>
    <row r="1360" spans="1:13" x14ac:dyDescent="0.3">
      <c r="A1360">
        <v>1359</v>
      </c>
      <c r="B1360">
        <v>2</v>
      </c>
      <c r="C1360">
        <v>7</v>
      </c>
      <c r="D1360" s="1">
        <v>41970</v>
      </c>
      <c r="E1360">
        <v>101</v>
      </c>
      <c r="F1360">
        <f>VLOOKUP(ORDERS[[#This Row],[ProductID]],Products[],4,FALSE)</f>
        <v>38</v>
      </c>
      <c r="G1360">
        <v>0</v>
      </c>
      <c r="H1360">
        <f>(ORDERS[[#This Row],[UnitsOrdered]]*ORDERS[[#This Row],[unit price]])-(ORDERS[[#This Row],[UnitsOrdered]]*ORDERS[[#This Row],[unit price]]*ORDERS[[#This Row],[Discount]])</f>
        <v>3838</v>
      </c>
      <c r="I1360" t="str">
        <f>VLOOKUP(ORDERS[[#This Row],[CustomerID]],customers[],2,FALSE)</f>
        <v>A Shirts Life</v>
      </c>
      <c r="J1360" s="2" t="str">
        <f>VLOOKUP(ORDERS[[#This Row],[CustomerID]],customers[],4,FALSE)</f>
        <v>Portland</v>
      </c>
      <c r="K1360" s="2" t="str">
        <f>VLOOKUP(ORDERS[[#This Row],[ProductID]],Products[],3,FALSE)</f>
        <v>Female</v>
      </c>
      <c r="L1360" s="2">
        <f>DAY(ORDERS[[#This Row],[OrderDate]])</f>
        <v>27</v>
      </c>
      <c r="M1360" s="2">
        <f>YEAR(ORDERS[[#This Row],[OrderDate]])</f>
        <v>2014</v>
      </c>
    </row>
    <row r="1361" spans="1:13" x14ac:dyDescent="0.3">
      <c r="A1361">
        <v>1360</v>
      </c>
      <c r="B1361">
        <v>6</v>
      </c>
      <c r="C1361">
        <v>5</v>
      </c>
      <c r="D1361" s="1">
        <v>41970</v>
      </c>
      <c r="E1361">
        <v>69</v>
      </c>
      <c r="F1361">
        <f>VLOOKUP(ORDERS[[#This Row],[ProductID]],Products[],4,FALSE)</f>
        <v>16</v>
      </c>
      <c r="G1361">
        <v>0</v>
      </c>
      <c r="H1361">
        <f>(ORDERS[[#This Row],[UnitsOrdered]]*ORDERS[[#This Row],[unit price]])-(ORDERS[[#This Row],[UnitsOrdered]]*ORDERS[[#This Row],[unit price]]*ORDERS[[#This Row],[Discount]])</f>
        <v>1104</v>
      </c>
      <c r="I1361" t="str">
        <f>VLOOKUP(ORDERS[[#This Row],[CustomerID]],customers[],2,FALSE)</f>
        <v>Abracadaba Ink</v>
      </c>
      <c r="J1361" s="2" t="str">
        <f>VLOOKUP(ORDERS[[#This Row],[CustomerID]],customers[],4,FALSE)</f>
        <v>Salt Lake City</v>
      </c>
      <c r="K1361" s="2" t="str">
        <f>VLOOKUP(ORDERS[[#This Row],[ProductID]],Products[],3,FALSE)</f>
        <v>Female</v>
      </c>
      <c r="L1361" s="2">
        <f>DAY(ORDERS[[#This Row],[OrderDate]])</f>
        <v>27</v>
      </c>
      <c r="M1361" s="2">
        <f>YEAR(ORDERS[[#This Row],[OrderDate]])</f>
        <v>2014</v>
      </c>
    </row>
    <row r="1362" spans="1:13" x14ac:dyDescent="0.3">
      <c r="A1362">
        <v>1361</v>
      </c>
      <c r="B1362">
        <v>3</v>
      </c>
      <c r="C1362">
        <v>10</v>
      </c>
      <c r="D1362" s="1">
        <v>41972</v>
      </c>
      <c r="E1362">
        <v>89</v>
      </c>
      <c r="F1362">
        <f>VLOOKUP(ORDERS[[#This Row],[ProductID]],Products[],4,FALSE)</f>
        <v>35</v>
      </c>
      <c r="G1362">
        <v>0</v>
      </c>
      <c r="H1362">
        <f>(ORDERS[[#This Row],[UnitsOrdered]]*ORDERS[[#This Row],[unit price]])-(ORDERS[[#This Row],[UnitsOrdered]]*ORDERS[[#This Row],[unit price]]*ORDERS[[#This Row],[Discount]])</f>
        <v>3115</v>
      </c>
      <c r="I1362" t="str">
        <f>VLOOKUP(ORDERS[[#This Row],[CustomerID]],customers[],2,FALSE)</f>
        <v>Shirts R Us</v>
      </c>
      <c r="J1362" s="2" t="str">
        <f>VLOOKUP(ORDERS[[#This Row],[CustomerID]],customers[],4,FALSE)</f>
        <v>Los Angeles</v>
      </c>
      <c r="K1362" s="2" t="str">
        <f>VLOOKUP(ORDERS[[#This Row],[ProductID]],Products[],3,FALSE)</f>
        <v>Male</v>
      </c>
      <c r="L1362" s="2">
        <f>DAY(ORDERS[[#This Row],[OrderDate]])</f>
        <v>29</v>
      </c>
      <c r="M1362" s="2">
        <f>YEAR(ORDERS[[#This Row],[OrderDate]])</f>
        <v>2014</v>
      </c>
    </row>
    <row r="1363" spans="1:13" x14ac:dyDescent="0.3">
      <c r="A1363">
        <v>1362</v>
      </c>
      <c r="B1363">
        <v>2</v>
      </c>
      <c r="C1363">
        <v>9</v>
      </c>
      <c r="D1363" s="1">
        <v>41973</v>
      </c>
      <c r="E1363">
        <v>131</v>
      </c>
      <c r="F1363">
        <f>VLOOKUP(ORDERS[[#This Row],[ProductID]],Products[],4,FALSE)</f>
        <v>25</v>
      </c>
      <c r="G1363">
        <v>0</v>
      </c>
      <c r="H1363">
        <f>(ORDERS[[#This Row],[UnitsOrdered]]*ORDERS[[#This Row],[unit price]])-(ORDERS[[#This Row],[UnitsOrdered]]*ORDERS[[#This Row],[unit price]]*ORDERS[[#This Row],[Discount]])</f>
        <v>3275</v>
      </c>
      <c r="I1363" t="str">
        <f>VLOOKUP(ORDERS[[#This Row],[CustomerID]],customers[],2,FALSE)</f>
        <v>A Shirts Life</v>
      </c>
      <c r="J1363" s="2" t="str">
        <f>VLOOKUP(ORDERS[[#This Row],[CustomerID]],customers[],4,FALSE)</f>
        <v>Portland</v>
      </c>
      <c r="K1363" s="2" t="str">
        <f>VLOOKUP(ORDERS[[#This Row],[ProductID]],Products[],3,FALSE)</f>
        <v>Male</v>
      </c>
      <c r="L1363" s="2">
        <f>DAY(ORDERS[[#This Row],[OrderDate]])</f>
        <v>30</v>
      </c>
      <c r="M1363" s="2">
        <f>YEAR(ORDERS[[#This Row],[OrderDate]])</f>
        <v>2014</v>
      </c>
    </row>
    <row r="1364" spans="1:13" x14ac:dyDescent="0.3">
      <c r="A1364">
        <v>1363</v>
      </c>
      <c r="B1364">
        <v>1</v>
      </c>
      <c r="C1364">
        <v>9</v>
      </c>
      <c r="D1364" s="1">
        <v>41974</v>
      </c>
      <c r="E1364">
        <v>61</v>
      </c>
      <c r="F1364">
        <f>VLOOKUP(ORDERS[[#This Row],[ProductID]],Products[],4,FALSE)</f>
        <v>25</v>
      </c>
      <c r="G1364">
        <v>0</v>
      </c>
      <c r="H1364">
        <f>(ORDERS[[#This Row],[UnitsOrdered]]*ORDERS[[#This Row],[unit price]])-(ORDERS[[#This Row],[UnitsOrdered]]*ORDERS[[#This Row],[unit price]]*ORDERS[[#This Row],[Discount]])</f>
        <v>1525</v>
      </c>
      <c r="I1364" t="str">
        <f>VLOOKUP(ORDERS[[#This Row],[CustomerID]],customers[],2,FALSE)</f>
        <v>Threads</v>
      </c>
      <c r="J1364" s="2" t="str">
        <f>VLOOKUP(ORDERS[[#This Row],[CustomerID]],customers[],4,FALSE)</f>
        <v>Seattle</v>
      </c>
      <c r="K1364" s="2" t="str">
        <f>VLOOKUP(ORDERS[[#This Row],[ProductID]],Products[],3,FALSE)</f>
        <v>Male</v>
      </c>
      <c r="L1364" s="2">
        <f>DAY(ORDERS[[#This Row],[OrderDate]])</f>
        <v>1</v>
      </c>
      <c r="M1364" s="2">
        <f>YEAR(ORDERS[[#This Row],[OrderDate]])</f>
        <v>2014</v>
      </c>
    </row>
    <row r="1365" spans="1:13" x14ac:dyDescent="0.3">
      <c r="A1365">
        <v>1364</v>
      </c>
      <c r="B1365">
        <v>1</v>
      </c>
      <c r="C1365">
        <v>7</v>
      </c>
      <c r="D1365" s="1">
        <v>41975</v>
      </c>
      <c r="E1365">
        <v>67</v>
      </c>
      <c r="F1365">
        <f>VLOOKUP(ORDERS[[#This Row],[ProductID]],Products[],4,FALSE)</f>
        <v>38</v>
      </c>
      <c r="G1365">
        <v>0</v>
      </c>
      <c r="H1365">
        <f>(ORDERS[[#This Row],[UnitsOrdered]]*ORDERS[[#This Row],[unit price]])-(ORDERS[[#This Row],[UnitsOrdered]]*ORDERS[[#This Row],[unit price]]*ORDERS[[#This Row],[Discount]])</f>
        <v>2546</v>
      </c>
      <c r="I1365" t="str">
        <f>VLOOKUP(ORDERS[[#This Row],[CustomerID]],customers[],2,FALSE)</f>
        <v>Threads</v>
      </c>
      <c r="J1365" s="2" t="str">
        <f>VLOOKUP(ORDERS[[#This Row],[CustomerID]],customers[],4,FALSE)</f>
        <v>Seattle</v>
      </c>
      <c r="K1365" s="2" t="str">
        <f>VLOOKUP(ORDERS[[#This Row],[ProductID]],Products[],3,FALSE)</f>
        <v>Female</v>
      </c>
      <c r="L1365" s="2">
        <f>DAY(ORDERS[[#This Row],[OrderDate]])</f>
        <v>2</v>
      </c>
      <c r="M1365" s="2">
        <f>YEAR(ORDERS[[#This Row],[OrderDate]])</f>
        <v>2014</v>
      </c>
    </row>
    <row r="1366" spans="1:13" x14ac:dyDescent="0.3">
      <c r="A1366">
        <v>1365</v>
      </c>
      <c r="B1366">
        <v>6</v>
      </c>
      <c r="C1366">
        <v>9</v>
      </c>
      <c r="D1366" s="1">
        <v>41975</v>
      </c>
      <c r="E1366">
        <v>76</v>
      </c>
      <c r="F1366">
        <f>VLOOKUP(ORDERS[[#This Row],[ProductID]],Products[],4,FALSE)</f>
        <v>25</v>
      </c>
      <c r="G1366">
        <v>0</v>
      </c>
      <c r="H1366">
        <f>(ORDERS[[#This Row],[UnitsOrdered]]*ORDERS[[#This Row],[unit price]])-(ORDERS[[#This Row],[UnitsOrdered]]*ORDERS[[#This Row],[unit price]]*ORDERS[[#This Row],[Discount]])</f>
        <v>1900</v>
      </c>
      <c r="I1366" t="str">
        <f>VLOOKUP(ORDERS[[#This Row],[CustomerID]],customers[],2,FALSE)</f>
        <v>Abracadaba Ink</v>
      </c>
      <c r="J1366" s="2" t="str">
        <f>VLOOKUP(ORDERS[[#This Row],[CustomerID]],customers[],4,FALSE)</f>
        <v>Salt Lake City</v>
      </c>
      <c r="K1366" s="2" t="str">
        <f>VLOOKUP(ORDERS[[#This Row],[ProductID]],Products[],3,FALSE)</f>
        <v>Male</v>
      </c>
      <c r="L1366" s="2">
        <f>DAY(ORDERS[[#This Row],[OrderDate]])</f>
        <v>2</v>
      </c>
      <c r="M1366" s="2">
        <f>YEAR(ORDERS[[#This Row],[OrderDate]])</f>
        <v>2014</v>
      </c>
    </row>
    <row r="1367" spans="1:13" x14ac:dyDescent="0.3">
      <c r="A1367">
        <v>1366</v>
      </c>
      <c r="B1367">
        <v>1</v>
      </c>
      <c r="C1367">
        <v>1</v>
      </c>
      <c r="D1367" s="1">
        <v>41976</v>
      </c>
      <c r="E1367">
        <v>33</v>
      </c>
      <c r="F1367">
        <f>VLOOKUP(ORDERS[[#This Row],[ProductID]],Products[],4,FALSE)</f>
        <v>20</v>
      </c>
      <c r="G1367">
        <v>0</v>
      </c>
      <c r="H1367">
        <f>(ORDERS[[#This Row],[UnitsOrdered]]*ORDERS[[#This Row],[unit price]])-(ORDERS[[#This Row],[UnitsOrdered]]*ORDERS[[#This Row],[unit price]]*ORDERS[[#This Row],[Discount]])</f>
        <v>660</v>
      </c>
      <c r="I1367" t="str">
        <f>VLOOKUP(ORDERS[[#This Row],[CustomerID]],customers[],2,FALSE)</f>
        <v>Threads</v>
      </c>
      <c r="J1367" s="2" t="str">
        <f>VLOOKUP(ORDERS[[#This Row],[CustomerID]],customers[],4,FALSE)</f>
        <v>Seattle</v>
      </c>
      <c r="K1367" s="2" t="str">
        <f>VLOOKUP(ORDERS[[#This Row],[ProductID]],Products[],3,FALSE)</f>
        <v>Both</v>
      </c>
      <c r="L1367" s="2">
        <f>DAY(ORDERS[[#This Row],[OrderDate]])</f>
        <v>3</v>
      </c>
      <c r="M1367" s="2">
        <f>YEAR(ORDERS[[#This Row],[OrderDate]])</f>
        <v>2014</v>
      </c>
    </row>
    <row r="1368" spans="1:13" x14ac:dyDescent="0.3">
      <c r="A1368">
        <v>1367</v>
      </c>
      <c r="B1368">
        <v>4</v>
      </c>
      <c r="C1368">
        <v>3</v>
      </c>
      <c r="D1368" s="1">
        <v>41977</v>
      </c>
      <c r="E1368">
        <v>37</v>
      </c>
      <c r="F1368">
        <f>VLOOKUP(ORDERS[[#This Row],[ProductID]],Products[],4,FALSE)</f>
        <v>22</v>
      </c>
      <c r="G1368">
        <v>0</v>
      </c>
      <c r="H1368">
        <f>(ORDERS[[#This Row],[UnitsOrdered]]*ORDERS[[#This Row],[unit price]])-(ORDERS[[#This Row],[UnitsOrdered]]*ORDERS[[#This Row],[unit price]]*ORDERS[[#This Row],[Discount]])</f>
        <v>814</v>
      </c>
      <c r="I1368" t="str">
        <f>VLOOKUP(ORDERS[[#This Row],[CustomerID]],customers[],2,FALSE)</f>
        <v>Tshirt Unlimited</v>
      </c>
      <c r="J1368" s="2" t="str">
        <f>VLOOKUP(ORDERS[[#This Row],[CustomerID]],customers[],4,FALSE)</f>
        <v>Phoenix</v>
      </c>
      <c r="K1368" s="2" t="str">
        <f>VLOOKUP(ORDERS[[#This Row],[ProductID]],Products[],3,FALSE)</f>
        <v>Both</v>
      </c>
      <c r="L1368" s="2">
        <f>DAY(ORDERS[[#This Row],[OrderDate]])</f>
        <v>4</v>
      </c>
      <c r="M1368" s="2">
        <f>YEAR(ORDERS[[#This Row],[OrderDate]])</f>
        <v>2014</v>
      </c>
    </row>
    <row r="1369" spans="1:13" x14ac:dyDescent="0.3">
      <c r="A1369">
        <v>1368</v>
      </c>
      <c r="B1369">
        <v>2</v>
      </c>
      <c r="C1369">
        <v>1</v>
      </c>
      <c r="D1369" s="1">
        <v>41978</v>
      </c>
      <c r="E1369">
        <v>115</v>
      </c>
      <c r="F1369">
        <f>VLOOKUP(ORDERS[[#This Row],[ProductID]],Products[],4,FALSE)</f>
        <v>20</v>
      </c>
      <c r="G1369">
        <v>5.0000001000000002E-2</v>
      </c>
      <c r="H1369">
        <f>(ORDERS[[#This Row],[UnitsOrdered]]*ORDERS[[#This Row],[unit price]])-(ORDERS[[#This Row],[UnitsOrdered]]*ORDERS[[#This Row],[unit price]]*ORDERS[[#This Row],[Discount]])</f>
        <v>2184.9999976999998</v>
      </c>
      <c r="I1369" t="str">
        <f>VLOOKUP(ORDERS[[#This Row],[CustomerID]],customers[],2,FALSE)</f>
        <v>A Shirts Life</v>
      </c>
      <c r="J1369" s="2" t="str">
        <f>VLOOKUP(ORDERS[[#This Row],[CustomerID]],customers[],4,FALSE)</f>
        <v>Portland</v>
      </c>
      <c r="K1369" s="2" t="str">
        <f>VLOOKUP(ORDERS[[#This Row],[ProductID]],Products[],3,FALSE)</f>
        <v>Both</v>
      </c>
      <c r="L1369" s="2">
        <f>DAY(ORDERS[[#This Row],[OrderDate]])</f>
        <v>5</v>
      </c>
      <c r="M1369" s="2">
        <f>YEAR(ORDERS[[#This Row],[OrderDate]])</f>
        <v>2014</v>
      </c>
    </row>
    <row r="1370" spans="1:13" x14ac:dyDescent="0.3">
      <c r="A1370">
        <v>1369</v>
      </c>
      <c r="B1370">
        <v>5</v>
      </c>
      <c r="C1370">
        <v>4</v>
      </c>
      <c r="D1370" s="1">
        <v>41978</v>
      </c>
      <c r="E1370">
        <v>41</v>
      </c>
      <c r="F1370">
        <f>VLOOKUP(ORDERS[[#This Row],[ProductID]],Products[],4,FALSE)</f>
        <v>30</v>
      </c>
      <c r="G1370">
        <v>0</v>
      </c>
      <c r="H1370">
        <f>(ORDERS[[#This Row],[UnitsOrdered]]*ORDERS[[#This Row],[unit price]])-(ORDERS[[#This Row],[UnitsOrdered]]*ORDERS[[#This Row],[unit price]]*ORDERS[[#This Row],[Discount]])</f>
        <v>1230</v>
      </c>
      <c r="I1370" t="str">
        <f>VLOOKUP(ORDERS[[#This Row],[CustomerID]],customers[],2,FALSE)</f>
        <v>Rags to Riches</v>
      </c>
      <c r="J1370" s="2" t="str">
        <f>VLOOKUP(ORDERS[[#This Row],[CustomerID]],customers[],4,FALSE)</f>
        <v>Las Vegas</v>
      </c>
      <c r="K1370" s="2" t="str">
        <f>VLOOKUP(ORDERS[[#This Row],[ProductID]],Products[],3,FALSE)</f>
        <v>Both</v>
      </c>
      <c r="L1370" s="2">
        <f>DAY(ORDERS[[#This Row],[OrderDate]])</f>
        <v>5</v>
      </c>
      <c r="M1370" s="2">
        <f>YEAR(ORDERS[[#This Row],[OrderDate]])</f>
        <v>2014</v>
      </c>
    </row>
    <row r="1371" spans="1:13" x14ac:dyDescent="0.3">
      <c r="A1371">
        <v>1370</v>
      </c>
      <c r="B1371">
        <v>7</v>
      </c>
      <c r="C1371">
        <v>7</v>
      </c>
      <c r="D1371" s="1">
        <v>41978</v>
      </c>
      <c r="E1371">
        <v>39</v>
      </c>
      <c r="F1371">
        <f>VLOOKUP(ORDERS[[#This Row],[ProductID]],Products[],4,FALSE)</f>
        <v>38</v>
      </c>
      <c r="G1371">
        <v>0</v>
      </c>
      <c r="H1371">
        <f>(ORDERS[[#This Row],[UnitsOrdered]]*ORDERS[[#This Row],[unit price]])-(ORDERS[[#This Row],[UnitsOrdered]]*ORDERS[[#This Row],[unit price]]*ORDERS[[#This Row],[Discount]])</f>
        <v>1482</v>
      </c>
      <c r="I1371" t="str">
        <f>VLOOKUP(ORDERS[[#This Row],[CustomerID]],customers[],2,FALSE)</f>
        <v>The Shirt on Your Back</v>
      </c>
      <c r="J1371" s="2" t="str">
        <f>VLOOKUP(ORDERS[[#This Row],[CustomerID]],customers[],4,FALSE)</f>
        <v>Bonners Ferry</v>
      </c>
      <c r="K1371" s="2" t="str">
        <f>VLOOKUP(ORDERS[[#This Row],[ProductID]],Products[],3,FALSE)</f>
        <v>Female</v>
      </c>
      <c r="L1371" s="2">
        <f>DAY(ORDERS[[#This Row],[OrderDate]])</f>
        <v>5</v>
      </c>
      <c r="M1371" s="2">
        <f>YEAR(ORDERS[[#This Row],[OrderDate]])</f>
        <v>2014</v>
      </c>
    </row>
    <row r="1372" spans="1:13" x14ac:dyDescent="0.3">
      <c r="A1372">
        <v>1371</v>
      </c>
      <c r="B1372">
        <v>2</v>
      </c>
      <c r="C1372">
        <v>3</v>
      </c>
      <c r="D1372" s="1">
        <v>41979</v>
      </c>
      <c r="E1372">
        <v>122</v>
      </c>
      <c r="F1372">
        <f>VLOOKUP(ORDERS[[#This Row],[ProductID]],Products[],4,FALSE)</f>
        <v>22</v>
      </c>
      <c r="G1372">
        <v>0</v>
      </c>
      <c r="H1372">
        <f>(ORDERS[[#This Row],[UnitsOrdered]]*ORDERS[[#This Row],[unit price]])-(ORDERS[[#This Row],[UnitsOrdered]]*ORDERS[[#This Row],[unit price]]*ORDERS[[#This Row],[Discount]])</f>
        <v>2684</v>
      </c>
      <c r="I1372" t="str">
        <f>VLOOKUP(ORDERS[[#This Row],[CustomerID]],customers[],2,FALSE)</f>
        <v>A Shirts Life</v>
      </c>
      <c r="J1372" s="2" t="str">
        <f>VLOOKUP(ORDERS[[#This Row],[CustomerID]],customers[],4,FALSE)</f>
        <v>Portland</v>
      </c>
      <c r="K1372" s="2" t="str">
        <f>VLOOKUP(ORDERS[[#This Row],[ProductID]],Products[],3,FALSE)</f>
        <v>Both</v>
      </c>
      <c r="L1372" s="2">
        <f>DAY(ORDERS[[#This Row],[OrderDate]])</f>
        <v>6</v>
      </c>
      <c r="M1372" s="2">
        <f>YEAR(ORDERS[[#This Row],[OrderDate]])</f>
        <v>2014</v>
      </c>
    </row>
    <row r="1373" spans="1:13" x14ac:dyDescent="0.3">
      <c r="A1373">
        <v>1372</v>
      </c>
      <c r="B1373">
        <v>4</v>
      </c>
      <c r="C1373">
        <v>4</v>
      </c>
      <c r="D1373" s="1">
        <v>41980</v>
      </c>
      <c r="E1373">
        <v>108</v>
      </c>
      <c r="F1373">
        <f>VLOOKUP(ORDERS[[#This Row],[ProductID]],Products[],4,FALSE)</f>
        <v>30</v>
      </c>
      <c r="G1373">
        <v>0</v>
      </c>
      <c r="H1373">
        <f>(ORDERS[[#This Row],[UnitsOrdered]]*ORDERS[[#This Row],[unit price]])-(ORDERS[[#This Row],[UnitsOrdered]]*ORDERS[[#This Row],[unit price]]*ORDERS[[#This Row],[Discount]])</f>
        <v>3240</v>
      </c>
      <c r="I1373" t="str">
        <f>VLOOKUP(ORDERS[[#This Row],[CustomerID]],customers[],2,FALSE)</f>
        <v>Tshirt Unlimited</v>
      </c>
      <c r="J1373" s="2" t="str">
        <f>VLOOKUP(ORDERS[[#This Row],[CustomerID]],customers[],4,FALSE)</f>
        <v>Phoenix</v>
      </c>
      <c r="K1373" s="2" t="str">
        <f>VLOOKUP(ORDERS[[#This Row],[ProductID]],Products[],3,FALSE)</f>
        <v>Both</v>
      </c>
      <c r="L1373" s="2">
        <f>DAY(ORDERS[[#This Row],[OrderDate]])</f>
        <v>7</v>
      </c>
      <c r="M1373" s="2">
        <f>YEAR(ORDERS[[#This Row],[OrderDate]])</f>
        <v>2014</v>
      </c>
    </row>
    <row r="1374" spans="1:13" x14ac:dyDescent="0.3">
      <c r="A1374">
        <v>1373</v>
      </c>
      <c r="B1374">
        <v>6</v>
      </c>
      <c r="C1374">
        <v>10</v>
      </c>
      <c r="D1374" s="1">
        <v>41980</v>
      </c>
      <c r="E1374">
        <v>36</v>
      </c>
      <c r="F1374">
        <f>VLOOKUP(ORDERS[[#This Row],[ProductID]],Products[],4,FALSE)</f>
        <v>35</v>
      </c>
      <c r="G1374">
        <v>0</v>
      </c>
      <c r="H1374">
        <f>(ORDERS[[#This Row],[UnitsOrdered]]*ORDERS[[#This Row],[unit price]])-(ORDERS[[#This Row],[UnitsOrdered]]*ORDERS[[#This Row],[unit price]]*ORDERS[[#This Row],[Discount]])</f>
        <v>1260</v>
      </c>
      <c r="I1374" t="str">
        <f>VLOOKUP(ORDERS[[#This Row],[CustomerID]],customers[],2,FALSE)</f>
        <v>Abracadaba Ink</v>
      </c>
      <c r="J1374" s="2" t="str">
        <f>VLOOKUP(ORDERS[[#This Row],[CustomerID]],customers[],4,FALSE)</f>
        <v>Salt Lake City</v>
      </c>
      <c r="K1374" s="2" t="str">
        <f>VLOOKUP(ORDERS[[#This Row],[ProductID]],Products[],3,FALSE)</f>
        <v>Male</v>
      </c>
      <c r="L1374" s="2">
        <f>DAY(ORDERS[[#This Row],[OrderDate]])</f>
        <v>7</v>
      </c>
      <c r="M1374" s="2">
        <f>YEAR(ORDERS[[#This Row],[OrderDate]])</f>
        <v>2014</v>
      </c>
    </row>
    <row r="1375" spans="1:13" x14ac:dyDescent="0.3">
      <c r="A1375">
        <v>1374</v>
      </c>
      <c r="B1375">
        <v>2</v>
      </c>
      <c r="C1375">
        <v>5</v>
      </c>
      <c r="D1375" s="1">
        <v>41981</v>
      </c>
      <c r="E1375">
        <v>125</v>
      </c>
      <c r="F1375">
        <f>VLOOKUP(ORDERS[[#This Row],[ProductID]],Products[],4,FALSE)</f>
        <v>16</v>
      </c>
      <c r="G1375">
        <v>0</v>
      </c>
      <c r="H1375">
        <f>(ORDERS[[#This Row],[UnitsOrdered]]*ORDERS[[#This Row],[unit price]])-(ORDERS[[#This Row],[UnitsOrdered]]*ORDERS[[#This Row],[unit price]]*ORDERS[[#This Row],[Discount]])</f>
        <v>2000</v>
      </c>
      <c r="I1375" t="str">
        <f>VLOOKUP(ORDERS[[#This Row],[CustomerID]],customers[],2,FALSE)</f>
        <v>A Shirts Life</v>
      </c>
      <c r="J1375" s="2" t="str">
        <f>VLOOKUP(ORDERS[[#This Row],[CustomerID]],customers[],4,FALSE)</f>
        <v>Portland</v>
      </c>
      <c r="K1375" s="2" t="str">
        <f>VLOOKUP(ORDERS[[#This Row],[ProductID]],Products[],3,FALSE)</f>
        <v>Female</v>
      </c>
      <c r="L1375" s="2">
        <f>DAY(ORDERS[[#This Row],[OrderDate]])</f>
        <v>8</v>
      </c>
      <c r="M1375" s="2">
        <f>YEAR(ORDERS[[#This Row],[OrderDate]])</f>
        <v>2014</v>
      </c>
    </row>
    <row r="1376" spans="1:13" x14ac:dyDescent="0.3">
      <c r="A1376">
        <v>1375</v>
      </c>
      <c r="B1376">
        <v>4</v>
      </c>
      <c r="C1376">
        <v>4</v>
      </c>
      <c r="D1376" s="1">
        <v>41981</v>
      </c>
      <c r="E1376">
        <v>133</v>
      </c>
      <c r="F1376">
        <f>VLOOKUP(ORDERS[[#This Row],[ProductID]],Products[],4,FALSE)</f>
        <v>30</v>
      </c>
      <c r="G1376">
        <v>0</v>
      </c>
      <c r="H1376">
        <f>(ORDERS[[#This Row],[UnitsOrdered]]*ORDERS[[#This Row],[unit price]])-(ORDERS[[#This Row],[UnitsOrdered]]*ORDERS[[#This Row],[unit price]]*ORDERS[[#This Row],[Discount]])</f>
        <v>3990</v>
      </c>
      <c r="I1376" t="str">
        <f>VLOOKUP(ORDERS[[#This Row],[CustomerID]],customers[],2,FALSE)</f>
        <v>Tshirt Unlimited</v>
      </c>
      <c r="J1376" s="2" t="str">
        <f>VLOOKUP(ORDERS[[#This Row],[CustomerID]],customers[],4,FALSE)</f>
        <v>Phoenix</v>
      </c>
      <c r="K1376" s="2" t="str">
        <f>VLOOKUP(ORDERS[[#This Row],[ProductID]],Products[],3,FALSE)</f>
        <v>Both</v>
      </c>
      <c r="L1376" s="2">
        <f>DAY(ORDERS[[#This Row],[OrderDate]])</f>
        <v>8</v>
      </c>
      <c r="M1376" s="2">
        <f>YEAR(ORDERS[[#This Row],[OrderDate]])</f>
        <v>2014</v>
      </c>
    </row>
    <row r="1377" spans="1:13" x14ac:dyDescent="0.3">
      <c r="A1377">
        <v>1376</v>
      </c>
      <c r="B1377">
        <v>4</v>
      </c>
      <c r="C1377">
        <v>2</v>
      </c>
      <c r="D1377" s="1">
        <v>41982</v>
      </c>
      <c r="E1377">
        <v>143</v>
      </c>
      <c r="F1377">
        <f>VLOOKUP(ORDERS[[#This Row],[ProductID]],Products[],4,FALSE)</f>
        <v>30</v>
      </c>
      <c r="G1377">
        <v>0</v>
      </c>
      <c r="H1377">
        <f>(ORDERS[[#This Row],[UnitsOrdered]]*ORDERS[[#This Row],[unit price]])-(ORDERS[[#This Row],[UnitsOrdered]]*ORDERS[[#This Row],[unit price]]*ORDERS[[#This Row],[Discount]])</f>
        <v>4290</v>
      </c>
      <c r="I1377" t="str">
        <f>VLOOKUP(ORDERS[[#This Row],[CustomerID]],customers[],2,FALSE)</f>
        <v>Tshirt Unlimited</v>
      </c>
      <c r="J1377" s="2" t="str">
        <f>VLOOKUP(ORDERS[[#This Row],[CustomerID]],customers[],4,FALSE)</f>
        <v>Phoenix</v>
      </c>
      <c r="K1377" s="2" t="str">
        <f>VLOOKUP(ORDERS[[#This Row],[ProductID]],Products[],3,FALSE)</f>
        <v>Both</v>
      </c>
      <c r="L1377" s="2">
        <f>DAY(ORDERS[[#This Row],[OrderDate]])</f>
        <v>9</v>
      </c>
      <c r="M1377" s="2">
        <f>YEAR(ORDERS[[#This Row],[OrderDate]])</f>
        <v>2014</v>
      </c>
    </row>
    <row r="1378" spans="1:13" x14ac:dyDescent="0.3">
      <c r="A1378">
        <v>1377</v>
      </c>
      <c r="B1378">
        <v>5</v>
      </c>
      <c r="C1378">
        <v>1</v>
      </c>
      <c r="D1378" s="1">
        <v>41986</v>
      </c>
      <c r="E1378">
        <v>65</v>
      </c>
      <c r="F1378">
        <f>VLOOKUP(ORDERS[[#This Row],[ProductID]],Products[],4,FALSE)</f>
        <v>20</v>
      </c>
      <c r="G1378">
        <v>0</v>
      </c>
      <c r="H1378">
        <f>(ORDERS[[#This Row],[UnitsOrdered]]*ORDERS[[#This Row],[unit price]])-(ORDERS[[#This Row],[UnitsOrdered]]*ORDERS[[#This Row],[unit price]]*ORDERS[[#This Row],[Discount]])</f>
        <v>1300</v>
      </c>
      <c r="I1378" t="str">
        <f>VLOOKUP(ORDERS[[#This Row],[CustomerID]],customers[],2,FALSE)</f>
        <v>Rags to Riches</v>
      </c>
      <c r="J1378" s="2" t="str">
        <f>VLOOKUP(ORDERS[[#This Row],[CustomerID]],customers[],4,FALSE)</f>
        <v>Las Vegas</v>
      </c>
      <c r="K1378" s="2" t="str">
        <f>VLOOKUP(ORDERS[[#This Row],[ProductID]],Products[],3,FALSE)</f>
        <v>Both</v>
      </c>
      <c r="L1378" s="2">
        <f>DAY(ORDERS[[#This Row],[OrderDate]])</f>
        <v>13</v>
      </c>
      <c r="M1378" s="2">
        <f>YEAR(ORDERS[[#This Row],[OrderDate]])</f>
        <v>2014</v>
      </c>
    </row>
    <row r="1379" spans="1:13" x14ac:dyDescent="0.3">
      <c r="A1379">
        <v>1378</v>
      </c>
      <c r="B1379">
        <v>2</v>
      </c>
      <c r="C1379">
        <v>7</v>
      </c>
      <c r="D1379" s="1">
        <v>41987</v>
      </c>
      <c r="E1379">
        <v>107</v>
      </c>
      <c r="F1379">
        <f>VLOOKUP(ORDERS[[#This Row],[ProductID]],Products[],4,FALSE)</f>
        <v>38</v>
      </c>
      <c r="G1379">
        <v>0</v>
      </c>
      <c r="H1379">
        <f>(ORDERS[[#This Row],[UnitsOrdered]]*ORDERS[[#This Row],[unit price]])-(ORDERS[[#This Row],[UnitsOrdered]]*ORDERS[[#This Row],[unit price]]*ORDERS[[#This Row],[Discount]])</f>
        <v>4066</v>
      </c>
      <c r="I1379" t="str">
        <f>VLOOKUP(ORDERS[[#This Row],[CustomerID]],customers[],2,FALSE)</f>
        <v>A Shirts Life</v>
      </c>
      <c r="J1379" s="2" t="str">
        <f>VLOOKUP(ORDERS[[#This Row],[CustomerID]],customers[],4,FALSE)</f>
        <v>Portland</v>
      </c>
      <c r="K1379" s="2" t="str">
        <f>VLOOKUP(ORDERS[[#This Row],[ProductID]],Products[],3,FALSE)</f>
        <v>Female</v>
      </c>
      <c r="L1379" s="2">
        <f>DAY(ORDERS[[#This Row],[OrderDate]])</f>
        <v>14</v>
      </c>
      <c r="M1379" s="2">
        <f>YEAR(ORDERS[[#This Row],[OrderDate]])</f>
        <v>2014</v>
      </c>
    </row>
    <row r="1380" spans="1:13" x14ac:dyDescent="0.3">
      <c r="A1380">
        <v>1379</v>
      </c>
      <c r="B1380">
        <v>6</v>
      </c>
      <c r="C1380">
        <v>4</v>
      </c>
      <c r="D1380" s="1">
        <v>41987</v>
      </c>
      <c r="E1380">
        <v>106</v>
      </c>
      <c r="F1380">
        <f>VLOOKUP(ORDERS[[#This Row],[ProductID]],Products[],4,FALSE)</f>
        <v>30</v>
      </c>
      <c r="G1380">
        <v>0</v>
      </c>
      <c r="H1380">
        <f>(ORDERS[[#This Row],[UnitsOrdered]]*ORDERS[[#This Row],[unit price]])-(ORDERS[[#This Row],[UnitsOrdered]]*ORDERS[[#This Row],[unit price]]*ORDERS[[#This Row],[Discount]])</f>
        <v>3180</v>
      </c>
      <c r="I1380" t="str">
        <f>VLOOKUP(ORDERS[[#This Row],[CustomerID]],customers[],2,FALSE)</f>
        <v>Abracadaba Ink</v>
      </c>
      <c r="J1380" s="2" t="str">
        <f>VLOOKUP(ORDERS[[#This Row],[CustomerID]],customers[],4,FALSE)</f>
        <v>Salt Lake City</v>
      </c>
      <c r="K1380" s="2" t="str">
        <f>VLOOKUP(ORDERS[[#This Row],[ProductID]],Products[],3,FALSE)</f>
        <v>Both</v>
      </c>
      <c r="L1380" s="2">
        <f>DAY(ORDERS[[#This Row],[OrderDate]])</f>
        <v>14</v>
      </c>
      <c r="M1380" s="2">
        <f>YEAR(ORDERS[[#This Row],[OrderDate]])</f>
        <v>2014</v>
      </c>
    </row>
    <row r="1381" spans="1:13" x14ac:dyDescent="0.3">
      <c r="A1381">
        <v>1380</v>
      </c>
      <c r="B1381">
        <v>3</v>
      </c>
      <c r="C1381">
        <v>4</v>
      </c>
      <c r="D1381" s="1">
        <v>41992</v>
      </c>
      <c r="E1381">
        <v>73</v>
      </c>
      <c r="F1381">
        <f>VLOOKUP(ORDERS[[#This Row],[ProductID]],Products[],4,FALSE)</f>
        <v>30</v>
      </c>
      <c r="G1381">
        <v>5.0000001000000002E-2</v>
      </c>
      <c r="H1381">
        <f>(ORDERS[[#This Row],[UnitsOrdered]]*ORDERS[[#This Row],[unit price]])-(ORDERS[[#This Row],[UnitsOrdered]]*ORDERS[[#This Row],[unit price]]*ORDERS[[#This Row],[Discount]])</f>
        <v>2080.49999781</v>
      </c>
      <c r="I1381" t="str">
        <f>VLOOKUP(ORDERS[[#This Row],[CustomerID]],customers[],2,FALSE)</f>
        <v>Shirts R Us</v>
      </c>
      <c r="J1381" s="2" t="str">
        <f>VLOOKUP(ORDERS[[#This Row],[CustomerID]],customers[],4,FALSE)</f>
        <v>Los Angeles</v>
      </c>
      <c r="K1381" s="2" t="str">
        <f>VLOOKUP(ORDERS[[#This Row],[ProductID]],Products[],3,FALSE)</f>
        <v>Both</v>
      </c>
      <c r="L1381" s="2">
        <f>DAY(ORDERS[[#This Row],[OrderDate]])</f>
        <v>19</v>
      </c>
      <c r="M1381" s="2">
        <f>YEAR(ORDERS[[#This Row],[OrderDate]])</f>
        <v>2014</v>
      </c>
    </row>
    <row r="1382" spans="1:13" x14ac:dyDescent="0.3">
      <c r="A1382">
        <v>1381</v>
      </c>
      <c r="B1382">
        <v>1</v>
      </c>
      <c r="C1382">
        <v>2</v>
      </c>
      <c r="D1382" s="1">
        <v>41994</v>
      </c>
      <c r="E1382">
        <v>34</v>
      </c>
      <c r="F1382">
        <f>VLOOKUP(ORDERS[[#This Row],[ProductID]],Products[],4,FALSE)</f>
        <v>30</v>
      </c>
      <c r="G1382">
        <v>0</v>
      </c>
      <c r="H1382">
        <f>(ORDERS[[#This Row],[UnitsOrdered]]*ORDERS[[#This Row],[unit price]])-(ORDERS[[#This Row],[UnitsOrdered]]*ORDERS[[#This Row],[unit price]]*ORDERS[[#This Row],[Discount]])</f>
        <v>1020</v>
      </c>
      <c r="I1382" t="str">
        <f>VLOOKUP(ORDERS[[#This Row],[CustomerID]],customers[],2,FALSE)</f>
        <v>Threads</v>
      </c>
      <c r="J1382" s="2" t="str">
        <f>VLOOKUP(ORDERS[[#This Row],[CustomerID]],customers[],4,FALSE)</f>
        <v>Seattle</v>
      </c>
      <c r="K1382" s="2" t="str">
        <f>VLOOKUP(ORDERS[[#This Row],[ProductID]],Products[],3,FALSE)</f>
        <v>Both</v>
      </c>
      <c r="L1382" s="2">
        <f>DAY(ORDERS[[#This Row],[OrderDate]])</f>
        <v>21</v>
      </c>
      <c r="M1382" s="2">
        <f>YEAR(ORDERS[[#This Row],[OrderDate]])</f>
        <v>2014</v>
      </c>
    </row>
    <row r="1383" spans="1:13" x14ac:dyDescent="0.3">
      <c r="A1383">
        <v>1382</v>
      </c>
      <c r="B1383">
        <v>3</v>
      </c>
      <c r="C1383">
        <v>2</v>
      </c>
      <c r="D1383" s="1">
        <v>41994</v>
      </c>
      <c r="E1383">
        <v>50</v>
      </c>
      <c r="F1383">
        <f>VLOOKUP(ORDERS[[#This Row],[ProductID]],Products[],4,FALSE)</f>
        <v>30</v>
      </c>
      <c r="G1383">
        <v>0</v>
      </c>
      <c r="H1383">
        <f>(ORDERS[[#This Row],[UnitsOrdered]]*ORDERS[[#This Row],[unit price]])-(ORDERS[[#This Row],[UnitsOrdered]]*ORDERS[[#This Row],[unit price]]*ORDERS[[#This Row],[Discount]])</f>
        <v>1500</v>
      </c>
      <c r="I1383" t="str">
        <f>VLOOKUP(ORDERS[[#This Row],[CustomerID]],customers[],2,FALSE)</f>
        <v>Shirts R Us</v>
      </c>
      <c r="J1383" s="2" t="str">
        <f>VLOOKUP(ORDERS[[#This Row],[CustomerID]],customers[],4,FALSE)</f>
        <v>Los Angeles</v>
      </c>
      <c r="K1383" s="2" t="str">
        <f>VLOOKUP(ORDERS[[#This Row],[ProductID]],Products[],3,FALSE)</f>
        <v>Both</v>
      </c>
      <c r="L1383" s="2">
        <f>DAY(ORDERS[[#This Row],[OrderDate]])</f>
        <v>21</v>
      </c>
      <c r="M1383" s="2">
        <f>YEAR(ORDERS[[#This Row],[OrderDate]])</f>
        <v>2014</v>
      </c>
    </row>
    <row r="1384" spans="1:13" x14ac:dyDescent="0.3">
      <c r="A1384">
        <v>1383</v>
      </c>
      <c r="B1384">
        <v>2</v>
      </c>
      <c r="C1384">
        <v>1</v>
      </c>
      <c r="D1384" s="1">
        <v>41995</v>
      </c>
      <c r="E1384">
        <v>77</v>
      </c>
      <c r="F1384">
        <f>VLOOKUP(ORDERS[[#This Row],[ProductID]],Products[],4,FALSE)</f>
        <v>20</v>
      </c>
      <c r="G1384">
        <v>0</v>
      </c>
      <c r="H1384">
        <f>(ORDERS[[#This Row],[UnitsOrdered]]*ORDERS[[#This Row],[unit price]])-(ORDERS[[#This Row],[UnitsOrdered]]*ORDERS[[#This Row],[unit price]]*ORDERS[[#This Row],[Discount]])</f>
        <v>1540</v>
      </c>
      <c r="I1384" t="str">
        <f>VLOOKUP(ORDERS[[#This Row],[CustomerID]],customers[],2,FALSE)</f>
        <v>A Shirts Life</v>
      </c>
      <c r="J1384" s="2" t="str">
        <f>VLOOKUP(ORDERS[[#This Row],[CustomerID]],customers[],4,FALSE)</f>
        <v>Portland</v>
      </c>
      <c r="K1384" s="2" t="str">
        <f>VLOOKUP(ORDERS[[#This Row],[ProductID]],Products[],3,FALSE)</f>
        <v>Both</v>
      </c>
      <c r="L1384" s="2">
        <f>DAY(ORDERS[[#This Row],[OrderDate]])</f>
        <v>22</v>
      </c>
      <c r="M1384" s="2">
        <f>YEAR(ORDERS[[#This Row],[OrderDate]])</f>
        <v>2014</v>
      </c>
    </row>
    <row r="1385" spans="1:13" x14ac:dyDescent="0.3">
      <c r="A1385">
        <v>1384</v>
      </c>
      <c r="B1385">
        <v>3</v>
      </c>
      <c r="C1385">
        <v>6</v>
      </c>
      <c r="D1385" s="1">
        <v>41997</v>
      </c>
      <c r="E1385">
        <v>114</v>
      </c>
      <c r="F1385">
        <f>VLOOKUP(ORDERS[[#This Row],[ProductID]],Products[],4,FALSE)</f>
        <v>28</v>
      </c>
      <c r="G1385">
        <v>0</v>
      </c>
      <c r="H1385">
        <f>(ORDERS[[#This Row],[UnitsOrdered]]*ORDERS[[#This Row],[unit price]])-(ORDERS[[#This Row],[UnitsOrdered]]*ORDERS[[#This Row],[unit price]]*ORDERS[[#This Row],[Discount]])</f>
        <v>3192</v>
      </c>
      <c r="I1385" t="str">
        <f>VLOOKUP(ORDERS[[#This Row],[CustomerID]],customers[],2,FALSE)</f>
        <v>Shirts R Us</v>
      </c>
      <c r="J1385" s="2" t="str">
        <f>VLOOKUP(ORDERS[[#This Row],[CustomerID]],customers[],4,FALSE)</f>
        <v>Los Angeles</v>
      </c>
      <c r="K1385" s="2" t="str">
        <f>VLOOKUP(ORDERS[[#This Row],[ProductID]],Products[],3,FALSE)</f>
        <v>Female</v>
      </c>
      <c r="L1385" s="2">
        <f>DAY(ORDERS[[#This Row],[OrderDate]])</f>
        <v>24</v>
      </c>
      <c r="M1385" s="2">
        <f>YEAR(ORDERS[[#This Row],[OrderDate]])</f>
        <v>2014</v>
      </c>
    </row>
    <row r="1386" spans="1:13" x14ac:dyDescent="0.3">
      <c r="A1386">
        <v>1385</v>
      </c>
      <c r="B1386">
        <v>4</v>
      </c>
      <c r="C1386">
        <v>2</v>
      </c>
      <c r="D1386" s="1">
        <v>41997</v>
      </c>
      <c r="E1386">
        <v>48</v>
      </c>
      <c r="F1386">
        <f>VLOOKUP(ORDERS[[#This Row],[ProductID]],Products[],4,FALSE)</f>
        <v>30</v>
      </c>
      <c r="G1386">
        <v>5.0000001000000002E-2</v>
      </c>
      <c r="H1386">
        <f>(ORDERS[[#This Row],[UnitsOrdered]]*ORDERS[[#This Row],[unit price]])-(ORDERS[[#This Row],[UnitsOrdered]]*ORDERS[[#This Row],[unit price]]*ORDERS[[#This Row],[Discount]])</f>
        <v>1367.99999856</v>
      </c>
      <c r="I1386" t="str">
        <f>VLOOKUP(ORDERS[[#This Row],[CustomerID]],customers[],2,FALSE)</f>
        <v>Tshirt Unlimited</v>
      </c>
      <c r="J1386" s="2" t="str">
        <f>VLOOKUP(ORDERS[[#This Row],[CustomerID]],customers[],4,FALSE)</f>
        <v>Phoenix</v>
      </c>
      <c r="K1386" s="2" t="str">
        <f>VLOOKUP(ORDERS[[#This Row],[ProductID]],Products[],3,FALSE)</f>
        <v>Both</v>
      </c>
      <c r="L1386" s="2">
        <f>DAY(ORDERS[[#This Row],[OrderDate]])</f>
        <v>24</v>
      </c>
      <c r="M1386" s="2">
        <f>YEAR(ORDERS[[#This Row],[OrderDate]])</f>
        <v>2014</v>
      </c>
    </row>
    <row r="1387" spans="1:13" x14ac:dyDescent="0.3">
      <c r="A1387">
        <v>1386</v>
      </c>
      <c r="B1387">
        <v>7</v>
      </c>
      <c r="C1387">
        <v>3</v>
      </c>
      <c r="D1387" s="1">
        <v>41999</v>
      </c>
      <c r="E1387">
        <v>43</v>
      </c>
      <c r="F1387">
        <f>VLOOKUP(ORDERS[[#This Row],[ProductID]],Products[],4,FALSE)</f>
        <v>22</v>
      </c>
      <c r="G1387">
        <v>0.15000000599999999</v>
      </c>
      <c r="H1387">
        <f>(ORDERS[[#This Row],[UnitsOrdered]]*ORDERS[[#This Row],[unit price]])-(ORDERS[[#This Row],[UnitsOrdered]]*ORDERS[[#This Row],[unit price]]*ORDERS[[#This Row],[Discount]])</f>
        <v>804.09999432400002</v>
      </c>
      <c r="I1387" t="str">
        <f>VLOOKUP(ORDERS[[#This Row],[CustomerID]],customers[],2,FALSE)</f>
        <v>The Shirt on Your Back</v>
      </c>
      <c r="J1387" s="2" t="str">
        <f>VLOOKUP(ORDERS[[#This Row],[CustomerID]],customers[],4,FALSE)</f>
        <v>Bonners Ferry</v>
      </c>
      <c r="K1387" s="2" t="str">
        <f>VLOOKUP(ORDERS[[#This Row],[ProductID]],Products[],3,FALSE)</f>
        <v>Both</v>
      </c>
      <c r="L1387" s="2">
        <f>DAY(ORDERS[[#This Row],[OrderDate]])</f>
        <v>26</v>
      </c>
      <c r="M1387" s="2">
        <f>YEAR(ORDERS[[#This Row],[OrderDate]])</f>
        <v>2014</v>
      </c>
    </row>
    <row r="1388" spans="1:13" x14ac:dyDescent="0.3">
      <c r="A1388">
        <v>1387</v>
      </c>
      <c r="B1388">
        <v>7</v>
      </c>
      <c r="C1388">
        <v>8</v>
      </c>
      <c r="D1388" s="1">
        <v>41999</v>
      </c>
      <c r="E1388">
        <v>137</v>
      </c>
      <c r="F1388">
        <f>VLOOKUP(ORDERS[[#This Row],[ProductID]],Products[],4,FALSE)</f>
        <v>27</v>
      </c>
      <c r="G1388">
        <v>0</v>
      </c>
      <c r="H1388">
        <f>(ORDERS[[#This Row],[UnitsOrdered]]*ORDERS[[#This Row],[unit price]])-(ORDERS[[#This Row],[UnitsOrdered]]*ORDERS[[#This Row],[unit price]]*ORDERS[[#This Row],[Discount]])</f>
        <v>3699</v>
      </c>
      <c r="I1388" t="str">
        <f>VLOOKUP(ORDERS[[#This Row],[CustomerID]],customers[],2,FALSE)</f>
        <v>The Shirt on Your Back</v>
      </c>
      <c r="J1388" s="2" t="str">
        <f>VLOOKUP(ORDERS[[#This Row],[CustomerID]],customers[],4,FALSE)</f>
        <v>Bonners Ferry</v>
      </c>
      <c r="K1388" s="2" t="str">
        <f>VLOOKUP(ORDERS[[#This Row],[ProductID]],Products[],3,FALSE)</f>
        <v>Female</v>
      </c>
      <c r="L1388" s="2">
        <f>DAY(ORDERS[[#This Row],[OrderDate]])</f>
        <v>26</v>
      </c>
      <c r="M1388" s="2">
        <f>YEAR(ORDERS[[#This Row],[OrderDate]])</f>
        <v>2014</v>
      </c>
    </row>
    <row r="1389" spans="1:13" x14ac:dyDescent="0.3">
      <c r="A1389">
        <v>1388</v>
      </c>
      <c r="B1389">
        <v>2</v>
      </c>
      <c r="C1389">
        <v>5</v>
      </c>
      <c r="D1389" s="1">
        <v>42001</v>
      </c>
      <c r="E1389">
        <v>102</v>
      </c>
      <c r="F1389">
        <f>VLOOKUP(ORDERS[[#This Row],[ProductID]],Products[],4,FALSE)</f>
        <v>16</v>
      </c>
      <c r="G1389">
        <v>0</v>
      </c>
      <c r="H1389">
        <f>(ORDERS[[#This Row],[UnitsOrdered]]*ORDERS[[#This Row],[unit price]])-(ORDERS[[#This Row],[UnitsOrdered]]*ORDERS[[#This Row],[unit price]]*ORDERS[[#This Row],[Discount]])</f>
        <v>1632</v>
      </c>
      <c r="I1389" t="str">
        <f>VLOOKUP(ORDERS[[#This Row],[CustomerID]],customers[],2,FALSE)</f>
        <v>A Shirts Life</v>
      </c>
      <c r="J1389" s="2" t="str">
        <f>VLOOKUP(ORDERS[[#This Row],[CustomerID]],customers[],4,FALSE)</f>
        <v>Portland</v>
      </c>
      <c r="K1389" s="2" t="str">
        <f>VLOOKUP(ORDERS[[#This Row],[ProductID]],Products[],3,FALSE)</f>
        <v>Female</v>
      </c>
      <c r="L1389" s="2">
        <f>DAY(ORDERS[[#This Row],[OrderDate]])</f>
        <v>28</v>
      </c>
      <c r="M1389" s="2">
        <f>YEAR(ORDERS[[#This Row],[OrderDate]])</f>
        <v>2014</v>
      </c>
    </row>
    <row r="1390" spans="1:13" x14ac:dyDescent="0.3">
      <c r="A1390">
        <v>1389</v>
      </c>
      <c r="B1390">
        <v>2</v>
      </c>
      <c r="C1390">
        <v>7</v>
      </c>
      <c r="D1390" s="1">
        <v>42002</v>
      </c>
      <c r="E1390">
        <v>73</v>
      </c>
      <c r="F1390">
        <f>VLOOKUP(ORDERS[[#This Row],[ProductID]],Products[],4,FALSE)</f>
        <v>38</v>
      </c>
      <c r="G1390">
        <v>0</v>
      </c>
      <c r="H1390">
        <f>(ORDERS[[#This Row],[UnitsOrdered]]*ORDERS[[#This Row],[unit price]])-(ORDERS[[#This Row],[UnitsOrdered]]*ORDERS[[#This Row],[unit price]]*ORDERS[[#This Row],[Discount]])</f>
        <v>2774</v>
      </c>
      <c r="I1390" t="str">
        <f>VLOOKUP(ORDERS[[#This Row],[CustomerID]],customers[],2,FALSE)</f>
        <v>A Shirts Life</v>
      </c>
      <c r="J1390" s="2" t="str">
        <f>VLOOKUP(ORDERS[[#This Row],[CustomerID]],customers[],4,FALSE)</f>
        <v>Portland</v>
      </c>
      <c r="K1390" s="2" t="str">
        <f>VLOOKUP(ORDERS[[#This Row],[ProductID]],Products[],3,FALSE)</f>
        <v>Female</v>
      </c>
      <c r="L1390" s="2">
        <f>DAY(ORDERS[[#This Row],[OrderDate]])</f>
        <v>29</v>
      </c>
      <c r="M1390" s="2">
        <f>YEAR(ORDERS[[#This Row],[OrderDate]])</f>
        <v>2014</v>
      </c>
    </row>
    <row r="1391" spans="1:13" x14ac:dyDescent="0.3">
      <c r="A1391">
        <v>1390</v>
      </c>
      <c r="B1391">
        <v>5</v>
      </c>
      <c r="C1391">
        <v>9</v>
      </c>
      <c r="D1391" s="1">
        <v>42002</v>
      </c>
      <c r="E1391">
        <v>58</v>
      </c>
      <c r="F1391">
        <f>VLOOKUP(ORDERS[[#This Row],[ProductID]],Products[],4,FALSE)</f>
        <v>25</v>
      </c>
      <c r="G1391">
        <v>0</v>
      </c>
      <c r="H1391">
        <f>(ORDERS[[#This Row],[UnitsOrdered]]*ORDERS[[#This Row],[unit price]])-(ORDERS[[#This Row],[UnitsOrdered]]*ORDERS[[#This Row],[unit price]]*ORDERS[[#This Row],[Discount]])</f>
        <v>1450</v>
      </c>
      <c r="I1391" t="str">
        <f>VLOOKUP(ORDERS[[#This Row],[CustomerID]],customers[],2,FALSE)</f>
        <v>Rags to Riches</v>
      </c>
      <c r="J1391" s="2" t="str">
        <f>VLOOKUP(ORDERS[[#This Row],[CustomerID]],customers[],4,FALSE)</f>
        <v>Las Vegas</v>
      </c>
      <c r="K1391" s="2" t="str">
        <f>VLOOKUP(ORDERS[[#This Row],[ProductID]],Products[],3,FALSE)</f>
        <v>Male</v>
      </c>
      <c r="L1391" s="2">
        <f>DAY(ORDERS[[#This Row],[OrderDate]])</f>
        <v>29</v>
      </c>
      <c r="M1391" s="2">
        <f>YEAR(ORDERS[[#This Row],[OrderDate]])</f>
        <v>2014</v>
      </c>
    </row>
    <row r="1392" spans="1:13" x14ac:dyDescent="0.3">
      <c r="A1392">
        <v>1391</v>
      </c>
      <c r="B1392">
        <v>6</v>
      </c>
      <c r="C1392">
        <v>6</v>
      </c>
      <c r="D1392" s="1">
        <v>42002</v>
      </c>
      <c r="E1392">
        <v>91</v>
      </c>
      <c r="F1392">
        <f>VLOOKUP(ORDERS[[#This Row],[ProductID]],Products[],4,FALSE)</f>
        <v>28</v>
      </c>
      <c r="G1392">
        <v>0</v>
      </c>
      <c r="H1392">
        <f>(ORDERS[[#This Row],[UnitsOrdered]]*ORDERS[[#This Row],[unit price]])-(ORDERS[[#This Row],[UnitsOrdered]]*ORDERS[[#This Row],[unit price]]*ORDERS[[#This Row],[Discount]])</f>
        <v>2548</v>
      </c>
      <c r="I1392" t="str">
        <f>VLOOKUP(ORDERS[[#This Row],[CustomerID]],customers[],2,FALSE)</f>
        <v>Abracadaba Ink</v>
      </c>
      <c r="J1392" s="2" t="str">
        <f>VLOOKUP(ORDERS[[#This Row],[CustomerID]],customers[],4,FALSE)</f>
        <v>Salt Lake City</v>
      </c>
      <c r="K1392" s="2" t="str">
        <f>VLOOKUP(ORDERS[[#This Row],[ProductID]],Products[],3,FALSE)</f>
        <v>Female</v>
      </c>
      <c r="L1392" s="2">
        <f>DAY(ORDERS[[#This Row],[OrderDate]])</f>
        <v>29</v>
      </c>
      <c r="M1392" s="2">
        <f>YEAR(ORDERS[[#This Row],[OrderDate]])</f>
        <v>2014</v>
      </c>
    </row>
    <row r="1393" spans="1:13" x14ac:dyDescent="0.3">
      <c r="A1393">
        <v>1392</v>
      </c>
      <c r="B1393">
        <v>2</v>
      </c>
      <c r="C1393">
        <v>3</v>
      </c>
      <c r="D1393" s="1">
        <v>42004</v>
      </c>
      <c r="E1393">
        <v>104</v>
      </c>
      <c r="F1393">
        <f>VLOOKUP(ORDERS[[#This Row],[ProductID]],Products[],4,FALSE)</f>
        <v>22</v>
      </c>
      <c r="G1393">
        <v>0</v>
      </c>
      <c r="H1393">
        <f>(ORDERS[[#This Row],[UnitsOrdered]]*ORDERS[[#This Row],[unit price]])-(ORDERS[[#This Row],[UnitsOrdered]]*ORDERS[[#This Row],[unit price]]*ORDERS[[#This Row],[Discount]])</f>
        <v>2288</v>
      </c>
      <c r="I1393" t="str">
        <f>VLOOKUP(ORDERS[[#This Row],[CustomerID]],customers[],2,FALSE)</f>
        <v>A Shirts Life</v>
      </c>
      <c r="J1393" s="2" t="str">
        <f>VLOOKUP(ORDERS[[#This Row],[CustomerID]],customers[],4,FALSE)</f>
        <v>Portland</v>
      </c>
      <c r="K1393" s="2" t="str">
        <f>VLOOKUP(ORDERS[[#This Row],[ProductID]],Products[],3,FALSE)</f>
        <v>Both</v>
      </c>
      <c r="L1393" s="2">
        <f>DAY(ORDERS[[#This Row],[OrderDate]])</f>
        <v>31</v>
      </c>
      <c r="M1393" s="2">
        <f>YEAR(ORDERS[[#This Row],[OrderDate]])</f>
        <v>2014</v>
      </c>
    </row>
    <row r="1394" spans="1:13" x14ac:dyDescent="0.3">
      <c r="A1394">
        <v>1393</v>
      </c>
      <c r="B1394">
        <v>2</v>
      </c>
      <c r="C1394">
        <v>4</v>
      </c>
      <c r="D1394" s="1">
        <v>42004</v>
      </c>
      <c r="E1394">
        <v>130</v>
      </c>
      <c r="F1394">
        <f>VLOOKUP(ORDERS[[#This Row],[ProductID]],Products[],4,FALSE)</f>
        <v>30</v>
      </c>
      <c r="G1394">
        <v>0</v>
      </c>
      <c r="H1394">
        <f>(ORDERS[[#This Row],[UnitsOrdered]]*ORDERS[[#This Row],[unit price]])-(ORDERS[[#This Row],[UnitsOrdered]]*ORDERS[[#This Row],[unit price]]*ORDERS[[#This Row],[Discount]])</f>
        <v>3900</v>
      </c>
      <c r="I1394" t="str">
        <f>VLOOKUP(ORDERS[[#This Row],[CustomerID]],customers[],2,FALSE)</f>
        <v>A Shirts Life</v>
      </c>
      <c r="J1394" s="2" t="str">
        <f>VLOOKUP(ORDERS[[#This Row],[CustomerID]],customers[],4,FALSE)</f>
        <v>Portland</v>
      </c>
      <c r="K1394" s="2" t="str">
        <f>VLOOKUP(ORDERS[[#This Row],[ProductID]],Products[],3,FALSE)</f>
        <v>Both</v>
      </c>
      <c r="L1394" s="2">
        <f>DAY(ORDERS[[#This Row],[OrderDate]])</f>
        <v>31</v>
      </c>
      <c r="M1394" s="2">
        <f>YEAR(ORDERS[[#This Row],[OrderDate]])</f>
        <v>2014</v>
      </c>
    </row>
    <row r="1395" spans="1:13" x14ac:dyDescent="0.3">
      <c r="A1395">
        <v>1394</v>
      </c>
      <c r="B1395">
        <v>5</v>
      </c>
      <c r="C1395">
        <v>6</v>
      </c>
      <c r="D1395" s="1">
        <v>42004</v>
      </c>
      <c r="E1395">
        <v>69</v>
      </c>
      <c r="F1395">
        <f>VLOOKUP(ORDERS[[#This Row],[ProductID]],Products[],4,FALSE)</f>
        <v>28</v>
      </c>
      <c r="G1395">
        <v>0.10000000100000001</v>
      </c>
      <c r="H1395">
        <f>(ORDERS[[#This Row],[UnitsOrdered]]*ORDERS[[#This Row],[unit price]])-(ORDERS[[#This Row],[UnitsOrdered]]*ORDERS[[#This Row],[unit price]]*ORDERS[[#This Row],[Discount]])</f>
        <v>1738.7999980679999</v>
      </c>
      <c r="I1395" t="str">
        <f>VLOOKUP(ORDERS[[#This Row],[CustomerID]],customers[],2,FALSE)</f>
        <v>Rags to Riches</v>
      </c>
      <c r="J1395" s="2" t="str">
        <f>VLOOKUP(ORDERS[[#This Row],[CustomerID]],customers[],4,FALSE)</f>
        <v>Las Vegas</v>
      </c>
      <c r="K1395" s="2" t="str">
        <f>VLOOKUP(ORDERS[[#This Row],[ProductID]],Products[],3,FALSE)</f>
        <v>Female</v>
      </c>
      <c r="L1395" s="2">
        <f>DAY(ORDERS[[#This Row],[OrderDate]])</f>
        <v>31</v>
      </c>
      <c r="M1395" s="2">
        <f>YEAR(ORDERS[[#This Row],[OrderDate]])</f>
        <v>2014</v>
      </c>
    </row>
    <row r="1396" spans="1:13" x14ac:dyDescent="0.3">
      <c r="A1396">
        <v>1395</v>
      </c>
      <c r="B1396">
        <v>7</v>
      </c>
      <c r="C1396">
        <v>2</v>
      </c>
      <c r="D1396" s="1">
        <v>42004</v>
      </c>
      <c r="E1396">
        <v>91</v>
      </c>
      <c r="F1396">
        <f>VLOOKUP(ORDERS[[#This Row],[ProductID]],Products[],4,FALSE)</f>
        <v>30</v>
      </c>
      <c r="G1396">
        <v>0</v>
      </c>
      <c r="H1396">
        <f>(ORDERS[[#This Row],[UnitsOrdered]]*ORDERS[[#This Row],[unit price]])-(ORDERS[[#This Row],[UnitsOrdered]]*ORDERS[[#This Row],[unit price]]*ORDERS[[#This Row],[Discount]])</f>
        <v>2730</v>
      </c>
      <c r="I1396" t="str">
        <f>VLOOKUP(ORDERS[[#This Row],[CustomerID]],customers[],2,FALSE)</f>
        <v>The Shirt on Your Back</v>
      </c>
      <c r="J1396" s="2" t="str">
        <f>VLOOKUP(ORDERS[[#This Row],[CustomerID]],customers[],4,FALSE)</f>
        <v>Bonners Ferry</v>
      </c>
      <c r="K1396" s="2" t="str">
        <f>VLOOKUP(ORDERS[[#This Row],[ProductID]],Products[],3,FALSE)</f>
        <v>Both</v>
      </c>
      <c r="L1396" s="2">
        <f>DAY(ORDERS[[#This Row],[OrderDate]])</f>
        <v>31</v>
      </c>
      <c r="M1396" s="2">
        <f>YEAR(ORDERS[[#This Row],[OrderDate]])</f>
        <v>2014</v>
      </c>
    </row>
    <row r="1397" spans="1:13" x14ac:dyDescent="0.3">
      <c r="A1397">
        <v>1396</v>
      </c>
      <c r="B1397">
        <v>2</v>
      </c>
      <c r="C1397">
        <v>1</v>
      </c>
      <c r="D1397" s="1">
        <v>42005</v>
      </c>
      <c r="E1397">
        <v>86</v>
      </c>
      <c r="F1397">
        <f>VLOOKUP(ORDERS[[#This Row],[ProductID]],Products[],4,FALSE)</f>
        <v>20</v>
      </c>
      <c r="G1397">
        <v>0</v>
      </c>
      <c r="H1397">
        <f>(ORDERS[[#This Row],[UnitsOrdered]]*ORDERS[[#This Row],[unit price]])-(ORDERS[[#This Row],[UnitsOrdered]]*ORDERS[[#This Row],[unit price]]*ORDERS[[#This Row],[Discount]])</f>
        <v>1720</v>
      </c>
      <c r="I1397" t="str">
        <f>VLOOKUP(ORDERS[[#This Row],[CustomerID]],customers[],2,FALSE)</f>
        <v>A Shirts Life</v>
      </c>
      <c r="J1397" s="2" t="str">
        <f>VLOOKUP(ORDERS[[#This Row],[CustomerID]],customers[],4,FALSE)</f>
        <v>Portland</v>
      </c>
      <c r="K1397" s="2" t="str">
        <f>VLOOKUP(ORDERS[[#This Row],[ProductID]],Products[],3,FALSE)</f>
        <v>Both</v>
      </c>
      <c r="L1397" s="2">
        <f>DAY(ORDERS[[#This Row],[OrderDate]])</f>
        <v>1</v>
      </c>
      <c r="M1397" s="2">
        <f>YEAR(ORDERS[[#This Row],[OrderDate]])</f>
        <v>2015</v>
      </c>
    </row>
    <row r="1398" spans="1:13" x14ac:dyDescent="0.3">
      <c r="A1398">
        <v>1397</v>
      </c>
      <c r="B1398">
        <v>7</v>
      </c>
      <c r="C1398">
        <v>8</v>
      </c>
      <c r="D1398" s="1">
        <v>42005</v>
      </c>
      <c r="E1398">
        <v>101</v>
      </c>
      <c r="F1398">
        <f>VLOOKUP(ORDERS[[#This Row],[ProductID]],Products[],4,FALSE)</f>
        <v>27</v>
      </c>
      <c r="G1398">
        <v>0</v>
      </c>
      <c r="H1398">
        <f>(ORDERS[[#This Row],[UnitsOrdered]]*ORDERS[[#This Row],[unit price]])-(ORDERS[[#This Row],[UnitsOrdered]]*ORDERS[[#This Row],[unit price]]*ORDERS[[#This Row],[Discount]])</f>
        <v>2727</v>
      </c>
      <c r="I1398" t="str">
        <f>VLOOKUP(ORDERS[[#This Row],[CustomerID]],customers[],2,FALSE)</f>
        <v>The Shirt on Your Back</v>
      </c>
      <c r="J1398" s="2" t="str">
        <f>VLOOKUP(ORDERS[[#This Row],[CustomerID]],customers[],4,FALSE)</f>
        <v>Bonners Ferry</v>
      </c>
      <c r="K1398" s="2" t="str">
        <f>VLOOKUP(ORDERS[[#This Row],[ProductID]],Products[],3,FALSE)</f>
        <v>Female</v>
      </c>
      <c r="L1398" s="2">
        <f>DAY(ORDERS[[#This Row],[OrderDate]])</f>
        <v>1</v>
      </c>
      <c r="M1398" s="2">
        <f>YEAR(ORDERS[[#This Row],[OrderDate]])</f>
        <v>2015</v>
      </c>
    </row>
    <row r="1399" spans="1:13" x14ac:dyDescent="0.3">
      <c r="A1399">
        <v>1398</v>
      </c>
      <c r="B1399">
        <v>4</v>
      </c>
      <c r="C1399">
        <v>6</v>
      </c>
      <c r="D1399" s="1">
        <v>42006</v>
      </c>
      <c r="E1399">
        <v>75</v>
      </c>
      <c r="F1399">
        <f>VLOOKUP(ORDERS[[#This Row],[ProductID]],Products[],4,FALSE)</f>
        <v>28</v>
      </c>
      <c r="G1399">
        <v>0.10000000100000001</v>
      </c>
      <c r="H1399">
        <f>(ORDERS[[#This Row],[UnitsOrdered]]*ORDERS[[#This Row],[unit price]])-(ORDERS[[#This Row],[UnitsOrdered]]*ORDERS[[#This Row],[unit price]]*ORDERS[[#This Row],[Discount]])</f>
        <v>1889.9999978999999</v>
      </c>
      <c r="I1399" t="str">
        <f>VLOOKUP(ORDERS[[#This Row],[CustomerID]],customers[],2,FALSE)</f>
        <v>Tshirt Unlimited</v>
      </c>
      <c r="J1399" s="2" t="str">
        <f>VLOOKUP(ORDERS[[#This Row],[CustomerID]],customers[],4,FALSE)</f>
        <v>Phoenix</v>
      </c>
      <c r="K1399" s="2" t="str">
        <f>VLOOKUP(ORDERS[[#This Row],[ProductID]],Products[],3,FALSE)</f>
        <v>Female</v>
      </c>
      <c r="L1399" s="2">
        <f>DAY(ORDERS[[#This Row],[OrderDate]])</f>
        <v>2</v>
      </c>
      <c r="M1399" s="2">
        <f>YEAR(ORDERS[[#This Row],[OrderDate]])</f>
        <v>2015</v>
      </c>
    </row>
    <row r="1400" spans="1:13" x14ac:dyDescent="0.3">
      <c r="A1400">
        <v>1399</v>
      </c>
      <c r="B1400">
        <v>1</v>
      </c>
      <c r="C1400">
        <v>6</v>
      </c>
      <c r="D1400" s="1">
        <v>42009</v>
      </c>
      <c r="E1400">
        <v>110</v>
      </c>
      <c r="F1400">
        <f>VLOOKUP(ORDERS[[#This Row],[ProductID]],Products[],4,FALSE)</f>
        <v>28</v>
      </c>
      <c r="G1400">
        <v>0</v>
      </c>
      <c r="H1400">
        <f>(ORDERS[[#This Row],[UnitsOrdered]]*ORDERS[[#This Row],[unit price]])-(ORDERS[[#This Row],[UnitsOrdered]]*ORDERS[[#This Row],[unit price]]*ORDERS[[#This Row],[Discount]])</f>
        <v>3080</v>
      </c>
      <c r="I1400" t="str">
        <f>VLOOKUP(ORDERS[[#This Row],[CustomerID]],customers[],2,FALSE)</f>
        <v>Threads</v>
      </c>
      <c r="J1400" s="2" t="str">
        <f>VLOOKUP(ORDERS[[#This Row],[CustomerID]],customers[],4,FALSE)</f>
        <v>Seattle</v>
      </c>
      <c r="K1400" s="2" t="str">
        <f>VLOOKUP(ORDERS[[#This Row],[ProductID]],Products[],3,FALSE)</f>
        <v>Female</v>
      </c>
      <c r="L1400" s="2">
        <f>DAY(ORDERS[[#This Row],[OrderDate]])</f>
        <v>5</v>
      </c>
      <c r="M1400" s="2">
        <f>YEAR(ORDERS[[#This Row],[OrderDate]])</f>
        <v>2015</v>
      </c>
    </row>
    <row r="1401" spans="1:13" x14ac:dyDescent="0.3">
      <c r="A1401">
        <v>1400</v>
      </c>
      <c r="B1401">
        <v>3</v>
      </c>
      <c r="C1401">
        <v>1</v>
      </c>
      <c r="D1401" s="1">
        <v>42009</v>
      </c>
      <c r="E1401">
        <v>42</v>
      </c>
      <c r="F1401">
        <f>VLOOKUP(ORDERS[[#This Row],[ProductID]],Products[],4,FALSE)</f>
        <v>20</v>
      </c>
      <c r="G1401">
        <v>0</v>
      </c>
      <c r="H1401">
        <f>(ORDERS[[#This Row],[UnitsOrdered]]*ORDERS[[#This Row],[unit price]])-(ORDERS[[#This Row],[UnitsOrdered]]*ORDERS[[#This Row],[unit price]]*ORDERS[[#This Row],[Discount]])</f>
        <v>840</v>
      </c>
      <c r="I1401" t="str">
        <f>VLOOKUP(ORDERS[[#This Row],[CustomerID]],customers[],2,FALSE)</f>
        <v>Shirts R Us</v>
      </c>
      <c r="J1401" s="2" t="str">
        <f>VLOOKUP(ORDERS[[#This Row],[CustomerID]],customers[],4,FALSE)</f>
        <v>Los Angeles</v>
      </c>
      <c r="K1401" s="2" t="str">
        <f>VLOOKUP(ORDERS[[#This Row],[ProductID]],Products[],3,FALSE)</f>
        <v>Both</v>
      </c>
      <c r="L1401" s="2">
        <f>DAY(ORDERS[[#This Row],[OrderDate]])</f>
        <v>5</v>
      </c>
      <c r="M1401" s="2">
        <f>YEAR(ORDERS[[#This Row],[OrderDate]])</f>
        <v>2015</v>
      </c>
    </row>
    <row r="1402" spans="1:13" x14ac:dyDescent="0.3">
      <c r="A1402">
        <v>1401</v>
      </c>
      <c r="B1402">
        <v>7</v>
      </c>
      <c r="C1402">
        <v>9</v>
      </c>
      <c r="D1402" s="1">
        <v>42009</v>
      </c>
      <c r="E1402">
        <v>110</v>
      </c>
      <c r="F1402">
        <f>VLOOKUP(ORDERS[[#This Row],[ProductID]],Products[],4,FALSE)</f>
        <v>25</v>
      </c>
      <c r="G1402">
        <v>0</v>
      </c>
      <c r="H1402">
        <f>(ORDERS[[#This Row],[UnitsOrdered]]*ORDERS[[#This Row],[unit price]])-(ORDERS[[#This Row],[UnitsOrdered]]*ORDERS[[#This Row],[unit price]]*ORDERS[[#This Row],[Discount]])</f>
        <v>2750</v>
      </c>
      <c r="I1402" t="str">
        <f>VLOOKUP(ORDERS[[#This Row],[CustomerID]],customers[],2,FALSE)</f>
        <v>The Shirt on Your Back</v>
      </c>
      <c r="J1402" s="2" t="str">
        <f>VLOOKUP(ORDERS[[#This Row],[CustomerID]],customers[],4,FALSE)</f>
        <v>Bonners Ferry</v>
      </c>
      <c r="K1402" s="2" t="str">
        <f>VLOOKUP(ORDERS[[#This Row],[ProductID]],Products[],3,FALSE)</f>
        <v>Male</v>
      </c>
      <c r="L1402" s="2">
        <f>DAY(ORDERS[[#This Row],[OrderDate]])</f>
        <v>5</v>
      </c>
      <c r="M1402" s="2">
        <f>YEAR(ORDERS[[#This Row],[OrderDate]])</f>
        <v>2015</v>
      </c>
    </row>
    <row r="1403" spans="1:13" x14ac:dyDescent="0.3">
      <c r="A1403">
        <v>1402</v>
      </c>
      <c r="B1403">
        <v>4</v>
      </c>
      <c r="C1403">
        <v>1</v>
      </c>
      <c r="D1403" s="1">
        <v>42011</v>
      </c>
      <c r="E1403">
        <v>53</v>
      </c>
      <c r="F1403">
        <f>VLOOKUP(ORDERS[[#This Row],[ProductID]],Products[],4,FALSE)</f>
        <v>20</v>
      </c>
      <c r="G1403">
        <v>0</v>
      </c>
      <c r="H1403">
        <f>(ORDERS[[#This Row],[UnitsOrdered]]*ORDERS[[#This Row],[unit price]])-(ORDERS[[#This Row],[UnitsOrdered]]*ORDERS[[#This Row],[unit price]]*ORDERS[[#This Row],[Discount]])</f>
        <v>1060</v>
      </c>
      <c r="I1403" t="str">
        <f>VLOOKUP(ORDERS[[#This Row],[CustomerID]],customers[],2,FALSE)</f>
        <v>Tshirt Unlimited</v>
      </c>
      <c r="J1403" s="2" t="str">
        <f>VLOOKUP(ORDERS[[#This Row],[CustomerID]],customers[],4,FALSE)</f>
        <v>Phoenix</v>
      </c>
      <c r="K1403" s="2" t="str">
        <f>VLOOKUP(ORDERS[[#This Row],[ProductID]],Products[],3,FALSE)</f>
        <v>Both</v>
      </c>
      <c r="L1403" s="2">
        <f>DAY(ORDERS[[#This Row],[OrderDate]])</f>
        <v>7</v>
      </c>
      <c r="M1403" s="2">
        <f>YEAR(ORDERS[[#This Row],[OrderDate]])</f>
        <v>2015</v>
      </c>
    </row>
    <row r="1404" spans="1:13" x14ac:dyDescent="0.3">
      <c r="A1404">
        <v>1403</v>
      </c>
      <c r="B1404">
        <v>1</v>
      </c>
      <c r="C1404">
        <v>1</v>
      </c>
      <c r="D1404" s="1">
        <v>42013</v>
      </c>
      <c r="E1404">
        <v>94</v>
      </c>
      <c r="F1404">
        <f>VLOOKUP(ORDERS[[#This Row],[ProductID]],Products[],4,FALSE)</f>
        <v>20</v>
      </c>
      <c r="G1404">
        <v>0</v>
      </c>
      <c r="H1404">
        <f>(ORDERS[[#This Row],[UnitsOrdered]]*ORDERS[[#This Row],[unit price]])-(ORDERS[[#This Row],[UnitsOrdered]]*ORDERS[[#This Row],[unit price]]*ORDERS[[#This Row],[Discount]])</f>
        <v>1880</v>
      </c>
      <c r="I1404" t="str">
        <f>VLOOKUP(ORDERS[[#This Row],[CustomerID]],customers[],2,FALSE)</f>
        <v>Threads</v>
      </c>
      <c r="J1404" s="2" t="str">
        <f>VLOOKUP(ORDERS[[#This Row],[CustomerID]],customers[],4,FALSE)</f>
        <v>Seattle</v>
      </c>
      <c r="K1404" s="2" t="str">
        <f>VLOOKUP(ORDERS[[#This Row],[ProductID]],Products[],3,FALSE)</f>
        <v>Both</v>
      </c>
      <c r="L1404" s="2">
        <f>DAY(ORDERS[[#This Row],[OrderDate]])</f>
        <v>9</v>
      </c>
      <c r="M1404" s="2">
        <f>YEAR(ORDERS[[#This Row],[OrderDate]])</f>
        <v>2015</v>
      </c>
    </row>
    <row r="1405" spans="1:13" x14ac:dyDescent="0.3">
      <c r="A1405">
        <v>1404</v>
      </c>
      <c r="B1405">
        <v>1</v>
      </c>
      <c r="C1405">
        <v>5</v>
      </c>
      <c r="D1405" s="1">
        <v>42016</v>
      </c>
      <c r="E1405">
        <v>118</v>
      </c>
      <c r="F1405">
        <f>VLOOKUP(ORDERS[[#This Row],[ProductID]],Products[],4,FALSE)</f>
        <v>16</v>
      </c>
      <c r="G1405">
        <v>0</v>
      </c>
      <c r="H1405">
        <f>(ORDERS[[#This Row],[UnitsOrdered]]*ORDERS[[#This Row],[unit price]])-(ORDERS[[#This Row],[UnitsOrdered]]*ORDERS[[#This Row],[unit price]]*ORDERS[[#This Row],[Discount]])</f>
        <v>1888</v>
      </c>
      <c r="I1405" t="str">
        <f>VLOOKUP(ORDERS[[#This Row],[CustomerID]],customers[],2,FALSE)</f>
        <v>Threads</v>
      </c>
      <c r="J1405" s="2" t="str">
        <f>VLOOKUP(ORDERS[[#This Row],[CustomerID]],customers[],4,FALSE)</f>
        <v>Seattle</v>
      </c>
      <c r="K1405" s="2" t="str">
        <f>VLOOKUP(ORDERS[[#This Row],[ProductID]],Products[],3,FALSE)</f>
        <v>Female</v>
      </c>
      <c r="L1405" s="2">
        <f>DAY(ORDERS[[#This Row],[OrderDate]])</f>
        <v>12</v>
      </c>
      <c r="M1405" s="2">
        <f>YEAR(ORDERS[[#This Row],[OrderDate]])</f>
        <v>2015</v>
      </c>
    </row>
    <row r="1406" spans="1:13" x14ac:dyDescent="0.3">
      <c r="A1406">
        <v>1405</v>
      </c>
      <c r="B1406">
        <v>3</v>
      </c>
      <c r="C1406">
        <v>3</v>
      </c>
      <c r="D1406" s="1">
        <v>42016</v>
      </c>
      <c r="E1406">
        <v>34</v>
      </c>
      <c r="F1406">
        <f>VLOOKUP(ORDERS[[#This Row],[ProductID]],Products[],4,FALSE)</f>
        <v>22</v>
      </c>
      <c r="G1406">
        <v>5.0000001000000002E-2</v>
      </c>
      <c r="H1406">
        <f>(ORDERS[[#This Row],[UnitsOrdered]]*ORDERS[[#This Row],[unit price]])-(ORDERS[[#This Row],[UnitsOrdered]]*ORDERS[[#This Row],[unit price]]*ORDERS[[#This Row],[Discount]])</f>
        <v>710.59999925199998</v>
      </c>
      <c r="I1406" t="str">
        <f>VLOOKUP(ORDERS[[#This Row],[CustomerID]],customers[],2,FALSE)</f>
        <v>Shirts R Us</v>
      </c>
      <c r="J1406" s="2" t="str">
        <f>VLOOKUP(ORDERS[[#This Row],[CustomerID]],customers[],4,FALSE)</f>
        <v>Los Angeles</v>
      </c>
      <c r="K1406" s="2" t="str">
        <f>VLOOKUP(ORDERS[[#This Row],[ProductID]],Products[],3,FALSE)</f>
        <v>Both</v>
      </c>
      <c r="L1406" s="2">
        <f>DAY(ORDERS[[#This Row],[OrderDate]])</f>
        <v>12</v>
      </c>
      <c r="M1406" s="2">
        <f>YEAR(ORDERS[[#This Row],[OrderDate]])</f>
        <v>2015</v>
      </c>
    </row>
    <row r="1407" spans="1:13" x14ac:dyDescent="0.3">
      <c r="A1407">
        <v>1406</v>
      </c>
      <c r="B1407">
        <v>5</v>
      </c>
      <c r="C1407">
        <v>10</v>
      </c>
      <c r="D1407" s="1">
        <v>42018</v>
      </c>
      <c r="E1407">
        <v>107</v>
      </c>
      <c r="F1407">
        <f>VLOOKUP(ORDERS[[#This Row],[ProductID]],Products[],4,FALSE)</f>
        <v>35</v>
      </c>
      <c r="G1407">
        <v>0</v>
      </c>
      <c r="H1407">
        <f>(ORDERS[[#This Row],[UnitsOrdered]]*ORDERS[[#This Row],[unit price]])-(ORDERS[[#This Row],[UnitsOrdered]]*ORDERS[[#This Row],[unit price]]*ORDERS[[#This Row],[Discount]])</f>
        <v>3745</v>
      </c>
      <c r="I1407" t="str">
        <f>VLOOKUP(ORDERS[[#This Row],[CustomerID]],customers[],2,FALSE)</f>
        <v>Rags to Riches</v>
      </c>
      <c r="J1407" s="2" t="str">
        <f>VLOOKUP(ORDERS[[#This Row],[CustomerID]],customers[],4,FALSE)</f>
        <v>Las Vegas</v>
      </c>
      <c r="K1407" s="2" t="str">
        <f>VLOOKUP(ORDERS[[#This Row],[ProductID]],Products[],3,FALSE)</f>
        <v>Male</v>
      </c>
      <c r="L1407" s="2">
        <f>DAY(ORDERS[[#This Row],[OrderDate]])</f>
        <v>14</v>
      </c>
      <c r="M1407" s="2">
        <f>YEAR(ORDERS[[#This Row],[OrderDate]])</f>
        <v>2015</v>
      </c>
    </row>
    <row r="1408" spans="1:13" x14ac:dyDescent="0.3">
      <c r="A1408">
        <v>1407</v>
      </c>
      <c r="B1408">
        <v>6</v>
      </c>
      <c r="C1408">
        <v>2</v>
      </c>
      <c r="D1408" s="1">
        <v>42018</v>
      </c>
      <c r="E1408">
        <v>89</v>
      </c>
      <c r="F1408">
        <f>VLOOKUP(ORDERS[[#This Row],[ProductID]],Products[],4,FALSE)</f>
        <v>30</v>
      </c>
      <c r="G1408">
        <v>0</v>
      </c>
      <c r="H1408">
        <f>(ORDERS[[#This Row],[UnitsOrdered]]*ORDERS[[#This Row],[unit price]])-(ORDERS[[#This Row],[UnitsOrdered]]*ORDERS[[#This Row],[unit price]]*ORDERS[[#This Row],[Discount]])</f>
        <v>2670</v>
      </c>
      <c r="I1408" t="str">
        <f>VLOOKUP(ORDERS[[#This Row],[CustomerID]],customers[],2,FALSE)</f>
        <v>Abracadaba Ink</v>
      </c>
      <c r="J1408" s="2" t="str">
        <f>VLOOKUP(ORDERS[[#This Row],[CustomerID]],customers[],4,FALSE)</f>
        <v>Salt Lake City</v>
      </c>
      <c r="K1408" s="2" t="str">
        <f>VLOOKUP(ORDERS[[#This Row],[ProductID]],Products[],3,FALSE)</f>
        <v>Both</v>
      </c>
      <c r="L1408" s="2">
        <f>DAY(ORDERS[[#This Row],[OrderDate]])</f>
        <v>14</v>
      </c>
      <c r="M1408" s="2">
        <f>YEAR(ORDERS[[#This Row],[OrderDate]])</f>
        <v>2015</v>
      </c>
    </row>
    <row r="1409" spans="1:13" x14ac:dyDescent="0.3">
      <c r="A1409">
        <v>1408</v>
      </c>
      <c r="B1409">
        <v>4</v>
      </c>
      <c r="C1409">
        <v>4</v>
      </c>
      <c r="D1409" s="1">
        <v>42019</v>
      </c>
      <c r="E1409">
        <v>33</v>
      </c>
      <c r="F1409">
        <f>VLOOKUP(ORDERS[[#This Row],[ProductID]],Products[],4,FALSE)</f>
        <v>30</v>
      </c>
      <c r="G1409">
        <v>0</v>
      </c>
      <c r="H1409">
        <f>(ORDERS[[#This Row],[UnitsOrdered]]*ORDERS[[#This Row],[unit price]])-(ORDERS[[#This Row],[UnitsOrdered]]*ORDERS[[#This Row],[unit price]]*ORDERS[[#This Row],[Discount]])</f>
        <v>990</v>
      </c>
      <c r="I1409" t="str">
        <f>VLOOKUP(ORDERS[[#This Row],[CustomerID]],customers[],2,FALSE)</f>
        <v>Tshirt Unlimited</v>
      </c>
      <c r="J1409" s="2" t="str">
        <f>VLOOKUP(ORDERS[[#This Row],[CustomerID]],customers[],4,FALSE)</f>
        <v>Phoenix</v>
      </c>
      <c r="K1409" s="2" t="str">
        <f>VLOOKUP(ORDERS[[#This Row],[ProductID]],Products[],3,FALSE)</f>
        <v>Both</v>
      </c>
      <c r="L1409" s="2">
        <f>DAY(ORDERS[[#This Row],[OrderDate]])</f>
        <v>15</v>
      </c>
      <c r="M1409" s="2">
        <f>YEAR(ORDERS[[#This Row],[OrderDate]])</f>
        <v>2015</v>
      </c>
    </row>
    <row r="1410" spans="1:13" x14ac:dyDescent="0.3">
      <c r="A1410">
        <v>1409</v>
      </c>
      <c r="B1410">
        <v>1</v>
      </c>
      <c r="C1410">
        <v>10</v>
      </c>
      <c r="D1410" s="1">
        <v>42020</v>
      </c>
      <c r="E1410">
        <v>109</v>
      </c>
      <c r="F1410">
        <f>VLOOKUP(ORDERS[[#This Row],[ProductID]],Products[],4,FALSE)</f>
        <v>35</v>
      </c>
      <c r="G1410">
        <v>0</v>
      </c>
      <c r="H1410">
        <f>(ORDERS[[#This Row],[UnitsOrdered]]*ORDERS[[#This Row],[unit price]])-(ORDERS[[#This Row],[UnitsOrdered]]*ORDERS[[#This Row],[unit price]]*ORDERS[[#This Row],[Discount]])</f>
        <v>3815</v>
      </c>
      <c r="I1410" t="str">
        <f>VLOOKUP(ORDERS[[#This Row],[CustomerID]],customers[],2,FALSE)</f>
        <v>Threads</v>
      </c>
      <c r="J1410" s="2" t="str">
        <f>VLOOKUP(ORDERS[[#This Row],[CustomerID]],customers[],4,FALSE)</f>
        <v>Seattle</v>
      </c>
      <c r="K1410" s="2" t="str">
        <f>VLOOKUP(ORDERS[[#This Row],[ProductID]],Products[],3,FALSE)</f>
        <v>Male</v>
      </c>
      <c r="L1410" s="2">
        <f>DAY(ORDERS[[#This Row],[OrderDate]])</f>
        <v>16</v>
      </c>
      <c r="M1410" s="2">
        <f>YEAR(ORDERS[[#This Row],[OrderDate]])</f>
        <v>2015</v>
      </c>
    </row>
    <row r="1411" spans="1:13" x14ac:dyDescent="0.3">
      <c r="A1411">
        <v>1410</v>
      </c>
      <c r="B1411">
        <v>2</v>
      </c>
      <c r="C1411">
        <v>2</v>
      </c>
      <c r="D1411" s="1">
        <v>42021</v>
      </c>
      <c r="E1411">
        <v>72</v>
      </c>
      <c r="F1411">
        <f>VLOOKUP(ORDERS[[#This Row],[ProductID]],Products[],4,FALSE)</f>
        <v>30</v>
      </c>
      <c r="G1411">
        <v>0</v>
      </c>
      <c r="H1411">
        <f>(ORDERS[[#This Row],[UnitsOrdered]]*ORDERS[[#This Row],[unit price]])-(ORDERS[[#This Row],[UnitsOrdered]]*ORDERS[[#This Row],[unit price]]*ORDERS[[#This Row],[Discount]])</f>
        <v>2160</v>
      </c>
      <c r="I1411" t="str">
        <f>VLOOKUP(ORDERS[[#This Row],[CustomerID]],customers[],2,FALSE)</f>
        <v>A Shirts Life</v>
      </c>
      <c r="J1411" s="2" t="str">
        <f>VLOOKUP(ORDERS[[#This Row],[CustomerID]],customers[],4,FALSE)</f>
        <v>Portland</v>
      </c>
      <c r="K1411" s="2" t="str">
        <f>VLOOKUP(ORDERS[[#This Row],[ProductID]],Products[],3,FALSE)</f>
        <v>Both</v>
      </c>
      <c r="L1411" s="2">
        <f>DAY(ORDERS[[#This Row],[OrderDate]])</f>
        <v>17</v>
      </c>
      <c r="M1411" s="2">
        <f>YEAR(ORDERS[[#This Row],[OrderDate]])</f>
        <v>2015</v>
      </c>
    </row>
    <row r="1412" spans="1:13" x14ac:dyDescent="0.3">
      <c r="A1412">
        <v>1411</v>
      </c>
      <c r="B1412">
        <v>1</v>
      </c>
      <c r="C1412">
        <v>3</v>
      </c>
      <c r="D1412" s="1">
        <v>42022</v>
      </c>
      <c r="E1412">
        <v>97</v>
      </c>
      <c r="F1412">
        <f>VLOOKUP(ORDERS[[#This Row],[ProductID]],Products[],4,FALSE)</f>
        <v>22</v>
      </c>
      <c r="G1412">
        <v>0</v>
      </c>
      <c r="H1412">
        <f>(ORDERS[[#This Row],[UnitsOrdered]]*ORDERS[[#This Row],[unit price]])-(ORDERS[[#This Row],[UnitsOrdered]]*ORDERS[[#This Row],[unit price]]*ORDERS[[#This Row],[Discount]])</f>
        <v>2134</v>
      </c>
      <c r="I1412" t="str">
        <f>VLOOKUP(ORDERS[[#This Row],[CustomerID]],customers[],2,FALSE)</f>
        <v>Threads</v>
      </c>
      <c r="J1412" s="2" t="str">
        <f>VLOOKUP(ORDERS[[#This Row],[CustomerID]],customers[],4,FALSE)</f>
        <v>Seattle</v>
      </c>
      <c r="K1412" s="2" t="str">
        <f>VLOOKUP(ORDERS[[#This Row],[ProductID]],Products[],3,FALSE)</f>
        <v>Both</v>
      </c>
      <c r="L1412" s="2">
        <f>DAY(ORDERS[[#This Row],[OrderDate]])</f>
        <v>18</v>
      </c>
      <c r="M1412" s="2">
        <f>YEAR(ORDERS[[#This Row],[OrderDate]])</f>
        <v>2015</v>
      </c>
    </row>
    <row r="1413" spans="1:13" x14ac:dyDescent="0.3">
      <c r="A1413">
        <v>1412</v>
      </c>
      <c r="B1413">
        <v>1</v>
      </c>
      <c r="C1413">
        <v>6</v>
      </c>
      <c r="D1413" s="1">
        <v>42022</v>
      </c>
      <c r="E1413">
        <v>112</v>
      </c>
      <c r="F1413">
        <f>VLOOKUP(ORDERS[[#This Row],[ProductID]],Products[],4,FALSE)</f>
        <v>28</v>
      </c>
      <c r="G1413">
        <v>0</v>
      </c>
      <c r="H1413">
        <f>(ORDERS[[#This Row],[UnitsOrdered]]*ORDERS[[#This Row],[unit price]])-(ORDERS[[#This Row],[UnitsOrdered]]*ORDERS[[#This Row],[unit price]]*ORDERS[[#This Row],[Discount]])</f>
        <v>3136</v>
      </c>
      <c r="I1413" t="str">
        <f>VLOOKUP(ORDERS[[#This Row],[CustomerID]],customers[],2,FALSE)</f>
        <v>Threads</v>
      </c>
      <c r="J1413" s="2" t="str">
        <f>VLOOKUP(ORDERS[[#This Row],[CustomerID]],customers[],4,FALSE)</f>
        <v>Seattle</v>
      </c>
      <c r="K1413" s="2" t="str">
        <f>VLOOKUP(ORDERS[[#This Row],[ProductID]],Products[],3,FALSE)</f>
        <v>Female</v>
      </c>
      <c r="L1413" s="2">
        <f>DAY(ORDERS[[#This Row],[OrderDate]])</f>
        <v>18</v>
      </c>
      <c r="M1413" s="2">
        <f>YEAR(ORDERS[[#This Row],[OrderDate]])</f>
        <v>2015</v>
      </c>
    </row>
    <row r="1414" spans="1:13" x14ac:dyDescent="0.3">
      <c r="A1414">
        <v>1413</v>
      </c>
      <c r="B1414">
        <v>4</v>
      </c>
      <c r="C1414">
        <v>9</v>
      </c>
      <c r="D1414" s="1">
        <v>42024</v>
      </c>
      <c r="E1414">
        <v>105</v>
      </c>
      <c r="F1414">
        <f>VLOOKUP(ORDERS[[#This Row],[ProductID]],Products[],4,FALSE)</f>
        <v>25</v>
      </c>
      <c r="G1414">
        <v>0</v>
      </c>
      <c r="H1414">
        <f>(ORDERS[[#This Row],[UnitsOrdered]]*ORDERS[[#This Row],[unit price]])-(ORDERS[[#This Row],[UnitsOrdered]]*ORDERS[[#This Row],[unit price]]*ORDERS[[#This Row],[Discount]])</f>
        <v>2625</v>
      </c>
      <c r="I1414" t="str">
        <f>VLOOKUP(ORDERS[[#This Row],[CustomerID]],customers[],2,FALSE)</f>
        <v>Tshirt Unlimited</v>
      </c>
      <c r="J1414" s="2" t="str">
        <f>VLOOKUP(ORDERS[[#This Row],[CustomerID]],customers[],4,FALSE)</f>
        <v>Phoenix</v>
      </c>
      <c r="K1414" s="2" t="str">
        <f>VLOOKUP(ORDERS[[#This Row],[ProductID]],Products[],3,FALSE)</f>
        <v>Male</v>
      </c>
      <c r="L1414" s="2">
        <f>DAY(ORDERS[[#This Row],[OrderDate]])</f>
        <v>20</v>
      </c>
      <c r="M1414" s="2">
        <f>YEAR(ORDERS[[#This Row],[OrderDate]])</f>
        <v>2015</v>
      </c>
    </row>
    <row r="1415" spans="1:13" x14ac:dyDescent="0.3">
      <c r="A1415">
        <v>1414</v>
      </c>
      <c r="B1415">
        <v>6</v>
      </c>
      <c r="C1415">
        <v>4</v>
      </c>
      <c r="D1415" s="1">
        <v>42024</v>
      </c>
      <c r="E1415">
        <v>134</v>
      </c>
      <c r="F1415">
        <f>VLOOKUP(ORDERS[[#This Row],[ProductID]],Products[],4,FALSE)</f>
        <v>30</v>
      </c>
      <c r="G1415">
        <v>0</v>
      </c>
      <c r="H1415">
        <f>(ORDERS[[#This Row],[UnitsOrdered]]*ORDERS[[#This Row],[unit price]])-(ORDERS[[#This Row],[UnitsOrdered]]*ORDERS[[#This Row],[unit price]]*ORDERS[[#This Row],[Discount]])</f>
        <v>4020</v>
      </c>
      <c r="I1415" t="str">
        <f>VLOOKUP(ORDERS[[#This Row],[CustomerID]],customers[],2,FALSE)</f>
        <v>Abracadaba Ink</v>
      </c>
      <c r="J1415" s="2" t="str">
        <f>VLOOKUP(ORDERS[[#This Row],[CustomerID]],customers[],4,FALSE)</f>
        <v>Salt Lake City</v>
      </c>
      <c r="K1415" s="2" t="str">
        <f>VLOOKUP(ORDERS[[#This Row],[ProductID]],Products[],3,FALSE)</f>
        <v>Both</v>
      </c>
      <c r="L1415" s="2">
        <f>DAY(ORDERS[[#This Row],[OrderDate]])</f>
        <v>20</v>
      </c>
      <c r="M1415" s="2">
        <f>YEAR(ORDERS[[#This Row],[OrderDate]])</f>
        <v>2015</v>
      </c>
    </row>
    <row r="1416" spans="1:13" x14ac:dyDescent="0.3">
      <c r="A1416">
        <v>1415</v>
      </c>
      <c r="B1416">
        <v>6</v>
      </c>
      <c r="C1416">
        <v>10</v>
      </c>
      <c r="D1416" s="1">
        <v>42024</v>
      </c>
      <c r="E1416">
        <v>30</v>
      </c>
      <c r="F1416">
        <f>VLOOKUP(ORDERS[[#This Row],[ProductID]],Products[],4,FALSE)</f>
        <v>35</v>
      </c>
      <c r="G1416">
        <v>0</v>
      </c>
      <c r="H1416">
        <f>(ORDERS[[#This Row],[UnitsOrdered]]*ORDERS[[#This Row],[unit price]])-(ORDERS[[#This Row],[UnitsOrdered]]*ORDERS[[#This Row],[unit price]]*ORDERS[[#This Row],[Discount]])</f>
        <v>1050</v>
      </c>
      <c r="I1416" t="str">
        <f>VLOOKUP(ORDERS[[#This Row],[CustomerID]],customers[],2,FALSE)</f>
        <v>Abracadaba Ink</v>
      </c>
      <c r="J1416" s="2" t="str">
        <f>VLOOKUP(ORDERS[[#This Row],[CustomerID]],customers[],4,FALSE)</f>
        <v>Salt Lake City</v>
      </c>
      <c r="K1416" s="2" t="str">
        <f>VLOOKUP(ORDERS[[#This Row],[ProductID]],Products[],3,FALSE)</f>
        <v>Male</v>
      </c>
      <c r="L1416" s="2">
        <f>DAY(ORDERS[[#This Row],[OrderDate]])</f>
        <v>20</v>
      </c>
      <c r="M1416" s="2">
        <f>YEAR(ORDERS[[#This Row],[OrderDate]])</f>
        <v>2015</v>
      </c>
    </row>
    <row r="1417" spans="1:13" x14ac:dyDescent="0.3">
      <c r="A1417">
        <v>1416</v>
      </c>
      <c r="B1417">
        <v>6</v>
      </c>
      <c r="C1417">
        <v>1</v>
      </c>
      <c r="D1417" s="1">
        <v>42025</v>
      </c>
      <c r="E1417">
        <v>142</v>
      </c>
      <c r="F1417">
        <f>VLOOKUP(ORDERS[[#This Row],[ProductID]],Products[],4,FALSE)</f>
        <v>20</v>
      </c>
      <c r="G1417">
        <v>5.0000001000000002E-2</v>
      </c>
      <c r="H1417">
        <f>(ORDERS[[#This Row],[UnitsOrdered]]*ORDERS[[#This Row],[unit price]])-(ORDERS[[#This Row],[UnitsOrdered]]*ORDERS[[#This Row],[unit price]]*ORDERS[[#This Row],[Discount]])</f>
        <v>2697.99999716</v>
      </c>
      <c r="I1417" t="str">
        <f>VLOOKUP(ORDERS[[#This Row],[CustomerID]],customers[],2,FALSE)</f>
        <v>Abracadaba Ink</v>
      </c>
      <c r="J1417" s="2" t="str">
        <f>VLOOKUP(ORDERS[[#This Row],[CustomerID]],customers[],4,FALSE)</f>
        <v>Salt Lake City</v>
      </c>
      <c r="K1417" s="2" t="str">
        <f>VLOOKUP(ORDERS[[#This Row],[ProductID]],Products[],3,FALSE)</f>
        <v>Both</v>
      </c>
      <c r="L1417" s="2">
        <f>DAY(ORDERS[[#This Row],[OrderDate]])</f>
        <v>21</v>
      </c>
      <c r="M1417" s="2">
        <f>YEAR(ORDERS[[#This Row],[OrderDate]])</f>
        <v>2015</v>
      </c>
    </row>
    <row r="1418" spans="1:13" x14ac:dyDescent="0.3">
      <c r="A1418">
        <v>1417</v>
      </c>
      <c r="B1418">
        <v>7</v>
      </c>
      <c r="C1418">
        <v>1</v>
      </c>
      <c r="D1418" s="1">
        <v>42025</v>
      </c>
      <c r="E1418">
        <v>30</v>
      </c>
      <c r="F1418">
        <f>VLOOKUP(ORDERS[[#This Row],[ProductID]],Products[],4,FALSE)</f>
        <v>20</v>
      </c>
      <c r="G1418">
        <v>0</v>
      </c>
      <c r="H1418">
        <f>(ORDERS[[#This Row],[UnitsOrdered]]*ORDERS[[#This Row],[unit price]])-(ORDERS[[#This Row],[UnitsOrdered]]*ORDERS[[#This Row],[unit price]]*ORDERS[[#This Row],[Discount]])</f>
        <v>600</v>
      </c>
      <c r="I1418" t="str">
        <f>VLOOKUP(ORDERS[[#This Row],[CustomerID]],customers[],2,FALSE)</f>
        <v>The Shirt on Your Back</v>
      </c>
      <c r="J1418" s="2" t="str">
        <f>VLOOKUP(ORDERS[[#This Row],[CustomerID]],customers[],4,FALSE)</f>
        <v>Bonners Ferry</v>
      </c>
      <c r="K1418" s="2" t="str">
        <f>VLOOKUP(ORDERS[[#This Row],[ProductID]],Products[],3,FALSE)</f>
        <v>Both</v>
      </c>
      <c r="L1418" s="2">
        <f>DAY(ORDERS[[#This Row],[OrderDate]])</f>
        <v>21</v>
      </c>
      <c r="M1418" s="2">
        <f>YEAR(ORDERS[[#This Row],[OrderDate]])</f>
        <v>2015</v>
      </c>
    </row>
    <row r="1419" spans="1:13" x14ac:dyDescent="0.3">
      <c r="A1419">
        <v>1418</v>
      </c>
      <c r="B1419">
        <v>7</v>
      </c>
      <c r="C1419">
        <v>10</v>
      </c>
      <c r="D1419" s="1">
        <v>42026</v>
      </c>
      <c r="E1419">
        <v>136</v>
      </c>
      <c r="F1419">
        <f>VLOOKUP(ORDERS[[#This Row],[ProductID]],Products[],4,FALSE)</f>
        <v>35</v>
      </c>
      <c r="G1419">
        <v>0</v>
      </c>
      <c r="H1419">
        <f>(ORDERS[[#This Row],[UnitsOrdered]]*ORDERS[[#This Row],[unit price]])-(ORDERS[[#This Row],[UnitsOrdered]]*ORDERS[[#This Row],[unit price]]*ORDERS[[#This Row],[Discount]])</f>
        <v>4760</v>
      </c>
      <c r="I1419" t="str">
        <f>VLOOKUP(ORDERS[[#This Row],[CustomerID]],customers[],2,FALSE)</f>
        <v>The Shirt on Your Back</v>
      </c>
      <c r="J1419" s="2" t="str">
        <f>VLOOKUP(ORDERS[[#This Row],[CustomerID]],customers[],4,FALSE)</f>
        <v>Bonners Ferry</v>
      </c>
      <c r="K1419" s="2" t="str">
        <f>VLOOKUP(ORDERS[[#This Row],[ProductID]],Products[],3,FALSE)</f>
        <v>Male</v>
      </c>
      <c r="L1419" s="2">
        <f>DAY(ORDERS[[#This Row],[OrderDate]])</f>
        <v>22</v>
      </c>
      <c r="M1419" s="2">
        <f>YEAR(ORDERS[[#This Row],[OrderDate]])</f>
        <v>2015</v>
      </c>
    </row>
    <row r="1420" spans="1:13" x14ac:dyDescent="0.3">
      <c r="A1420">
        <v>1419</v>
      </c>
      <c r="B1420">
        <v>7</v>
      </c>
      <c r="C1420">
        <v>7</v>
      </c>
      <c r="D1420" s="1">
        <v>42027</v>
      </c>
      <c r="E1420">
        <v>113</v>
      </c>
      <c r="F1420">
        <f>VLOOKUP(ORDERS[[#This Row],[ProductID]],Products[],4,FALSE)</f>
        <v>38</v>
      </c>
      <c r="G1420">
        <v>5.0000001000000002E-2</v>
      </c>
      <c r="H1420">
        <f>(ORDERS[[#This Row],[UnitsOrdered]]*ORDERS[[#This Row],[unit price]])-(ORDERS[[#This Row],[UnitsOrdered]]*ORDERS[[#This Row],[unit price]]*ORDERS[[#This Row],[Discount]])</f>
        <v>4079.2999957060001</v>
      </c>
      <c r="I1420" t="str">
        <f>VLOOKUP(ORDERS[[#This Row],[CustomerID]],customers[],2,FALSE)</f>
        <v>The Shirt on Your Back</v>
      </c>
      <c r="J1420" s="2" t="str">
        <f>VLOOKUP(ORDERS[[#This Row],[CustomerID]],customers[],4,FALSE)</f>
        <v>Bonners Ferry</v>
      </c>
      <c r="K1420" s="2" t="str">
        <f>VLOOKUP(ORDERS[[#This Row],[ProductID]],Products[],3,FALSE)</f>
        <v>Female</v>
      </c>
      <c r="L1420" s="2">
        <f>DAY(ORDERS[[#This Row],[OrderDate]])</f>
        <v>23</v>
      </c>
      <c r="M1420" s="2">
        <f>YEAR(ORDERS[[#This Row],[OrderDate]])</f>
        <v>2015</v>
      </c>
    </row>
    <row r="1421" spans="1:13" x14ac:dyDescent="0.3">
      <c r="A1421">
        <v>1420</v>
      </c>
      <c r="B1421">
        <v>7</v>
      </c>
      <c r="C1421">
        <v>10</v>
      </c>
      <c r="D1421" s="1">
        <v>42027</v>
      </c>
      <c r="E1421">
        <v>60</v>
      </c>
      <c r="F1421">
        <f>VLOOKUP(ORDERS[[#This Row],[ProductID]],Products[],4,FALSE)</f>
        <v>35</v>
      </c>
      <c r="G1421">
        <v>0</v>
      </c>
      <c r="H1421">
        <f>(ORDERS[[#This Row],[UnitsOrdered]]*ORDERS[[#This Row],[unit price]])-(ORDERS[[#This Row],[UnitsOrdered]]*ORDERS[[#This Row],[unit price]]*ORDERS[[#This Row],[Discount]])</f>
        <v>2100</v>
      </c>
      <c r="I1421" t="str">
        <f>VLOOKUP(ORDERS[[#This Row],[CustomerID]],customers[],2,FALSE)</f>
        <v>The Shirt on Your Back</v>
      </c>
      <c r="J1421" s="2" t="str">
        <f>VLOOKUP(ORDERS[[#This Row],[CustomerID]],customers[],4,FALSE)</f>
        <v>Bonners Ferry</v>
      </c>
      <c r="K1421" s="2" t="str">
        <f>VLOOKUP(ORDERS[[#This Row],[ProductID]],Products[],3,FALSE)</f>
        <v>Male</v>
      </c>
      <c r="L1421" s="2">
        <f>DAY(ORDERS[[#This Row],[OrderDate]])</f>
        <v>23</v>
      </c>
      <c r="M1421" s="2">
        <f>YEAR(ORDERS[[#This Row],[OrderDate]])</f>
        <v>2015</v>
      </c>
    </row>
    <row r="1422" spans="1:13" x14ac:dyDescent="0.3">
      <c r="A1422">
        <v>1421</v>
      </c>
      <c r="B1422">
        <v>7</v>
      </c>
      <c r="C1422">
        <v>4</v>
      </c>
      <c r="D1422" s="1">
        <v>42028</v>
      </c>
      <c r="E1422">
        <v>144</v>
      </c>
      <c r="F1422">
        <f>VLOOKUP(ORDERS[[#This Row],[ProductID]],Products[],4,FALSE)</f>
        <v>30</v>
      </c>
      <c r="G1422">
        <v>0</v>
      </c>
      <c r="H1422">
        <f>(ORDERS[[#This Row],[UnitsOrdered]]*ORDERS[[#This Row],[unit price]])-(ORDERS[[#This Row],[UnitsOrdered]]*ORDERS[[#This Row],[unit price]]*ORDERS[[#This Row],[Discount]])</f>
        <v>4320</v>
      </c>
      <c r="I1422" t="str">
        <f>VLOOKUP(ORDERS[[#This Row],[CustomerID]],customers[],2,FALSE)</f>
        <v>The Shirt on Your Back</v>
      </c>
      <c r="J1422" s="2" t="str">
        <f>VLOOKUP(ORDERS[[#This Row],[CustomerID]],customers[],4,FALSE)</f>
        <v>Bonners Ferry</v>
      </c>
      <c r="K1422" s="2" t="str">
        <f>VLOOKUP(ORDERS[[#This Row],[ProductID]],Products[],3,FALSE)</f>
        <v>Both</v>
      </c>
      <c r="L1422" s="2">
        <f>DAY(ORDERS[[#This Row],[OrderDate]])</f>
        <v>24</v>
      </c>
      <c r="M1422" s="2">
        <f>YEAR(ORDERS[[#This Row],[OrderDate]])</f>
        <v>2015</v>
      </c>
    </row>
    <row r="1423" spans="1:13" x14ac:dyDescent="0.3">
      <c r="A1423">
        <v>1422</v>
      </c>
      <c r="B1423">
        <v>6</v>
      </c>
      <c r="C1423">
        <v>7</v>
      </c>
      <c r="D1423" s="1">
        <v>42030</v>
      </c>
      <c r="E1423">
        <v>78</v>
      </c>
      <c r="F1423">
        <f>VLOOKUP(ORDERS[[#This Row],[ProductID]],Products[],4,FALSE)</f>
        <v>38</v>
      </c>
      <c r="G1423">
        <v>0</v>
      </c>
      <c r="H1423">
        <f>(ORDERS[[#This Row],[UnitsOrdered]]*ORDERS[[#This Row],[unit price]])-(ORDERS[[#This Row],[UnitsOrdered]]*ORDERS[[#This Row],[unit price]]*ORDERS[[#This Row],[Discount]])</f>
        <v>2964</v>
      </c>
      <c r="I1423" t="str">
        <f>VLOOKUP(ORDERS[[#This Row],[CustomerID]],customers[],2,FALSE)</f>
        <v>Abracadaba Ink</v>
      </c>
      <c r="J1423" s="2" t="str">
        <f>VLOOKUP(ORDERS[[#This Row],[CustomerID]],customers[],4,FALSE)</f>
        <v>Salt Lake City</v>
      </c>
      <c r="K1423" s="2" t="str">
        <f>VLOOKUP(ORDERS[[#This Row],[ProductID]],Products[],3,FALSE)</f>
        <v>Female</v>
      </c>
      <c r="L1423" s="2">
        <f>DAY(ORDERS[[#This Row],[OrderDate]])</f>
        <v>26</v>
      </c>
      <c r="M1423" s="2">
        <f>YEAR(ORDERS[[#This Row],[OrderDate]])</f>
        <v>2015</v>
      </c>
    </row>
    <row r="1424" spans="1:13" x14ac:dyDescent="0.3">
      <c r="A1424">
        <v>1423</v>
      </c>
      <c r="B1424">
        <v>7</v>
      </c>
      <c r="C1424">
        <v>9</v>
      </c>
      <c r="D1424" s="1">
        <v>42030</v>
      </c>
      <c r="E1424">
        <v>85</v>
      </c>
      <c r="F1424">
        <f>VLOOKUP(ORDERS[[#This Row],[ProductID]],Products[],4,FALSE)</f>
        <v>25</v>
      </c>
      <c r="G1424">
        <v>0</v>
      </c>
      <c r="H1424">
        <f>(ORDERS[[#This Row],[UnitsOrdered]]*ORDERS[[#This Row],[unit price]])-(ORDERS[[#This Row],[UnitsOrdered]]*ORDERS[[#This Row],[unit price]]*ORDERS[[#This Row],[Discount]])</f>
        <v>2125</v>
      </c>
      <c r="I1424" t="str">
        <f>VLOOKUP(ORDERS[[#This Row],[CustomerID]],customers[],2,FALSE)</f>
        <v>The Shirt on Your Back</v>
      </c>
      <c r="J1424" s="2" t="str">
        <f>VLOOKUP(ORDERS[[#This Row],[CustomerID]],customers[],4,FALSE)</f>
        <v>Bonners Ferry</v>
      </c>
      <c r="K1424" s="2" t="str">
        <f>VLOOKUP(ORDERS[[#This Row],[ProductID]],Products[],3,FALSE)</f>
        <v>Male</v>
      </c>
      <c r="L1424" s="2">
        <f>DAY(ORDERS[[#This Row],[OrderDate]])</f>
        <v>26</v>
      </c>
      <c r="M1424" s="2">
        <f>YEAR(ORDERS[[#This Row],[OrderDate]])</f>
        <v>2015</v>
      </c>
    </row>
    <row r="1425" spans="1:13" x14ac:dyDescent="0.3">
      <c r="A1425">
        <v>1424</v>
      </c>
      <c r="B1425">
        <v>1</v>
      </c>
      <c r="C1425">
        <v>9</v>
      </c>
      <c r="D1425" s="1">
        <v>42031</v>
      </c>
      <c r="E1425">
        <v>106</v>
      </c>
      <c r="F1425">
        <f>VLOOKUP(ORDERS[[#This Row],[ProductID]],Products[],4,FALSE)</f>
        <v>25</v>
      </c>
      <c r="G1425">
        <v>0</v>
      </c>
      <c r="H1425">
        <f>(ORDERS[[#This Row],[UnitsOrdered]]*ORDERS[[#This Row],[unit price]])-(ORDERS[[#This Row],[UnitsOrdered]]*ORDERS[[#This Row],[unit price]]*ORDERS[[#This Row],[Discount]])</f>
        <v>2650</v>
      </c>
      <c r="I1425" t="str">
        <f>VLOOKUP(ORDERS[[#This Row],[CustomerID]],customers[],2,FALSE)</f>
        <v>Threads</v>
      </c>
      <c r="J1425" s="2" t="str">
        <f>VLOOKUP(ORDERS[[#This Row],[CustomerID]],customers[],4,FALSE)</f>
        <v>Seattle</v>
      </c>
      <c r="K1425" s="2" t="str">
        <f>VLOOKUP(ORDERS[[#This Row],[ProductID]],Products[],3,FALSE)</f>
        <v>Male</v>
      </c>
      <c r="L1425" s="2">
        <f>DAY(ORDERS[[#This Row],[OrderDate]])</f>
        <v>27</v>
      </c>
      <c r="M1425" s="2">
        <f>YEAR(ORDERS[[#This Row],[OrderDate]])</f>
        <v>2015</v>
      </c>
    </row>
    <row r="1426" spans="1:13" x14ac:dyDescent="0.3">
      <c r="A1426">
        <v>1425</v>
      </c>
      <c r="B1426">
        <v>3</v>
      </c>
      <c r="C1426">
        <v>1</v>
      </c>
      <c r="D1426" s="1">
        <v>42031</v>
      </c>
      <c r="E1426">
        <v>78</v>
      </c>
      <c r="F1426">
        <f>VLOOKUP(ORDERS[[#This Row],[ProductID]],Products[],4,FALSE)</f>
        <v>20</v>
      </c>
      <c r="G1426">
        <v>0</v>
      </c>
      <c r="H1426">
        <f>(ORDERS[[#This Row],[UnitsOrdered]]*ORDERS[[#This Row],[unit price]])-(ORDERS[[#This Row],[UnitsOrdered]]*ORDERS[[#This Row],[unit price]]*ORDERS[[#This Row],[Discount]])</f>
        <v>1560</v>
      </c>
      <c r="I1426" t="str">
        <f>VLOOKUP(ORDERS[[#This Row],[CustomerID]],customers[],2,FALSE)</f>
        <v>Shirts R Us</v>
      </c>
      <c r="J1426" s="2" t="str">
        <f>VLOOKUP(ORDERS[[#This Row],[CustomerID]],customers[],4,FALSE)</f>
        <v>Los Angeles</v>
      </c>
      <c r="K1426" s="2" t="str">
        <f>VLOOKUP(ORDERS[[#This Row],[ProductID]],Products[],3,FALSE)</f>
        <v>Both</v>
      </c>
      <c r="L1426" s="2">
        <f>DAY(ORDERS[[#This Row],[OrderDate]])</f>
        <v>27</v>
      </c>
      <c r="M1426" s="2">
        <f>YEAR(ORDERS[[#This Row],[OrderDate]])</f>
        <v>2015</v>
      </c>
    </row>
    <row r="1427" spans="1:13" x14ac:dyDescent="0.3">
      <c r="A1427">
        <v>1426</v>
      </c>
      <c r="B1427">
        <v>4</v>
      </c>
      <c r="C1427">
        <v>10</v>
      </c>
      <c r="D1427" s="1">
        <v>42031</v>
      </c>
      <c r="E1427">
        <v>118</v>
      </c>
      <c r="F1427">
        <f>VLOOKUP(ORDERS[[#This Row],[ProductID]],Products[],4,FALSE)</f>
        <v>35</v>
      </c>
      <c r="G1427">
        <v>0</v>
      </c>
      <c r="H1427">
        <f>(ORDERS[[#This Row],[UnitsOrdered]]*ORDERS[[#This Row],[unit price]])-(ORDERS[[#This Row],[UnitsOrdered]]*ORDERS[[#This Row],[unit price]]*ORDERS[[#This Row],[Discount]])</f>
        <v>4130</v>
      </c>
      <c r="I1427" t="str">
        <f>VLOOKUP(ORDERS[[#This Row],[CustomerID]],customers[],2,FALSE)</f>
        <v>Tshirt Unlimited</v>
      </c>
      <c r="J1427" s="2" t="str">
        <f>VLOOKUP(ORDERS[[#This Row],[CustomerID]],customers[],4,FALSE)</f>
        <v>Phoenix</v>
      </c>
      <c r="K1427" s="2" t="str">
        <f>VLOOKUP(ORDERS[[#This Row],[ProductID]],Products[],3,FALSE)</f>
        <v>Male</v>
      </c>
      <c r="L1427" s="2">
        <f>DAY(ORDERS[[#This Row],[OrderDate]])</f>
        <v>27</v>
      </c>
      <c r="M1427" s="2">
        <f>YEAR(ORDERS[[#This Row],[OrderDate]])</f>
        <v>2015</v>
      </c>
    </row>
    <row r="1428" spans="1:13" x14ac:dyDescent="0.3">
      <c r="A1428">
        <v>1427</v>
      </c>
      <c r="B1428">
        <v>1</v>
      </c>
      <c r="C1428">
        <v>1</v>
      </c>
      <c r="D1428" s="1">
        <v>42033</v>
      </c>
      <c r="E1428">
        <v>131</v>
      </c>
      <c r="F1428">
        <f>VLOOKUP(ORDERS[[#This Row],[ProductID]],Products[],4,FALSE)</f>
        <v>20</v>
      </c>
      <c r="G1428">
        <v>0</v>
      </c>
      <c r="H1428">
        <f>(ORDERS[[#This Row],[UnitsOrdered]]*ORDERS[[#This Row],[unit price]])-(ORDERS[[#This Row],[UnitsOrdered]]*ORDERS[[#This Row],[unit price]]*ORDERS[[#This Row],[Discount]])</f>
        <v>2620</v>
      </c>
      <c r="I1428" t="str">
        <f>VLOOKUP(ORDERS[[#This Row],[CustomerID]],customers[],2,FALSE)</f>
        <v>Threads</v>
      </c>
      <c r="J1428" s="2" t="str">
        <f>VLOOKUP(ORDERS[[#This Row],[CustomerID]],customers[],4,FALSE)</f>
        <v>Seattle</v>
      </c>
      <c r="K1428" s="2" t="str">
        <f>VLOOKUP(ORDERS[[#This Row],[ProductID]],Products[],3,FALSE)</f>
        <v>Both</v>
      </c>
      <c r="L1428" s="2">
        <f>DAY(ORDERS[[#This Row],[OrderDate]])</f>
        <v>29</v>
      </c>
      <c r="M1428" s="2">
        <f>YEAR(ORDERS[[#This Row],[OrderDate]])</f>
        <v>2015</v>
      </c>
    </row>
    <row r="1429" spans="1:13" x14ac:dyDescent="0.3">
      <c r="A1429">
        <v>1428</v>
      </c>
      <c r="B1429">
        <v>5</v>
      </c>
      <c r="C1429">
        <v>1</v>
      </c>
      <c r="D1429" s="1">
        <v>42033</v>
      </c>
      <c r="E1429">
        <v>138</v>
      </c>
      <c r="F1429">
        <f>VLOOKUP(ORDERS[[#This Row],[ProductID]],Products[],4,FALSE)</f>
        <v>20</v>
      </c>
      <c r="G1429">
        <v>0</v>
      </c>
      <c r="H1429">
        <f>(ORDERS[[#This Row],[UnitsOrdered]]*ORDERS[[#This Row],[unit price]])-(ORDERS[[#This Row],[UnitsOrdered]]*ORDERS[[#This Row],[unit price]]*ORDERS[[#This Row],[Discount]])</f>
        <v>2760</v>
      </c>
      <c r="I1429" t="str">
        <f>VLOOKUP(ORDERS[[#This Row],[CustomerID]],customers[],2,FALSE)</f>
        <v>Rags to Riches</v>
      </c>
      <c r="J1429" s="2" t="str">
        <f>VLOOKUP(ORDERS[[#This Row],[CustomerID]],customers[],4,FALSE)</f>
        <v>Las Vegas</v>
      </c>
      <c r="K1429" s="2" t="str">
        <f>VLOOKUP(ORDERS[[#This Row],[ProductID]],Products[],3,FALSE)</f>
        <v>Both</v>
      </c>
      <c r="L1429" s="2">
        <f>DAY(ORDERS[[#This Row],[OrderDate]])</f>
        <v>29</v>
      </c>
      <c r="M1429" s="2">
        <f>YEAR(ORDERS[[#This Row],[OrderDate]])</f>
        <v>2015</v>
      </c>
    </row>
    <row r="1430" spans="1:13" x14ac:dyDescent="0.3">
      <c r="A1430">
        <v>1429</v>
      </c>
      <c r="B1430">
        <v>1</v>
      </c>
      <c r="C1430">
        <v>5</v>
      </c>
      <c r="D1430" s="1">
        <v>42035</v>
      </c>
      <c r="E1430">
        <v>109</v>
      </c>
      <c r="F1430">
        <f>VLOOKUP(ORDERS[[#This Row],[ProductID]],Products[],4,FALSE)</f>
        <v>16</v>
      </c>
      <c r="G1430">
        <v>0</v>
      </c>
      <c r="H1430">
        <f>(ORDERS[[#This Row],[UnitsOrdered]]*ORDERS[[#This Row],[unit price]])-(ORDERS[[#This Row],[UnitsOrdered]]*ORDERS[[#This Row],[unit price]]*ORDERS[[#This Row],[Discount]])</f>
        <v>1744</v>
      </c>
      <c r="I1430" t="str">
        <f>VLOOKUP(ORDERS[[#This Row],[CustomerID]],customers[],2,FALSE)</f>
        <v>Threads</v>
      </c>
      <c r="J1430" s="2" t="str">
        <f>VLOOKUP(ORDERS[[#This Row],[CustomerID]],customers[],4,FALSE)</f>
        <v>Seattle</v>
      </c>
      <c r="K1430" s="2" t="str">
        <f>VLOOKUP(ORDERS[[#This Row],[ProductID]],Products[],3,FALSE)</f>
        <v>Female</v>
      </c>
      <c r="L1430" s="2">
        <f>DAY(ORDERS[[#This Row],[OrderDate]])</f>
        <v>31</v>
      </c>
      <c r="M1430" s="2">
        <f>YEAR(ORDERS[[#This Row],[OrderDate]])</f>
        <v>2015</v>
      </c>
    </row>
    <row r="1431" spans="1:13" x14ac:dyDescent="0.3">
      <c r="A1431">
        <v>1430</v>
      </c>
      <c r="B1431">
        <v>3</v>
      </c>
      <c r="C1431">
        <v>2</v>
      </c>
      <c r="D1431" s="1">
        <v>42035</v>
      </c>
      <c r="E1431">
        <v>114</v>
      </c>
      <c r="F1431">
        <f>VLOOKUP(ORDERS[[#This Row],[ProductID]],Products[],4,FALSE)</f>
        <v>30</v>
      </c>
      <c r="G1431">
        <v>0</v>
      </c>
      <c r="H1431">
        <f>(ORDERS[[#This Row],[UnitsOrdered]]*ORDERS[[#This Row],[unit price]])-(ORDERS[[#This Row],[UnitsOrdered]]*ORDERS[[#This Row],[unit price]]*ORDERS[[#This Row],[Discount]])</f>
        <v>3420</v>
      </c>
      <c r="I1431" t="str">
        <f>VLOOKUP(ORDERS[[#This Row],[CustomerID]],customers[],2,FALSE)</f>
        <v>Shirts R Us</v>
      </c>
      <c r="J1431" s="2" t="str">
        <f>VLOOKUP(ORDERS[[#This Row],[CustomerID]],customers[],4,FALSE)</f>
        <v>Los Angeles</v>
      </c>
      <c r="K1431" s="2" t="str">
        <f>VLOOKUP(ORDERS[[#This Row],[ProductID]],Products[],3,FALSE)</f>
        <v>Both</v>
      </c>
      <c r="L1431" s="2">
        <f>DAY(ORDERS[[#This Row],[OrderDate]])</f>
        <v>31</v>
      </c>
      <c r="M1431" s="2">
        <f>YEAR(ORDERS[[#This Row],[OrderDate]])</f>
        <v>2015</v>
      </c>
    </row>
    <row r="1432" spans="1:13" x14ac:dyDescent="0.3">
      <c r="A1432">
        <v>1431</v>
      </c>
      <c r="B1432">
        <v>3</v>
      </c>
      <c r="C1432">
        <v>2</v>
      </c>
      <c r="D1432" s="1">
        <v>42036</v>
      </c>
      <c r="E1432">
        <v>71</v>
      </c>
      <c r="F1432">
        <f>VLOOKUP(ORDERS[[#This Row],[ProductID]],Products[],4,FALSE)</f>
        <v>30</v>
      </c>
      <c r="G1432">
        <v>0</v>
      </c>
      <c r="H1432">
        <f>(ORDERS[[#This Row],[UnitsOrdered]]*ORDERS[[#This Row],[unit price]])-(ORDERS[[#This Row],[UnitsOrdered]]*ORDERS[[#This Row],[unit price]]*ORDERS[[#This Row],[Discount]])</f>
        <v>2130</v>
      </c>
      <c r="I1432" t="str">
        <f>VLOOKUP(ORDERS[[#This Row],[CustomerID]],customers[],2,FALSE)</f>
        <v>Shirts R Us</v>
      </c>
      <c r="J1432" s="2" t="str">
        <f>VLOOKUP(ORDERS[[#This Row],[CustomerID]],customers[],4,FALSE)</f>
        <v>Los Angeles</v>
      </c>
      <c r="K1432" s="2" t="str">
        <f>VLOOKUP(ORDERS[[#This Row],[ProductID]],Products[],3,FALSE)</f>
        <v>Both</v>
      </c>
      <c r="L1432" s="2">
        <f>DAY(ORDERS[[#This Row],[OrderDate]])</f>
        <v>1</v>
      </c>
      <c r="M1432" s="2">
        <f>YEAR(ORDERS[[#This Row],[OrderDate]])</f>
        <v>2015</v>
      </c>
    </row>
    <row r="1433" spans="1:13" x14ac:dyDescent="0.3">
      <c r="A1433">
        <v>1432</v>
      </c>
      <c r="B1433">
        <v>4</v>
      </c>
      <c r="C1433">
        <v>6</v>
      </c>
      <c r="D1433" s="1">
        <v>42036</v>
      </c>
      <c r="E1433">
        <v>52</v>
      </c>
      <c r="F1433">
        <f>VLOOKUP(ORDERS[[#This Row],[ProductID]],Products[],4,FALSE)</f>
        <v>28</v>
      </c>
      <c r="G1433">
        <v>0.15000000599999999</v>
      </c>
      <c r="H1433">
        <f>(ORDERS[[#This Row],[UnitsOrdered]]*ORDERS[[#This Row],[unit price]])-(ORDERS[[#This Row],[UnitsOrdered]]*ORDERS[[#This Row],[unit price]]*ORDERS[[#This Row],[Discount]])</f>
        <v>1237.599991264</v>
      </c>
      <c r="I1433" t="str">
        <f>VLOOKUP(ORDERS[[#This Row],[CustomerID]],customers[],2,FALSE)</f>
        <v>Tshirt Unlimited</v>
      </c>
      <c r="J1433" s="2" t="str">
        <f>VLOOKUP(ORDERS[[#This Row],[CustomerID]],customers[],4,FALSE)</f>
        <v>Phoenix</v>
      </c>
      <c r="K1433" s="2" t="str">
        <f>VLOOKUP(ORDERS[[#This Row],[ProductID]],Products[],3,FALSE)</f>
        <v>Female</v>
      </c>
      <c r="L1433" s="2">
        <f>DAY(ORDERS[[#This Row],[OrderDate]])</f>
        <v>1</v>
      </c>
      <c r="M1433" s="2">
        <f>YEAR(ORDERS[[#This Row],[OrderDate]])</f>
        <v>2015</v>
      </c>
    </row>
    <row r="1434" spans="1:13" x14ac:dyDescent="0.3">
      <c r="A1434">
        <v>1433</v>
      </c>
      <c r="B1434">
        <v>4</v>
      </c>
      <c r="C1434">
        <v>7</v>
      </c>
      <c r="D1434" s="1">
        <v>42036</v>
      </c>
      <c r="E1434">
        <v>28</v>
      </c>
      <c r="F1434">
        <f>VLOOKUP(ORDERS[[#This Row],[ProductID]],Products[],4,FALSE)</f>
        <v>38</v>
      </c>
      <c r="G1434">
        <v>0</v>
      </c>
      <c r="H1434">
        <f>(ORDERS[[#This Row],[UnitsOrdered]]*ORDERS[[#This Row],[unit price]])-(ORDERS[[#This Row],[UnitsOrdered]]*ORDERS[[#This Row],[unit price]]*ORDERS[[#This Row],[Discount]])</f>
        <v>1064</v>
      </c>
      <c r="I1434" t="str">
        <f>VLOOKUP(ORDERS[[#This Row],[CustomerID]],customers[],2,FALSE)</f>
        <v>Tshirt Unlimited</v>
      </c>
      <c r="J1434" s="2" t="str">
        <f>VLOOKUP(ORDERS[[#This Row],[CustomerID]],customers[],4,FALSE)</f>
        <v>Phoenix</v>
      </c>
      <c r="K1434" s="2" t="str">
        <f>VLOOKUP(ORDERS[[#This Row],[ProductID]],Products[],3,FALSE)</f>
        <v>Female</v>
      </c>
      <c r="L1434" s="2">
        <f>DAY(ORDERS[[#This Row],[OrderDate]])</f>
        <v>1</v>
      </c>
      <c r="M1434" s="2">
        <f>YEAR(ORDERS[[#This Row],[OrderDate]])</f>
        <v>2015</v>
      </c>
    </row>
    <row r="1435" spans="1:13" x14ac:dyDescent="0.3">
      <c r="A1435">
        <v>1434</v>
      </c>
      <c r="B1435">
        <v>2</v>
      </c>
      <c r="C1435">
        <v>1</v>
      </c>
      <c r="D1435" s="1">
        <v>42038</v>
      </c>
      <c r="E1435">
        <v>87</v>
      </c>
      <c r="F1435">
        <f>VLOOKUP(ORDERS[[#This Row],[ProductID]],Products[],4,FALSE)</f>
        <v>20</v>
      </c>
      <c r="G1435">
        <v>5.0000001000000002E-2</v>
      </c>
      <c r="H1435">
        <f>(ORDERS[[#This Row],[UnitsOrdered]]*ORDERS[[#This Row],[unit price]])-(ORDERS[[#This Row],[UnitsOrdered]]*ORDERS[[#This Row],[unit price]]*ORDERS[[#This Row],[Discount]])</f>
        <v>1652.99999826</v>
      </c>
      <c r="I1435" t="str">
        <f>VLOOKUP(ORDERS[[#This Row],[CustomerID]],customers[],2,FALSE)</f>
        <v>A Shirts Life</v>
      </c>
      <c r="J1435" s="2" t="str">
        <f>VLOOKUP(ORDERS[[#This Row],[CustomerID]],customers[],4,FALSE)</f>
        <v>Portland</v>
      </c>
      <c r="K1435" s="2" t="str">
        <f>VLOOKUP(ORDERS[[#This Row],[ProductID]],Products[],3,FALSE)</f>
        <v>Both</v>
      </c>
      <c r="L1435" s="2">
        <f>DAY(ORDERS[[#This Row],[OrderDate]])</f>
        <v>3</v>
      </c>
      <c r="M1435" s="2">
        <f>YEAR(ORDERS[[#This Row],[OrderDate]])</f>
        <v>2015</v>
      </c>
    </row>
    <row r="1436" spans="1:13" x14ac:dyDescent="0.3">
      <c r="A1436">
        <v>1435</v>
      </c>
      <c r="B1436">
        <v>2</v>
      </c>
      <c r="C1436">
        <v>5</v>
      </c>
      <c r="D1436" s="1">
        <v>42039</v>
      </c>
      <c r="E1436">
        <v>52</v>
      </c>
      <c r="F1436">
        <f>VLOOKUP(ORDERS[[#This Row],[ProductID]],Products[],4,FALSE)</f>
        <v>16</v>
      </c>
      <c r="G1436">
        <v>0.15000000599999999</v>
      </c>
      <c r="H1436">
        <f>(ORDERS[[#This Row],[UnitsOrdered]]*ORDERS[[#This Row],[unit price]])-(ORDERS[[#This Row],[UnitsOrdered]]*ORDERS[[#This Row],[unit price]]*ORDERS[[#This Row],[Discount]])</f>
        <v>707.19999500799997</v>
      </c>
      <c r="I1436" t="str">
        <f>VLOOKUP(ORDERS[[#This Row],[CustomerID]],customers[],2,FALSE)</f>
        <v>A Shirts Life</v>
      </c>
      <c r="J1436" s="2" t="str">
        <f>VLOOKUP(ORDERS[[#This Row],[CustomerID]],customers[],4,FALSE)</f>
        <v>Portland</v>
      </c>
      <c r="K1436" s="2" t="str">
        <f>VLOOKUP(ORDERS[[#This Row],[ProductID]],Products[],3,FALSE)</f>
        <v>Female</v>
      </c>
      <c r="L1436" s="2">
        <f>DAY(ORDERS[[#This Row],[OrderDate]])</f>
        <v>4</v>
      </c>
      <c r="M1436" s="2">
        <f>YEAR(ORDERS[[#This Row],[OrderDate]])</f>
        <v>2015</v>
      </c>
    </row>
    <row r="1437" spans="1:13" x14ac:dyDescent="0.3">
      <c r="A1437">
        <v>1436</v>
      </c>
      <c r="B1437">
        <v>4</v>
      </c>
      <c r="C1437">
        <v>6</v>
      </c>
      <c r="D1437" s="1">
        <v>42039</v>
      </c>
      <c r="E1437">
        <v>112</v>
      </c>
      <c r="F1437">
        <f>VLOOKUP(ORDERS[[#This Row],[ProductID]],Products[],4,FALSE)</f>
        <v>28</v>
      </c>
      <c r="G1437">
        <v>0</v>
      </c>
      <c r="H1437">
        <f>(ORDERS[[#This Row],[UnitsOrdered]]*ORDERS[[#This Row],[unit price]])-(ORDERS[[#This Row],[UnitsOrdered]]*ORDERS[[#This Row],[unit price]]*ORDERS[[#This Row],[Discount]])</f>
        <v>3136</v>
      </c>
      <c r="I1437" t="str">
        <f>VLOOKUP(ORDERS[[#This Row],[CustomerID]],customers[],2,FALSE)</f>
        <v>Tshirt Unlimited</v>
      </c>
      <c r="J1437" s="2" t="str">
        <f>VLOOKUP(ORDERS[[#This Row],[CustomerID]],customers[],4,FALSE)</f>
        <v>Phoenix</v>
      </c>
      <c r="K1437" s="2" t="str">
        <f>VLOOKUP(ORDERS[[#This Row],[ProductID]],Products[],3,FALSE)</f>
        <v>Female</v>
      </c>
      <c r="L1437" s="2">
        <f>DAY(ORDERS[[#This Row],[OrderDate]])</f>
        <v>4</v>
      </c>
      <c r="M1437" s="2">
        <f>YEAR(ORDERS[[#This Row],[OrderDate]])</f>
        <v>2015</v>
      </c>
    </row>
    <row r="1438" spans="1:13" x14ac:dyDescent="0.3">
      <c r="A1438">
        <v>1437</v>
      </c>
      <c r="B1438">
        <v>6</v>
      </c>
      <c r="C1438">
        <v>2</v>
      </c>
      <c r="D1438" s="1">
        <v>42039</v>
      </c>
      <c r="E1438">
        <v>63</v>
      </c>
      <c r="F1438">
        <f>VLOOKUP(ORDERS[[#This Row],[ProductID]],Products[],4,FALSE)</f>
        <v>30</v>
      </c>
      <c r="G1438">
        <v>0.10000000100000001</v>
      </c>
      <c r="H1438">
        <f>(ORDERS[[#This Row],[UnitsOrdered]]*ORDERS[[#This Row],[unit price]])-(ORDERS[[#This Row],[UnitsOrdered]]*ORDERS[[#This Row],[unit price]]*ORDERS[[#This Row],[Discount]])</f>
        <v>1700.99999811</v>
      </c>
      <c r="I1438" t="str">
        <f>VLOOKUP(ORDERS[[#This Row],[CustomerID]],customers[],2,FALSE)</f>
        <v>Abracadaba Ink</v>
      </c>
      <c r="J1438" s="2" t="str">
        <f>VLOOKUP(ORDERS[[#This Row],[CustomerID]],customers[],4,FALSE)</f>
        <v>Salt Lake City</v>
      </c>
      <c r="K1438" s="2" t="str">
        <f>VLOOKUP(ORDERS[[#This Row],[ProductID]],Products[],3,FALSE)</f>
        <v>Both</v>
      </c>
      <c r="L1438" s="2">
        <f>DAY(ORDERS[[#This Row],[OrderDate]])</f>
        <v>4</v>
      </c>
      <c r="M1438" s="2">
        <f>YEAR(ORDERS[[#This Row],[OrderDate]])</f>
        <v>2015</v>
      </c>
    </row>
    <row r="1439" spans="1:13" x14ac:dyDescent="0.3">
      <c r="A1439">
        <v>1438</v>
      </c>
      <c r="B1439">
        <v>2</v>
      </c>
      <c r="C1439">
        <v>7</v>
      </c>
      <c r="D1439" s="1">
        <v>42040</v>
      </c>
      <c r="E1439">
        <v>149</v>
      </c>
      <c r="F1439">
        <f>VLOOKUP(ORDERS[[#This Row],[ProductID]],Products[],4,FALSE)</f>
        <v>38</v>
      </c>
      <c r="G1439">
        <v>0</v>
      </c>
      <c r="H1439">
        <f>(ORDERS[[#This Row],[UnitsOrdered]]*ORDERS[[#This Row],[unit price]])-(ORDERS[[#This Row],[UnitsOrdered]]*ORDERS[[#This Row],[unit price]]*ORDERS[[#This Row],[Discount]])</f>
        <v>5662</v>
      </c>
      <c r="I1439" t="str">
        <f>VLOOKUP(ORDERS[[#This Row],[CustomerID]],customers[],2,FALSE)</f>
        <v>A Shirts Life</v>
      </c>
      <c r="J1439" s="2" t="str">
        <f>VLOOKUP(ORDERS[[#This Row],[CustomerID]],customers[],4,FALSE)</f>
        <v>Portland</v>
      </c>
      <c r="K1439" s="2" t="str">
        <f>VLOOKUP(ORDERS[[#This Row],[ProductID]],Products[],3,FALSE)</f>
        <v>Female</v>
      </c>
      <c r="L1439" s="2">
        <f>DAY(ORDERS[[#This Row],[OrderDate]])</f>
        <v>5</v>
      </c>
      <c r="M1439" s="2">
        <f>YEAR(ORDERS[[#This Row],[OrderDate]])</f>
        <v>2015</v>
      </c>
    </row>
    <row r="1440" spans="1:13" x14ac:dyDescent="0.3">
      <c r="A1440">
        <v>1439</v>
      </c>
      <c r="B1440">
        <v>3</v>
      </c>
      <c r="C1440">
        <v>2</v>
      </c>
      <c r="D1440" s="1">
        <v>42040</v>
      </c>
      <c r="E1440">
        <v>54</v>
      </c>
      <c r="F1440">
        <f>VLOOKUP(ORDERS[[#This Row],[ProductID]],Products[],4,FALSE)</f>
        <v>30</v>
      </c>
      <c r="G1440">
        <v>0</v>
      </c>
      <c r="H1440">
        <f>(ORDERS[[#This Row],[UnitsOrdered]]*ORDERS[[#This Row],[unit price]])-(ORDERS[[#This Row],[UnitsOrdered]]*ORDERS[[#This Row],[unit price]]*ORDERS[[#This Row],[Discount]])</f>
        <v>1620</v>
      </c>
      <c r="I1440" t="str">
        <f>VLOOKUP(ORDERS[[#This Row],[CustomerID]],customers[],2,FALSE)</f>
        <v>Shirts R Us</v>
      </c>
      <c r="J1440" s="2" t="str">
        <f>VLOOKUP(ORDERS[[#This Row],[CustomerID]],customers[],4,FALSE)</f>
        <v>Los Angeles</v>
      </c>
      <c r="K1440" s="2" t="str">
        <f>VLOOKUP(ORDERS[[#This Row],[ProductID]],Products[],3,FALSE)</f>
        <v>Both</v>
      </c>
      <c r="L1440" s="2">
        <f>DAY(ORDERS[[#This Row],[OrderDate]])</f>
        <v>5</v>
      </c>
      <c r="M1440" s="2">
        <f>YEAR(ORDERS[[#This Row],[OrderDate]])</f>
        <v>2015</v>
      </c>
    </row>
    <row r="1441" spans="1:13" x14ac:dyDescent="0.3">
      <c r="A1441">
        <v>1440</v>
      </c>
      <c r="B1441">
        <v>1</v>
      </c>
      <c r="C1441">
        <v>5</v>
      </c>
      <c r="D1441" s="1">
        <v>42041</v>
      </c>
      <c r="E1441">
        <v>46</v>
      </c>
      <c r="F1441">
        <f>VLOOKUP(ORDERS[[#This Row],[ProductID]],Products[],4,FALSE)</f>
        <v>16</v>
      </c>
      <c r="G1441">
        <v>0.10000000100000001</v>
      </c>
      <c r="H1441">
        <f>(ORDERS[[#This Row],[UnitsOrdered]]*ORDERS[[#This Row],[unit price]])-(ORDERS[[#This Row],[UnitsOrdered]]*ORDERS[[#This Row],[unit price]]*ORDERS[[#This Row],[Discount]])</f>
        <v>662.39999926400003</v>
      </c>
      <c r="I1441" t="str">
        <f>VLOOKUP(ORDERS[[#This Row],[CustomerID]],customers[],2,FALSE)</f>
        <v>Threads</v>
      </c>
      <c r="J1441" s="2" t="str">
        <f>VLOOKUP(ORDERS[[#This Row],[CustomerID]],customers[],4,FALSE)</f>
        <v>Seattle</v>
      </c>
      <c r="K1441" s="2" t="str">
        <f>VLOOKUP(ORDERS[[#This Row],[ProductID]],Products[],3,FALSE)</f>
        <v>Female</v>
      </c>
      <c r="L1441" s="2">
        <f>DAY(ORDERS[[#This Row],[OrderDate]])</f>
        <v>6</v>
      </c>
      <c r="M1441" s="2">
        <f>YEAR(ORDERS[[#This Row],[OrderDate]])</f>
        <v>2015</v>
      </c>
    </row>
    <row r="1442" spans="1:13" x14ac:dyDescent="0.3">
      <c r="A1442">
        <v>1441</v>
      </c>
      <c r="B1442">
        <v>2</v>
      </c>
      <c r="C1442">
        <v>5</v>
      </c>
      <c r="D1442" s="1">
        <v>42041</v>
      </c>
      <c r="E1442">
        <v>116</v>
      </c>
      <c r="F1442">
        <f>VLOOKUP(ORDERS[[#This Row],[ProductID]],Products[],4,FALSE)</f>
        <v>16</v>
      </c>
      <c r="G1442">
        <v>0.10000000100000001</v>
      </c>
      <c r="H1442">
        <f>(ORDERS[[#This Row],[UnitsOrdered]]*ORDERS[[#This Row],[unit price]])-(ORDERS[[#This Row],[UnitsOrdered]]*ORDERS[[#This Row],[unit price]]*ORDERS[[#This Row],[Discount]])</f>
        <v>1670.3999981439999</v>
      </c>
      <c r="I1442" t="str">
        <f>VLOOKUP(ORDERS[[#This Row],[CustomerID]],customers[],2,FALSE)</f>
        <v>A Shirts Life</v>
      </c>
      <c r="J1442" s="2" t="str">
        <f>VLOOKUP(ORDERS[[#This Row],[CustomerID]],customers[],4,FALSE)</f>
        <v>Portland</v>
      </c>
      <c r="K1442" s="2" t="str">
        <f>VLOOKUP(ORDERS[[#This Row],[ProductID]],Products[],3,FALSE)</f>
        <v>Female</v>
      </c>
      <c r="L1442" s="2">
        <f>DAY(ORDERS[[#This Row],[OrderDate]])</f>
        <v>6</v>
      </c>
      <c r="M1442" s="2">
        <f>YEAR(ORDERS[[#This Row],[OrderDate]])</f>
        <v>2015</v>
      </c>
    </row>
    <row r="1443" spans="1:13" x14ac:dyDescent="0.3">
      <c r="A1443">
        <v>1442</v>
      </c>
      <c r="B1443">
        <v>5</v>
      </c>
      <c r="C1443">
        <v>1</v>
      </c>
      <c r="D1443" s="1">
        <v>42041</v>
      </c>
      <c r="E1443">
        <v>44</v>
      </c>
      <c r="F1443">
        <f>VLOOKUP(ORDERS[[#This Row],[ProductID]],Products[],4,FALSE)</f>
        <v>20</v>
      </c>
      <c r="G1443">
        <v>0</v>
      </c>
      <c r="H1443">
        <f>(ORDERS[[#This Row],[UnitsOrdered]]*ORDERS[[#This Row],[unit price]])-(ORDERS[[#This Row],[UnitsOrdered]]*ORDERS[[#This Row],[unit price]]*ORDERS[[#This Row],[Discount]])</f>
        <v>880</v>
      </c>
      <c r="I1443" t="str">
        <f>VLOOKUP(ORDERS[[#This Row],[CustomerID]],customers[],2,FALSE)</f>
        <v>Rags to Riches</v>
      </c>
      <c r="J1443" s="2" t="str">
        <f>VLOOKUP(ORDERS[[#This Row],[CustomerID]],customers[],4,FALSE)</f>
        <v>Las Vegas</v>
      </c>
      <c r="K1443" s="2" t="str">
        <f>VLOOKUP(ORDERS[[#This Row],[ProductID]],Products[],3,FALSE)</f>
        <v>Both</v>
      </c>
      <c r="L1443" s="2">
        <f>DAY(ORDERS[[#This Row],[OrderDate]])</f>
        <v>6</v>
      </c>
      <c r="M1443" s="2">
        <f>YEAR(ORDERS[[#This Row],[OrderDate]])</f>
        <v>2015</v>
      </c>
    </row>
    <row r="1444" spans="1:13" x14ac:dyDescent="0.3">
      <c r="A1444">
        <v>1443</v>
      </c>
      <c r="B1444">
        <v>2</v>
      </c>
      <c r="C1444">
        <v>1</v>
      </c>
      <c r="D1444" s="1">
        <v>42042</v>
      </c>
      <c r="E1444">
        <v>42</v>
      </c>
      <c r="F1444">
        <f>VLOOKUP(ORDERS[[#This Row],[ProductID]],Products[],4,FALSE)</f>
        <v>20</v>
      </c>
      <c r="G1444">
        <v>0</v>
      </c>
      <c r="H1444">
        <f>(ORDERS[[#This Row],[UnitsOrdered]]*ORDERS[[#This Row],[unit price]])-(ORDERS[[#This Row],[UnitsOrdered]]*ORDERS[[#This Row],[unit price]]*ORDERS[[#This Row],[Discount]])</f>
        <v>840</v>
      </c>
      <c r="I1444" t="str">
        <f>VLOOKUP(ORDERS[[#This Row],[CustomerID]],customers[],2,FALSE)</f>
        <v>A Shirts Life</v>
      </c>
      <c r="J1444" s="2" t="str">
        <f>VLOOKUP(ORDERS[[#This Row],[CustomerID]],customers[],4,FALSE)</f>
        <v>Portland</v>
      </c>
      <c r="K1444" s="2" t="str">
        <f>VLOOKUP(ORDERS[[#This Row],[ProductID]],Products[],3,FALSE)</f>
        <v>Both</v>
      </c>
      <c r="L1444" s="2">
        <f>DAY(ORDERS[[#This Row],[OrderDate]])</f>
        <v>7</v>
      </c>
      <c r="M1444" s="2">
        <f>YEAR(ORDERS[[#This Row],[OrderDate]])</f>
        <v>2015</v>
      </c>
    </row>
    <row r="1445" spans="1:13" x14ac:dyDescent="0.3">
      <c r="A1445">
        <v>1444</v>
      </c>
      <c r="B1445">
        <v>6</v>
      </c>
      <c r="C1445">
        <v>8</v>
      </c>
      <c r="D1445" s="1">
        <v>42043</v>
      </c>
      <c r="E1445">
        <v>137</v>
      </c>
      <c r="F1445">
        <f>VLOOKUP(ORDERS[[#This Row],[ProductID]],Products[],4,FALSE)</f>
        <v>27</v>
      </c>
      <c r="G1445">
        <v>0</v>
      </c>
      <c r="H1445">
        <f>(ORDERS[[#This Row],[UnitsOrdered]]*ORDERS[[#This Row],[unit price]])-(ORDERS[[#This Row],[UnitsOrdered]]*ORDERS[[#This Row],[unit price]]*ORDERS[[#This Row],[Discount]])</f>
        <v>3699</v>
      </c>
      <c r="I1445" t="str">
        <f>VLOOKUP(ORDERS[[#This Row],[CustomerID]],customers[],2,FALSE)</f>
        <v>Abracadaba Ink</v>
      </c>
      <c r="J1445" s="2" t="str">
        <f>VLOOKUP(ORDERS[[#This Row],[CustomerID]],customers[],4,FALSE)</f>
        <v>Salt Lake City</v>
      </c>
      <c r="K1445" s="2" t="str">
        <f>VLOOKUP(ORDERS[[#This Row],[ProductID]],Products[],3,FALSE)</f>
        <v>Female</v>
      </c>
      <c r="L1445" s="2">
        <f>DAY(ORDERS[[#This Row],[OrderDate]])</f>
        <v>8</v>
      </c>
      <c r="M1445" s="2">
        <f>YEAR(ORDERS[[#This Row],[OrderDate]])</f>
        <v>2015</v>
      </c>
    </row>
    <row r="1446" spans="1:13" x14ac:dyDescent="0.3">
      <c r="A1446">
        <v>1445</v>
      </c>
      <c r="B1446">
        <v>6</v>
      </c>
      <c r="C1446">
        <v>5</v>
      </c>
      <c r="D1446" s="1">
        <v>42044</v>
      </c>
      <c r="E1446">
        <v>104</v>
      </c>
      <c r="F1446">
        <f>VLOOKUP(ORDERS[[#This Row],[ProductID]],Products[],4,FALSE)</f>
        <v>16</v>
      </c>
      <c r="G1446">
        <v>0</v>
      </c>
      <c r="H1446">
        <f>(ORDERS[[#This Row],[UnitsOrdered]]*ORDERS[[#This Row],[unit price]])-(ORDERS[[#This Row],[UnitsOrdered]]*ORDERS[[#This Row],[unit price]]*ORDERS[[#This Row],[Discount]])</f>
        <v>1664</v>
      </c>
      <c r="I1446" t="str">
        <f>VLOOKUP(ORDERS[[#This Row],[CustomerID]],customers[],2,FALSE)</f>
        <v>Abracadaba Ink</v>
      </c>
      <c r="J1446" s="2" t="str">
        <f>VLOOKUP(ORDERS[[#This Row],[CustomerID]],customers[],4,FALSE)</f>
        <v>Salt Lake City</v>
      </c>
      <c r="K1446" s="2" t="str">
        <f>VLOOKUP(ORDERS[[#This Row],[ProductID]],Products[],3,FALSE)</f>
        <v>Female</v>
      </c>
      <c r="L1446" s="2">
        <f>DAY(ORDERS[[#This Row],[OrderDate]])</f>
        <v>9</v>
      </c>
      <c r="M1446" s="2">
        <f>YEAR(ORDERS[[#This Row],[OrderDate]])</f>
        <v>2015</v>
      </c>
    </row>
    <row r="1447" spans="1:13" x14ac:dyDescent="0.3">
      <c r="A1447">
        <v>1446</v>
      </c>
      <c r="B1447">
        <v>4</v>
      </c>
      <c r="C1447">
        <v>6</v>
      </c>
      <c r="D1447" s="1">
        <v>42045</v>
      </c>
      <c r="E1447">
        <v>98</v>
      </c>
      <c r="F1447">
        <f>VLOOKUP(ORDERS[[#This Row],[ProductID]],Products[],4,FALSE)</f>
        <v>28</v>
      </c>
      <c r="G1447">
        <v>0</v>
      </c>
      <c r="H1447">
        <f>(ORDERS[[#This Row],[UnitsOrdered]]*ORDERS[[#This Row],[unit price]])-(ORDERS[[#This Row],[UnitsOrdered]]*ORDERS[[#This Row],[unit price]]*ORDERS[[#This Row],[Discount]])</f>
        <v>2744</v>
      </c>
      <c r="I1447" t="str">
        <f>VLOOKUP(ORDERS[[#This Row],[CustomerID]],customers[],2,FALSE)</f>
        <v>Tshirt Unlimited</v>
      </c>
      <c r="J1447" s="2" t="str">
        <f>VLOOKUP(ORDERS[[#This Row],[CustomerID]],customers[],4,FALSE)</f>
        <v>Phoenix</v>
      </c>
      <c r="K1447" s="2" t="str">
        <f>VLOOKUP(ORDERS[[#This Row],[ProductID]],Products[],3,FALSE)</f>
        <v>Female</v>
      </c>
      <c r="L1447" s="2">
        <f>DAY(ORDERS[[#This Row],[OrderDate]])</f>
        <v>10</v>
      </c>
      <c r="M1447" s="2">
        <f>YEAR(ORDERS[[#This Row],[OrderDate]])</f>
        <v>2015</v>
      </c>
    </row>
    <row r="1448" spans="1:13" x14ac:dyDescent="0.3">
      <c r="A1448">
        <v>1447</v>
      </c>
      <c r="B1448">
        <v>5</v>
      </c>
      <c r="C1448">
        <v>5</v>
      </c>
      <c r="D1448" s="1">
        <v>42046</v>
      </c>
      <c r="E1448">
        <v>134</v>
      </c>
      <c r="F1448">
        <f>VLOOKUP(ORDERS[[#This Row],[ProductID]],Products[],4,FALSE)</f>
        <v>16</v>
      </c>
      <c r="G1448">
        <v>0</v>
      </c>
      <c r="H1448">
        <f>(ORDERS[[#This Row],[UnitsOrdered]]*ORDERS[[#This Row],[unit price]])-(ORDERS[[#This Row],[UnitsOrdered]]*ORDERS[[#This Row],[unit price]]*ORDERS[[#This Row],[Discount]])</f>
        <v>2144</v>
      </c>
      <c r="I1448" t="str">
        <f>VLOOKUP(ORDERS[[#This Row],[CustomerID]],customers[],2,FALSE)</f>
        <v>Rags to Riches</v>
      </c>
      <c r="J1448" s="2" t="str">
        <f>VLOOKUP(ORDERS[[#This Row],[CustomerID]],customers[],4,FALSE)</f>
        <v>Las Vegas</v>
      </c>
      <c r="K1448" s="2" t="str">
        <f>VLOOKUP(ORDERS[[#This Row],[ProductID]],Products[],3,FALSE)</f>
        <v>Female</v>
      </c>
      <c r="L1448" s="2">
        <f>DAY(ORDERS[[#This Row],[OrderDate]])</f>
        <v>11</v>
      </c>
      <c r="M1448" s="2">
        <f>YEAR(ORDERS[[#This Row],[OrderDate]])</f>
        <v>2015</v>
      </c>
    </row>
    <row r="1449" spans="1:13" x14ac:dyDescent="0.3">
      <c r="A1449">
        <v>1448</v>
      </c>
      <c r="B1449">
        <v>3</v>
      </c>
      <c r="C1449">
        <v>2</v>
      </c>
      <c r="D1449" s="1">
        <v>42047</v>
      </c>
      <c r="E1449">
        <v>93</v>
      </c>
      <c r="F1449">
        <f>VLOOKUP(ORDERS[[#This Row],[ProductID]],Products[],4,FALSE)</f>
        <v>30</v>
      </c>
      <c r="G1449">
        <v>0</v>
      </c>
      <c r="H1449">
        <f>(ORDERS[[#This Row],[UnitsOrdered]]*ORDERS[[#This Row],[unit price]])-(ORDERS[[#This Row],[UnitsOrdered]]*ORDERS[[#This Row],[unit price]]*ORDERS[[#This Row],[Discount]])</f>
        <v>2790</v>
      </c>
      <c r="I1449" t="str">
        <f>VLOOKUP(ORDERS[[#This Row],[CustomerID]],customers[],2,FALSE)</f>
        <v>Shirts R Us</v>
      </c>
      <c r="J1449" s="2" t="str">
        <f>VLOOKUP(ORDERS[[#This Row],[CustomerID]],customers[],4,FALSE)</f>
        <v>Los Angeles</v>
      </c>
      <c r="K1449" s="2" t="str">
        <f>VLOOKUP(ORDERS[[#This Row],[ProductID]],Products[],3,FALSE)</f>
        <v>Both</v>
      </c>
      <c r="L1449" s="2">
        <f>DAY(ORDERS[[#This Row],[OrderDate]])</f>
        <v>12</v>
      </c>
      <c r="M1449" s="2">
        <f>YEAR(ORDERS[[#This Row],[OrderDate]])</f>
        <v>2015</v>
      </c>
    </row>
    <row r="1450" spans="1:13" x14ac:dyDescent="0.3">
      <c r="A1450">
        <v>1449</v>
      </c>
      <c r="B1450">
        <v>5</v>
      </c>
      <c r="C1450">
        <v>3</v>
      </c>
      <c r="D1450" s="1">
        <v>42047</v>
      </c>
      <c r="E1450">
        <v>135</v>
      </c>
      <c r="F1450">
        <f>VLOOKUP(ORDERS[[#This Row],[ProductID]],Products[],4,FALSE)</f>
        <v>22</v>
      </c>
      <c r="G1450">
        <v>0</v>
      </c>
      <c r="H1450">
        <f>(ORDERS[[#This Row],[UnitsOrdered]]*ORDERS[[#This Row],[unit price]])-(ORDERS[[#This Row],[UnitsOrdered]]*ORDERS[[#This Row],[unit price]]*ORDERS[[#This Row],[Discount]])</f>
        <v>2970</v>
      </c>
      <c r="I1450" t="str">
        <f>VLOOKUP(ORDERS[[#This Row],[CustomerID]],customers[],2,FALSE)</f>
        <v>Rags to Riches</v>
      </c>
      <c r="J1450" s="2" t="str">
        <f>VLOOKUP(ORDERS[[#This Row],[CustomerID]],customers[],4,FALSE)</f>
        <v>Las Vegas</v>
      </c>
      <c r="K1450" s="2" t="str">
        <f>VLOOKUP(ORDERS[[#This Row],[ProductID]],Products[],3,FALSE)</f>
        <v>Both</v>
      </c>
      <c r="L1450" s="2">
        <f>DAY(ORDERS[[#This Row],[OrderDate]])</f>
        <v>12</v>
      </c>
      <c r="M1450" s="2">
        <f>YEAR(ORDERS[[#This Row],[OrderDate]])</f>
        <v>2015</v>
      </c>
    </row>
    <row r="1451" spans="1:13" x14ac:dyDescent="0.3">
      <c r="A1451">
        <v>1450</v>
      </c>
      <c r="B1451">
        <v>7</v>
      </c>
      <c r="C1451">
        <v>6</v>
      </c>
      <c r="D1451" s="1">
        <v>42047</v>
      </c>
      <c r="E1451">
        <v>47</v>
      </c>
      <c r="F1451">
        <f>VLOOKUP(ORDERS[[#This Row],[ProductID]],Products[],4,FALSE)</f>
        <v>28</v>
      </c>
      <c r="G1451">
        <v>0</v>
      </c>
      <c r="H1451">
        <f>(ORDERS[[#This Row],[UnitsOrdered]]*ORDERS[[#This Row],[unit price]])-(ORDERS[[#This Row],[UnitsOrdered]]*ORDERS[[#This Row],[unit price]]*ORDERS[[#This Row],[Discount]])</f>
        <v>1316</v>
      </c>
      <c r="I1451" t="str">
        <f>VLOOKUP(ORDERS[[#This Row],[CustomerID]],customers[],2,FALSE)</f>
        <v>The Shirt on Your Back</v>
      </c>
      <c r="J1451" s="2" t="str">
        <f>VLOOKUP(ORDERS[[#This Row],[CustomerID]],customers[],4,FALSE)</f>
        <v>Bonners Ferry</v>
      </c>
      <c r="K1451" s="2" t="str">
        <f>VLOOKUP(ORDERS[[#This Row],[ProductID]],Products[],3,FALSE)</f>
        <v>Female</v>
      </c>
      <c r="L1451" s="2">
        <f>DAY(ORDERS[[#This Row],[OrderDate]])</f>
        <v>12</v>
      </c>
      <c r="M1451" s="2">
        <f>YEAR(ORDERS[[#This Row],[OrderDate]])</f>
        <v>2015</v>
      </c>
    </row>
    <row r="1452" spans="1:13" x14ac:dyDescent="0.3">
      <c r="A1452">
        <v>1451</v>
      </c>
      <c r="B1452">
        <v>3</v>
      </c>
      <c r="C1452">
        <v>2</v>
      </c>
      <c r="D1452" s="1">
        <v>42048</v>
      </c>
      <c r="E1452">
        <v>60</v>
      </c>
      <c r="F1452">
        <f>VLOOKUP(ORDERS[[#This Row],[ProductID]],Products[],4,FALSE)</f>
        <v>30</v>
      </c>
      <c r="G1452">
        <v>0</v>
      </c>
      <c r="H1452">
        <f>(ORDERS[[#This Row],[UnitsOrdered]]*ORDERS[[#This Row],[unit price]])-(ORDERS[[#This Row],[UnitsOrdered]]*ORDERS[[#This Row],[unit price]]*ORDERS[[#This Row],[Discount]])</f>
        <v>1800</v>
      </c>
      <c r="I1452" t="str">
        <f>VLOOKUP(ORDERS[[#This Row],[CustomerID]],customers[],2,FALSE)</f>
        <v>Shirts R Us</v>
      </c>
      <c r="J1452" s="2" t="str">
        <f>VLOOKUP(ORDERS[[#This Row],[CustomerID]],customers[],4,FALSE)</f>
        <v>Los Angeles</v>
      </c>
      <c r="K1452" s="2" t="str">
        <f>VLOOKUP(ORDERS[[#This Row],[ProductID]],Products[],3,FALSE)</f>
        <v>Both</v>
      </c>
      <c r="L1452" s="2">
        <f>DAY(ORDERS[[#This Row],[OrderDate]])</f>
        <v>13</v>
      </c>
      <c r="M1452" s="2">
        <f>YEAR(ORDERS[[#This Row],[OrderDate]])</f>
        <v>2015</v>
      </c>
    </row>
    <row r="1453" spans="1:13" x14ac:dyDescent="0.3">
      <c r="A1453">
        <v>1452</v>
      </c>
      <c r="B1453">
        <v>2</v>
      </c>
      <c r="C1453">
        <v>10</v>
      </c>
      <c r="D1453" s="1">
        <v>42049</v>
      </c>
      <c r="E1453">
        <v>148</v>
      </c>
      <c r="F1453">
        <f>VLOOKUP(ORDERS[[#This Row],[ProductID]],Products[],4,FALSE)</f>
        <v>35</v>
      </c>
      <c r="G1453">
        <v>0.10000000100000001</v>
      </c>
      <c r="H1453">
        <f>(ORDERS[[#This Row],[UnitsOrdered]]*ORDERS[[#This Row],[unit price]])-(ORDERS[[#This Row],[UnitsOrdered]]*ORDERS[[#This Row],[unit price]]*ORDERS[[#This Row],[Discount]])</f>
        <v>4661.9999948200002</v>
      </c>
      <c r="I1453" t="str">
        <f>VLOOKUP(ORDERS[[#This Row],[CustomerID]],customers[],2,FALSE)</f>
        <v>A Shirts Life</v>
      </c>
      <c r="J1453" s="2" t="str">
        <f>VLOOKUP(ORDERS[[#This Row],[CustomerID]],customers[],4,FALSE)</f>
        <v>Portland</v>
      </c>
      <c r="K1453" s="2" t="str">
        <f>VLOOKUP(ORDERS[[#This Row],[ProductID]],Products[],3,FALSE)</f>
        <v>Male</v>
      </c>
      <c r="L1453" s="2">
        <f>DAY(ORDERS[[#This Row],[OrderDate]])</f>
        <v>14</v>
      </c>
      <c r="M1453" s="2">
        <f>YEAR(ORDERS[[#This Row],[OrderDate]])</f>
        <v>2015</v>
      </c>
    </row>
    <row r="1454" spans="1:13" x14ac:dyDescent="0.3">
      <c r="A1454">
        <v>1453</v>
      </c>
      <c r="B1454">
        <v>5</v>
      </c>
      <c r="C1454">
        <v>9</v>
      </c>
      <c r="D1454" s="1">
        <v>42049</v>
      </c>
      <c r="E1454">
        <v>131</v>
      </c>
      <c r="F1454">
        <f>VLOOKUP(ORDERS[[#This Row],[ProductID]],Products[],4,FALSE)</f>
        <v>25</v>
      </c>
      <c r="G1454">
        <v>0</v>
      </c>
      <c r="H1454">
        <f>(ORDERS[[#This Row],[UnitsOrdered]]*ORDERS[[#This Row],[unit price]])-(ORDERS[[#This Row],[UnitsOrdered]]*ORDERS[[#This Row],[unit price]]*ORDERS[[#This Row],[Discount]])</f>
        <v>3275</v>
      </c>
      <c r="I1454" t="str">
        <f>VLOOKUP(ORDERS[[#This Row],[CustomerID]],customers[],2,FALSE)</f>
        <v>Rags to Riches</v>
      </c>
      <c r="J1454" s="2" t="str">
        <f>VLOOKUP(ORDERS[[#This Row],[CustomerID]],customers[],4,FALSE)</f>
        <v>Las Vegas</v>
      </c>
      <c r="K1454" s="2" t="str">
        <f>VLOOKUP(ORDERS[[#This Row],[ProductID]],Products[],3,FALSE)</f>
        <v>Male</v>
      </c>
      <c r="L1454" s="2">
        <f>DAY(ORDERS[[#This Row],[OrderDate]])</f>
        <v>14</v>
      </c>
      <c r="M1454" s="2">
        <f>YEAR(ORDERS[[#This Row],[OrderDate]])</f>
        <v>2015</v>
      </c>
    </row>
    <row r="1455" spans="1:13" x14ac:dyDescent="0.3">
      <c r="A1455">
        <v>1454</v>
      </c>
      <c r="B1455">
        <v>3</v>
      </c>
      <c r="C1455">
        <v>3</v>
      </c>
      <c r="D1455" s="1">
        <v>42050</v>
      </c>
      <c r="E1455">
        <v>148</v>
      </c>
      <c r="F1455">
        <f>VLOOKUP(ORDERS[[#This Row],[ProductID]],Products[],4,FALSE)</f>
        <v>22</v>
      </c>
      <c r="G1455">
        <v>5.0000001000000002E-2</v>
      </c>
      <c r="H1455">
        <f>(ORDERS[[#This Row],[UnitsOrdered]]*ORDERS[[#This Row],[unit price]])-(ORDERS[[#This Row],[UnitsOrdered]]*ORDERS[[#This Row],[unit price]]*ORDERS[[#This Row],[Discount]])</f>
        <v>3093.1999967440001</v>
      </c>
      <c r="I1455" t="str">
        <f>VLOOKUP(ORDERS[[#This Row],[CustomerID]],customers[],2,FALSE)</f>
        <v>Shirts R Us</v>
      </c>
      <c r="J1455" s="2" t="str">
        <f>VLOOKUP(ORDERS[[#This Row],[CustomerID]],customers[],4,FALSE)</f>
        <v>Los Angeles</v>
      </c>
      <c r="K1455" s="2" t="str">
        <f>VLOOKUP(ORDERS[[#This Row],[ProductID]],Products[],3,FALSE)</f>
        <v>Both</v>
      </c>
      <c r="L1455" s="2">
        <f>DAY(ORDERS[[#This Row],[OrderDate]])</f>
        <v>15</v>
      </c>
      <c r="M1455" s="2">
        <f>YEAR(ORDERS[[#This Row],[OrderDate]])</f>
        <v>2015</v>
      </c>
    </row>
    <row r="1456" spans="1:13" x14ac:dyDescent="0.3">
      <c r="A1456">
        <v>1455</v>
      </c>
      <c r="B1456">
        <v>5</v>
      </c>
      <c r="C1456">
        <v>10</v>
      </c>
      <c r="D1456" s="1">
        <v>42050</v>
      </c>
      <c r="E1456">
        <v>66</v>
      </c>
      <c r="F1456">
        <f>VLOOKUP(ORDERS[[#This Row],[ProductID]],Products[],4,FALSE)</f>
        <v>35</v>
      </c>
      <c r="G1456">
        <v>0.10000000100000001</v>
      </c>
      <c r="H1456">
        <f>(ORDERS[[#This Row],[UnitsOrdered]]*ORDERS[[#This Row],[unit price]])-(ORDERS[[#This Row],[UnitsOrdered]]*ORDERS[[#This Row],[unit price]]*ORDERS[[#This Row],[Discount]])</f>
        <v>2078.9999976899999</v>
      </c>
      <c r="I1456" t="str">
        <f>VLOOKUP(ORDERS[[#This Row],[CustomerID]],customers[],2,FALSE)</f>
        <v>Rags to Riches</v>
      </c>
      <c r="J1456" s="2" t="str">
        <f>VLOOKUP(ORDERS[[#This Row],[CustomerID]],customers[],4,FALSE)</f>
        <v>Las Vegas</v>
      </c>
      <c r="K1456" s="2" t="str">
        <f>VLOOKUP(ORDERS[[#This Row],[ProductID]],Products[],3,FALSE)</f>
        <v>Male</v>
      </c>
      <c r="L1456" s="2">
        <f>DAY(ORDERS[[#This Row],[OrderDate]])</f>
        <v>15</v>
      </c>
      <c r="M1456" s="2">
        <f>YEAR(ORDERS[[#This Row],[OrderDate]])</f>
        <v>2015</v>
      </c>
    </row>
    <row r="1457" spans="1:13" x14ac:dyDescent="0.3">
      <c r="A1457">
        <v>1456</v>
      </c>
      <c r="B1457">
        <v>1</v>
      </c>
      <c r="C1457">
        <v>10</v>
      </c>
      <c r="D1457" s="1">
        <v>42051</v>
      </c>
      <c r="E1457">
        <v>81</v>
      </c>
      <c r="F1457">
        <f>VLOOKUP(ORDERS[[#This Row],[ProductID]],Products[],4,FALSE)</f>
        <v>35</v>
      </c>
      <c r="G1457">
        <v>0.15000000599999999</v>
      </c>
      <c r="H1457">
        <f>(ORDERS[[#This Row],[UnitsOrdered]]*ORDERS[[#This Row],[unit price]])-(ORDERS[[#This Row],[UnitsOrdered]]*ORDERS[[#This Row],[unit price]]*ORDERS[[#This Row],[Discount]])</f>
        <v>2409.7499829899998</v>
      </c>
      <c r="I1457" t="str">
        <f>VLOOKUP(ORDERS[[#This Row],[CustomerID]],customers[],2,FALSE)</f>
        <v>Threads</v>
      </c>
      <c r="J1457" s="2" t="str">
        <f>VLOOKUP(ORDERS[[#This Row],[CustomerID]],customers[],4,FALSE)</f>
        <v>Seattle</v>
      </c>
      <c r="K1457" s="2" t="str">
        <f>VLOOKUP(ORDERS[[#This Row],[ProductID]],Products[],3,FALSE)</f>
        <v>Male</v>
      </c>
      <c r="L1457" s="2">
        <f>DAY(ORDERS[[#This Row],[OrderDate]])</f>
        <v>16</v>
      </c>
      <c r="M1457" s="2">
        <f>YEAR(ORDERS[[#This Row],[OrderDate]])</f>
        <v>2015</v>
      </c>
    </row>
    <row r="1458" spans="1:13" x14ac:dyDescent="0.3">
      <c r="A1458">
        <v>1457</v>
      </c>
      <c r="B1458">
        <v>1</v>
      </c>
      <c r="C1458">
        <v>2</v>
      </c>
      <c r="D1458" s="1">
        <v>42052</v>
      </c>
      <c r="E1458">
        <v>92</v>
      </c>
      <c r="F1458">
        <f>VLOOKUP(ORDERS[[#This Row],[ProductID]],Products[],4,FALSE)</f>
        <v>30</v>
      </c>
      <c r="G1458">
        <v>0</v>
      </c>
      <c r="H1458">
        <f>(ORDERS[[#This Row],[UnitsOrdered]]*ORDERS[[#This Row],[unit price]])-(ORDERS[[#This Row],[UnitsOrdered]]*ORDERS[[#This Row],[unit price]]*ORDERS[[#This Row],[Discount]])</f>
        <v>2760</v>
      </c>
      <c r="I1458" t="str">
        <f>VLOOKUP(ORDERS[[#This Row],[CustomerID]],customers[],2,FALSE)</f>
        <v>Threads</v>
      </c>
      <c r="J1458" s="2" t="str">
        <f>VLOOKUP(ORDERS[[#This Row],[CustomerID]],customers[],4,FALSE)</f>
        <v>Seattle</v>
      </c>
      <c r="K1458" s="2" t="str">
        <f>VLOOKUP(ORDERS[[#This Row],[ProductID]],Products[],3,FALSE)</f>
        <v>Both</v>
      </c>
      <c r="L1458" s="2">
        <f>DAY(ORDERS[[#This Row],[OrderDate]])</f>
        <v>17</v>
      </c>
      <c r="M1458" s="2">
        <f>YEAR(ORDERS[[#This Row],[OrderDate]])</f>
        <v>2015</v>
      </c>
    </row>
    <row r="1459" spans="1:13" x14ac:dyDescent="0.3">
      <c r="A1459">
        <v>1458</v>
      </c>
      <c r="B1459">
        <v>5</v>
      </c>
      <c r="C1459">
        <v>7</v>
      </c>
      <c r="D1459" s="1">
        <v>42052</v>
      </c>
      <c r="E1459">
        <v>41</v>
      </c>
      <c r="F1459">
        <f>VLOOKUP(ORDERS[[#This Row],[ProductID]],Products[],4,FALSE)</f>
        <v>38</v>
      </c>
      <c r="G1459">
        <v>0</v>
      </c>
      <c r="H1459">
        <f>(ORDERS[[#This Row],[UnitsOrdered]]*ORDERS[[#This Row],[unit price]])-(ORDERS[[#This Row],[UnitsOrdered]]*ORDERS[[#This Row],[unit price]]*ORDERS[[#This Row],[Discount]])</f>
        <v>1558</v>
      </c>
      <c r="I1459" t="str">
        <f>VLOOKUP(ORDERS[[#This Row],[CustomerID]],customers[],2,FALSE)</f>
        <v>Rags to Riches</v>
      </c>
      <c r="J1459" s="2" t="str">
        <f>VLOOKUP(ORDERS[[#This Row],[CustomerID]],customers[],4,FALSE)</f>
        <v>Las Vegas</v>
      </c>
      <c r="K1459" s="2" t="str">
        <f>VLOOKUP(ORDERS[[#This Row],[ProductID]],Products[],3,FALSE)</f>
        <v>Female</v>
      </c>
      <c r="L1459" s="2">
        <f>DAY(ORDERS[[#This Row],[OrderDate]])</f>
        <v>17</v>
      </c>
      <c r="M1459" s="2">
        <f>YEAR(ORDERS[[#This Row],[OrderDate]])</f>
        <v>2015</v>
      </c>
    </row>
    <row r="1460" spans="1:13" x14ac:dyDescent="0.3">
      <c r="A1460">
        <v>1459</v>
      </c>
      <c r="B1460">
        <v>3</v>
      </c>
      <c r="C1460">
        <v>6</v>
      </c>
      <c r="D1460" s="1">
        <v>42053</v>
      </c>
      <c r="E1460">
        <v>142</v>
      </c>
      <c r="F1460">
        <f>VLOOKUP(ORDERS[[#This Row],[ProductID]],Products[],4,FALSE)</f>
        <v>28</v>
      </c>
      <c r="G1460">
        <v>0</v>
      </c>
      <c r="H1460">
        <f>(ORDERS[[#This Row],[UnitsOrdered]]*ORDERS[[#This Row],[unit price]])-(ORDERS[[#This Row],[UnitsOrdered]]*ORDERS[[#This Row],[unit price]]*ORDERS[[#This Row],[Discount]])</f>
        <v>3976</v>
      </c>
      <c r="I1460" t="str">
        <f>VLOOKUP(ORDERS[[#This Row],[CustomerID]],customers[],2,FALSE)</f>
        <v>Shirts R Us</v>
      </c>
      <c r="J1460" s="2" t="str">
        <f>VLOOKUP(ORDERS[[#This Row],[CustomerID]],customers[],4,FALSE)</f>
        <v>Los Angeles</v>
      </c>
      <c r="K1460" s="2" t="str">
        <f>VLOOKUP(ORDERS[[#This Row],[ProductID]],Products[],3,FALSE)</f>
        <v>Female</v>
      </c>
      <c r="L1460" s="2">
        <f>DAY(ORDERS[[#This Row],[OrderDate]])</f>
        <v>18</v>
      </c>
      <c r="M1460" s="2">
        <f>YEAR(ORDERS[[#This Row],[OrderDate]])</f>
        <v>2015</v>
      </c>
    </row>
    <row r="1461" spans="1:13" x14ac:dyDescent="0.3">
      <c r="A1461">
        <v>1460</v>
      </c>
      <c r="B1461">
        <v>5</v>
      </c>
      <c r="C1461">
        <v>2</v>
      </c>
      <c r="D1461" s="1">
        <v>42054</v>
      </c>
      <c r="E1461">
        <v>82</v>
      </c>
      <c r="F1461">
        <f>VLOOKUP(ORDERS[[#This Row],[ProductID]],Products[],4,FALSE)</f>
        <v>30</v>
      </c>
      <c r="G1461">
        <v>0</v>
      </c>
      <c r="H1461">
        <f>(ORDERS[[#This Row],[UnitsOrdered]]*ORDERS[[#This Row],[unit price]])-(ORDERS[[#This Row],[UnitsOrdered]]*ORDERS[[#This Row],[unit price]]*ORDERS[[#This Row],[Discount]])</f>
        <v>2460</v>
      </c>
      <c r="I1461" t="str">
        <f>VLOOKUP(ORDERS[[#This Row],[CustomerID]],customers[],2,FALSE)</f>
        <v>Rags to Riches</v>
      </c>
      <c r="J1461" s="2" t="str">
        <f>VLOOKUP(ORDERS[[#This Row],[CustomerID]],customers[],4,FALSE)</f>
        <v>Las Vegas</v>
      </c>
      <c r="K1461" s="2" t="str">
        <f>VLOOKUP(ORDERS[[#This Row],[ProductID]],Products[],3,FALSE)</f>
        <v>Both</v>
      </c>
      <c r="L1461" s="2">
        <f>DAY(ORDERS[[#This Row],[OrderDate]])</f>
        <v>19</v>
      </c>
      <c r="M1461" s="2">
        <f>YEAR(ORDERS[[#This Row],[OrderDate]])</f>
        <v>2015</v>
      </c>
    </row>
    <row r="1462" spans="1:13" x14ac:dyDescent="0.3">
      <c r="A1462">
        <v>1461</v>
      </c>
      <c r="B1462">
        <v>5</v>
      </c>
      <c r="C1462">
        <v>7</v>
      </c>
      <c r="D1462" s="1">
        <v>42055</v>
      </c>
      <c r="E1462">
        <v>40</v>
      </c>
      <c r="F1462">
        <f>VLOOKUP(ORDERS[[#This Row],[ProductID]],Products[],4,FALSE)</f>
        <v>38</v>
      </c>
      <c r="G1462">
        <v>0</v>
      </c>
      <c r="H1462">
        <f>(ORDERS[[#This Row],[UnitsOrdered]]*ORDERS[[#This Row],[unit price]])-(ORDERS[[#This Row],[UnitsOrdered]]*ORDERS[[#This Row],[unit price]]*ORDERS[[#This Row],[Discount]])</f>
        <v>1520</v>
      </c>
      <c r="I1462" t="str">
        <f>VLOOKUP(ORDERS[[#This Row],[CustomerID]],customers[],2,FALSE)</f>
        <v>Rags to Riches</v>
      </c>
      <c r="J1462" s="2" t="str">
        <f>VLOOKUP(ORDERS[[#This Row],[CustomerID]],customers[],4,FALSE)</f>
        <v>Las Vegas</v>
      </c>
      <c r="K1462" s="2" t="str">
        <f>VLOOKUP(ORDERS[[#This Row],[ProductID]],Products[],3,FALSE)</f>
        <v>Female</v>
      </c>
      <c r="L1462" s="2">
        <f>DAY(ORDERS[[#This Row],[OrderDate]])</f>
        <v>20</v>
      </c>
      <c r="M1462" s="2">
        <f>YEAR(ORDERS[[#This Row],[OrderDate]])</f>
        <v>2015</v>
      </c>
    </row>
    <row r="1463" spans="1:13" x14ac:dyDescent="0.3">
      <c r="A1463">
        <v>1462</v>
      </c>
      <c r="B1463">
        <v>7</v>
      </c>
      <c r="C1463">
        <v>5</v>
      </c>
      <c r="D1463" s="1">
        <v>42055</v>
      </c>
      <c r="E1463">
        <v>94</v>
      </c>
      <c r="F1463">
        <f>VLOOKUP(ORDERS[[#This Row],[ProductID]],Products[],4,FALSE)</f>
        <v>16</v>
      </c>
      <c r="G1463">
        <v>0</v>
      </c>
      <c r="H1463">
        <f>(ORDERS[[#This Row],[UnitsOrdered]]*ORDERS[[#This Row],[unit price]])-(ORDERS[[#This Row],[UnitsOrdered]]*ORDERS[[#This Row],[unit price]]*ORDERS[[#This Row],[Discount]])</f>
        <v>1504</v>
      </c>
      <c r="I1463" t="str">
        <f>VLOOKUP(ORDERS[[#This Row],[CustomerID]],customers[],2,FALSE)</f>
        <v>The Shirt on Your Back</v>
      </c>
      <c r="J1463" s="2" t="str">
        <f>VLOOKUP(ORDERS[[#This Row],[CustomerID]],customers[],4,FALSE)</f>
        <v>Bonners Ferry</v>
      </c>
      <c r="K1463" s="2" t="str">
        <f>VLOOKUP(ORDERS[[#This Row],[ProductID]],Products[],3,FALSE)</f>
        <v>Female</v>
      </c>
      <c r="L1463" s="2">
        <f>DAY(ORDERS[[#This Row],[OrderDate]])</f>
        <v>20</v>
      </c>
      <c r="M1463" s="2">
        <f>YEAR(ORDERS[[#This Row],[OrderDate]])</f>
        <v>2015</v>
      </c>
    </row>
    <row r="1464" spans="1:13" x14ac:dyDescent="0.3">
      <c r="A1464">
        <v>1463</v>
      </c>
      <c r="B1464">
        <v>4</v>
      </c>
      <c r="C1464">
        <v>8</v>
      </c>
      <c r="D1464" s="1">
        <v>42058</v>
      </c>
      <c r="E1464">
        <v>144</v>
      </c>
      <c r="F1464">
        <f>VLOOKUP(ORDERS[[#This Row],[ProductID]],Products[],4,FALSE)</f>
        <v>27</v>
      </c>
      <c r="G1464">
        <v>5.0000001000000002E-2</v>
      </c>
      <c r="H1464">
        <f>(ORDERS[[#This Row],[UnitsOrdered]]*ORDERS[[#This Row],[unit price]])-(ORDERS[[#This Row],[UnitsOrdered]]*ORDERS[[#This Row],[unit price]]*ORDERS[[#This Row],[Discount]])</f>
        <v>3693.5999961120001</v>
      </c>
      <c r="I1464" t="str">
        <f>VLOOKUP(ORDERS[[#This Row],[CustomerID]],customers[],2,FALSE)</f>
        <v>Tshirt Unlimited</v>
      </c>
      <c r="J1464" s="2" t="str">
        <f>VLOOKUP(ORDERS[[#This Row],[CustomerID]],customers[],4,FALSE)</f>
        <v>Phoenix</v>
      </c>
      <c r="K1464" s="2" t="str">
        <f>VLOOKUP(ORDERS[[#This Row],[ProductID]],Products[],3,FALSE)</f>
        <v>Female</v>
      </c>
      <c r="L1464" s="2">
        <f>DAY(ORDERS[[#This Row],[OrderDate]])</f>
        <v>23</v>
      </c>
      <c r="M1464" s="2">
        <f>YEAR(ORDERS[[#This Row],[OrderDate]])</f>
        <v>2015</v>
      </c>
    </row>
    <row r="1465" spans="1:13" x14ac:dyDescent="0.3">
      <c r="A1465">
        <v>1464</v>
      </c>
      <c r="B1465">
        <v>5</v>
      </c>
      <c r="C1465">
        <v>8</v>
      </c>
      <c r="D1465" s="1">
        <v>42058</v>
      </c>
      <c r="E1465">
        <v>66</v>
      </c>
      <c r="F1465">
        <f>VLOOKUP(ORDERS[[#This Row],[ProductID]],Products[],4,FALSE)</f>
        <v>27</v>
      </c>
      <c r="G1465">
        <v>0.10000000100000001</v>
      </c>
      <c r="H1465">
        <f>(ORDERS[[#This Row],[UnitsOrdered]]*ORDERS[[#This Row],[unit price]])-(ORDERS[[#This Row],[UnitsOrdered]]*ORDERS[[#This Row],[unit price]]*ORDERS[[#This Row],[Discount]])</f>
        <v>1603.7999982179999</v>
      </c>
      <c r="I1465" t="str">
        <f>VLOOKUP(ORDERS[[#This Row],[CustomerID]],customers[],2,FALSE)</f>
        <v>Rags to Riches</v>
      </c>
      <c r="J1465" s="2" t="str">
        <f>VLOOKUP(ORDERS[[#This Row],[CustomerID]],customers[],4,FALSE)</f>
        <v>Las Vegas</v>
      </c>
      <c r="K1465" s="2" t="str">
        <f>VLOOKUP(ORDERS[[#This Row],[ProductID]],Products[],3,FALSE)</f>
        <v>Female</v>
      </c>
      <c r="L1465" s="2">
        <f>DAY(ORDERS[[#This Row],[OrderDate]])</f>
        <v>23</v>
      </c>
      <c r="M1465" s="2">
        <f>YEAR(ORDERS[[#This Row],[OrderDate]])</f>
        <v>2015</v>
      </c>
    </row>
    <row r="1466" spans="1:13" x14ac:dyDescent="0.3">
      <c r="A1466">
        <v>1465</v>
      </c>
      <c r="B1466">
        <v>6</v>
      </c>
      <c r="C1466">
        <v>3</v>
      </c>
      <c r="D1466" s="1">
        <v>42058</v>
      </c>
      <c r="E1466">
        <v>76</v>
      </c>
      <c r="F1466">
        <f>VLOOKUP(ORDERS[[#This Row],[ProductID]],Products[],4,FALSE)</f>
        <v>22</v>
      </c>
      <c r="G1466">
        <v>5.0000001000000002E-2</v>
      </c>
      <c r="H1466">
        <f>(ORDERS[[#This Row],[UnitsOrdered]]*ORDERS[[#This Row],[unit price]])-(ORDERS[[#This Row],[UnitsOrdered]]*ORDERS[[#This Row],[unit price]]*ORDERS[[#This Row],[Discount]])</f>
        <v>1588.399998328</v>
      </c>
      <c r="I1466" t="str">
        <f>VLOOKUP(ORDERS[[#This Row],[CustomerID]],customers[],2,FALSE)</f>
        <v>Abracadaba Ink</v>
      </c>
      <c r="J1466" s="2" t="str">
        <f>VLOOKUP(ORDERS[[#This Row],[CustomerID]],customers[],4,FALSE)</f>
        <v>Salt Lake City</v>
      </c>
      <c r="K1466" s="2" t="str">
        <f>VLOOKUP(ORDERS[[#This Row],[ProductID]],Products[],3,FALSE)</f>
        <v>Both</v>
      </c>
      <c r="L1466" s="2">
        <f>DAY(ORDERS[[#This Row],[OrderDate]])</f>
        <v>23</v>
      </c>
      <c r="M1466" s="2">
        <f>YEAR(ORDERS[[#This Row],[OrderDate]])</f>
        <v>2015</v>
      </c>
    </row>
    <row r="1467" spans="1:13" x14ac:dyDescent="0.3">
      <c r="A1467">
        <v>1466</v>
      </c>
      <c r="B1467">
        <v>6</v>
      </c>
      <c r="C1467">
        <v>10</v>
      </c>
      <c r="D1467" s="1">
        <v>42059</v>
      </c>
      <c r="E1467">
        <v>137</v>
      </c>
      <c r="F1467">
        <f>VLOOKUP(ORDERS[[#This Row],[ProductID]],Products[],4,FALSE)</f>
        <v>35</v>
      </c>
      <c r="G1467">
        <v>0</v>
      </c>
      <c r="H1467">
        <f>(ORDERS[[#This Row],[UnitsOrdered]]*ORDERS[[#This Row],[unit price]])-(ORDERS[[#This Row],[UnitsOrdered]]*ORDERS[[#This Row],[unit price]]*ORDERS[[#This Row],[Discount]])</f>
        <v>4795</v>
      </c>
      <c r="I1467" t="str">
        <f>VLOOKUP(ORDERS[[#This Row],[CustomerID]],customers[],2,FALSE)</f>
        <v>Abracadaba Ink</v>
      </c>
      <c r="J1467" s="2" t="str">
        <f>VLOOKUP(ORDERS[[#This Row],[CustomerID]],customers[],4,FALSE)</f>
        <v>Salt Lake City</v>
      </c>
      <c r="K1467" s="2" t="str">
        <f>VLOOKUP(ORDERS[[#This Row],[ProductID]],Products[],3,FALSE)</f>
        <v>Male</v>
      </c>
      <c r="L1467" s="2">
        <f>DAY(ORDERS[[#This Row],[OrderDate]])</f>
        <v>24</v>
      </c>
      <c r="M1467" s="2">
        <f>YEAR(ORDERS[[#This Row],[OrderDate]])</f>
        <v>2015</v>
      </c>
    </row>
    <row r="1468" spans="1:13" x14ac:dyDescent="0.3">
      <c r="A1468">
        <v>1467</v>
      </c>
      <c r="B1468">
        <v>3</v>
      </c>
      <c r="C1468">
        <v>10</v>
      </c>
      <c r="D1468" s="1">
        <v>42060</v>
      </c>
      <c r="E1468">
        <v>65</v>
      </c>
      <c r="F1468">
        <f>VLOOKUP(ORDERS[[#This Row],[ProductID]],Products[],4,FALSE)</f>
        <v>35</v>
      </c>
      <c r="G1468">
        <v>0</v>
      </c>
      <c r="H1468">
        <f>(ORDERS[[#This Row],[UnitsOrdered]]*ORDERS[[#This Row],[unit price]])-(ORDERS[[#This Row],[UnitsOrdered]]*ORDERS[[#This Row],[unit price]]*ORDERS[[#This Row],[Discount]])</f>
        <v>2275</v>
      </c>
      <c r="I1468" t="str">
        <f>VLOOKUP(ORDERS[[#This Row],[CustomerID]],customers[],2,FALSE)</f>
        <v>Shirts R Us</v>
      </c>
      <c r="J1468" s="2" t="str">
        <f>VLOOKUP(ORDERS[[#This Row],[CustomerID]],customers[],4,FALSE)</f>
        <v>Los Angeles</v>
      </c>
      <c r="K1468" s="2" t="str">
        <f>VLOOKUP(ORDERS[[#This Row],[ProductID]],Products[],3,FALSE)</f>
        <v>Male</v>
      </c>
      <c r="L1468" s="2">
        <f>DAY(ORDERS[[#This Row],[OrderDate]])</f>
        <v>25</v>
      </c>
      <c r="M1468" s="2">
        <f>YEAR(ORDERS[[#This Row],[OrderDate]])</f>
        <v>2015</v>
      </c>
    </row>
    <row r="1469" spans="1:13" x14ac:dyDescent="0.3">
      <c r="A1469">
        <v>1468</v>
      </c>
      <c r="B1469">
        <v>5</v>
      </c>
      <c r="C1469">
        <v>4</v>
      </c>
      <c r="D1469" s="1">
        <v>42062</v>
      </c>
      <c r="E1469">
        <v>129</v>
      </c>
      <c r="F1469">
        <f>VLOOKUP(ORDERS[[#This Row],[ProductID]],Products[],4,FALSE)</f>
        <v>30</v>
      </c>
      <c r="G1469">
        <v>0</v>
      </c>
      <c r="H1469">
        <f>(ORDERS[[#This Row],[UnitsOrdered]]*ORDERS[[#This Row],[unit price]])-(ORDERS[[#This Row],[UnitsOrdered]]*ORDERS[[#This Row],[unit price]]*ORDERS[[#This Row],[Discount]])</f>
        <v>3870</v>
      </c>
      <c r="I1469" t="str">
        <f>VLOOKUP(ORDERS[[#This Row],[CustomerID]],customers[],2,FALSE)</f>
        <v>Rags to Riches</v>
      </c>
      <c r="J1469" s="2" t="str">
        <f>VLOOKUP(ORDERS[[#This Row],[CustomerID]],customers[],4,FALSE)</f>
        <v>Las Vegas</v>
      </c>
      <c r="K1469" s="2" t="str">
        <f>VLOOKUP(ORDERS[[#This Row],[ProductID]],Products[],3,FALSE)</f>
        <v>Both</v>
      </c>
      <c r="L1469" s="2">
        <f>DAY(ORDERS[[#This Row],[OrderDate]])</f>
        <v>27</v>
      </c>
      <c r="M1469" s="2">
        <f>YEAR(ORDERS[[#This Row],[OrderDate]])</f>
        <v>2015</v>
      </c>
    </row>
    <row r="1470" spans="1:13" x14ac:dyDescent="0.3">
      <c r="A1470">
        <v>1469</v>
      </c>
      <c r="B1470">
        <v>6</v>
      </c>
      <c r="C1470">
        <v>2</v>
      </c>
      <c r="D1470" s="1">
        <v>42063</v>
      </c>
      <c r="E1470">
        <v>149</v>
      </c>
      <c r="F1470">
        <f>VLOOKUP(ORDERS[[#This Row],[ProductID]],Products[],4,FALSE)</f>
        <v>30</v>
      </c>
      <c r="G1470">
        <v>0</v>
      </c>
      <c r="H1470">
        <f>(ORDERS[[#This Row],[UnitsOrdered]]*ORDERS[[#This Row],[unit price]])-(ORDERS[[#This Row],[UnitsOrdered]]*ORDERS[[#This Row],[unit price]]*ORDERS[[#This Row],[Discount]])</f>
        <v>4470</v>
      </c>
      <c r="I1470" t="str">
        <f>VLOOKUP(ORDERS[[#This Row],[CustomerID]],customers[],2,FALSE)</f>
        <v>Abracadaba Ink</v>
      </c>
      <c r="J1470" s="2" t="str">
        <f>VLOOKUP(ORDERS[[#This Row],[CustomerID]],customers[],4,FALSE)</f>
        <v>Salt Lake City</v>
      </c>
      <c r="K1470" s="2" t="str">
        <f>VLOOKUP(ORDERS[[#This Row],[ProductID]],Products[],3,FALSE)</f>
        <v>Both</v>
      </c>
      <c r="L1470" s="2">
        <f>DAY(ORDERS[[#This Row],[OrderDate]])</f>
        <v>28</v>
      </c>
      <c r="M1470" s="2">
        <f>YEAR(ORDERS[[#This Row],[OrderDate]])</f>
        <v>2015</v>
      </c>
    </row>
    <row r="1471" spans="1:13" x14ac:dyDescent="0.3">
      <c r="A1471">
        <v>1470</v>
      </c>
      <c r="B1471">
        <v>1</v>
      </c>
      <c r="C1471">
        <v>9</v>
      </c>
      <c r="D1471" s="1">
        <v>42065</v>
      </c>
      <c r="E1471">
        <v>76</v>
      </c>
      <c r="F1471">
        <f>VLOOKUP(ORDERS[[#This Row],[ProductID]],Products[],4,FALSE)</f>
        <v>25</v>
      </c>
      <c r="G1471">
        <v>0</v>
      </c>
      <c r="H1471">
        <f>(ORDERS[[#This Row],[UnitsOrdered]]*ORDERS[[#This Row],[unit price]])-(ORDERS[[#This Row],[UnitsOrdered]]*ORDERS[[#This Row],[unit price]]*ORDERS[[#This Row],[Discount]])</f>
        <v>1900</v>
      </c>
      <c r="I1471" t="str">
        <f>VLOOKUP(ORDERS[[#This Row],[CustomerID]],customers[],2,FALSE)</f>
        <v>Threads</v>
      </c>
      <c r="J1471" s="2" t="str">
        <f>VLOOKUP(ORDERS[[#This Row],[CustomerID]],customers[],4,FALSE)</f>
        <v>Seattle</v>
      </c>
      <c r="K1471" s="2" t="str">
        <f>VLOOKUP(ORDERS[[#This Row],[ProductID]],Products[],3,FALSE)</f>
        <v>Male</v>
      </c>
      <c r="L1471" s="2">
        <f>DAY(ORDERS[[#This Row],[OrderDate]])</f>
        <v>2</v>
      </c>
      <c r="M1471" s="2">
        <f>YEAR(ORDERS[[#This Row],[OrderDate]])</f>
        <v>2015</v>
      </c>
    </row>
    <row r="1472" spans="1:13" x14ac:dyDescent="0.3">
      <c r="A1472">
        <v>1471</v>
      </c>
      <c r="B1472">
        <v>4</v>
      </c>
      <c r="C1472">
        <v>1</v>
      </c>
      <c r="D1472" s="1">
        <v>42065</v>
      </c>
      <c r="E1472">
        <v>71</v>
      </c>
      <c r="F1472">
        <f>VLOOKUP(ORDERS[[#This Row],[ProductID]],Products[],4,FALSE)</f>
        <v>20</v>
      </c>
      <c r="G1472">
        <v>0</v>
      </c>
      <c r="H1472">
        <f>(ORDERS[[#This Row],[UnitsOrdered]]*ORDERS[[#This Row],[unit price]])-(ORDERS[[#This Row],[UnitsOrdered]]*ORDERS[[#This Row],[unit price]]*ORDERS[[#This Row],[Discount]])</f>
        <v>1420</v>
      </c>
      <c r="I1472" t="str">
        <f>VLOOKUP(ORDERS[[#This Row],[CustomerID]],customers[],2,FALSE)</f>
        <v>Tshirt Unlimited</v>
      </c>
      <c r="J1472" s="2" t="str">
        <f>VLOOKUP(ORDERS[[#This Row],[CustomerID]],customers[],4,FALSE)</f>
        <v>Phoenix</v>
      </c>
      <c r="K1472" s="2" t="str">
        <f>VLOOKUP(ORDERS[[#This Row],[ProductID]],Products[],3,FALSE)</f>
        <v>Both</v>
      </c>
      <c r="L1472" s="2">
        <f>DAY(ORDERS[[#This Row],[OrderDate]])</f>
        <v>2</v>
      </c>
      <c r="M1472" s="2">
        <f>YEAR(ORDERS[[#This Row],[OrderDate]])</f>
        <v>2015</v>
      </c>
    </row>
    <row r="1473" spans="1:13" x14ac:dyDescent="0.3">
      <c r="A1473">
        <v>1472</v>
      </c>
      <c r="B1473">
        <v>7</v>
      </c>
      <c r="C1473">
        <v>2</v>
      </c>
      <c r="D1473" s="1">
        <v>42066</v>
      </c>
      <c r="E1473">
        <v>57</v>
      </c>
      <c r="F1473">
        <f>VLOOKUP(ORDERS[[#This Row],[ProductID]],Products[],4,FALSE)</f>
        <v>30</v>
      </c>
      <c r="G1473">
        <v>5.0000001000000002E-2</v>
      </c>
      <c r="H1473">
        <f>(ORDERS[[#This Row],[UnitsOrdered]]*ORDERS[[#This Row],[unit price]])-(ORDERS[[#This Row],[UnitsOrdered]]*ORDERS[[#This Row],[unit price]]*ORDERS[[#This Row],[Discount]])</f>
        <v>1624.4999982899999</v>
      </c>
      <c r="I1473" t="str">
        <f>VLOOKUP(ORDERS[[#This Row],[CustomerID]],customers[],2,FALSE)</f>
        <v>The Shirt on Your Back</v>
      </c>
      <c r="J1473" s="2" t="str">
        <f>VLOOKUP(ORDERS[[#This Row],[CustomerID]],customers[],4,FALSE)</f>
        <v>Bonners Ferry</v>
      </c>
      <c r="K1473" s="2" t="str">
        <f>VLOOKUP(ORDERS[[#This Row],[ProductID]],Products[],3,FALSE)</f>
        <v>Both</v>
      </c>
      <c r="L1473" s="2">
        <f>DAY(ORDERS[[#This Row],[OrderDate]])</f>
        <v>3</v>
      </c>
      <c r="M1473" s="2">
        <f>YEAR(ORDERS[[#This Row],[OrderDate]])</f>
        <v>2015</v>
      </c>
    </row>
    <row r="1474" spans="1:13" x14ac:dyDescent="0.3">
      <c r="A1474">
        <v>1473</v>
      </c>
      <c r="B1474">
        <v>3</v>
      </c>
      <c r="C1474">
        <v>9</v>
      </c>
      <c r="D1474" s="1">
        <v>42067</v>
      </c>
      <c r="E1474">
        <v>103</v>
      </c>
      <c r="F1474">
        <f>VLOOKUP(ORDERS[[#This Row],[ProductID]],Products[],4,FALSE)</f>
        <v>25</v>
      </c>
      <c r="G1474">
        <v>0</v>
      </c>
      <c r="H1474">
        <f>(ORDERS[[#This Row],[UnitsOrdered]]*ORDERS[[#This Row],[unit price]])-(ORDERS[[#This Row],[UnitsOrdered]]*ORDERS[[#This Row],[unit price]]*ORDERS[[#This Row],[Discount]])</f>
        <v>2575</v>
      </c>
      <c r="I1474" t="str">
        <f>VLOOKUP(ORDERS[[#This Row],[CustomerID]],customers[],2,FALSE)</f>
        <v>Shirts R Us</v>
      </c>
      <c r="J1474" s="2" t="str">
        <f>VLOOKUP(ORDERS[[#This Row],[CustomerID]],customers[],4,FALSE)</f>
        <v>Los Angeles</v>
      </c>
      <c r="K1474" s="2" t="str">
        <f>VLOOKUP(ORDERS[[#This Row],[ProductID]],Products[],3,FALSE)</f>
        <v>Male</v>
      </c>
      <c r="L1474" s="2">
        <f>DAY(ORDERS[[#This Row],[OrderDate]])</f>
        <v>4</v>
      </c>
      <c r="M1474" s="2">
        <f>YEAR(ORDERS[[#This Row],[OrderDate]])</f>
        <v>2015</v>
      </c>
    </row>
    <row r="1475" spans="1:13" x14ac:dyDescent="0.3">
      <c r="A1475">
        <v>1474</v>
      </c>
      <c r="B1475">
        <v>4</v>
      </c>
      <c r="C1475">
        <v>1</v>
      </c>
      <c r="D1475" s="1">
        <v>42067</v>
      </c>
      <c r="E1475">
        <v>90</v>
      </c>
      <c r="F1475">
        <f>VLOOKUP(ORDERS[[#This Row],[ProductID]],Products[],4,FALSE)</f>
        <v>20</v>
      </c>
      <c r="G1475">
        <v>0</v>
      </c>
      <c r="H1475">
        <f>(ORDERS[[#This Row],[UnitsOrdered]]*ORDERS[[#This Row],[unit price]])-(ORDERS[[#This Row],[UnitsOrdered]]*ORDERS[[#This Row],[unit price]]*ORDERS[[#This Row],[Discount]])</f>
        <v>1800</v>
      </c>
      <c r="I1475" t="str">
        <f>VLOOKUP(ORDERS[[#This Row],[CustomerID]],customers[],2,FALSE)</f>
        <v>Tshirt Unlimited</v>
      </c>
      <c r="J1475" s="2" t="str">
        <f>VLOOKUP(ORDERS[[#This Row],[CustomerID]],customers[],4,FALSE)</f>
        <v>Phoenix</v>
      </c>
      <c r="K1475" s="2" t="str">
        <f>VLOOKUP(ORDERS[[#This Row],[ProductID]],Products[],3,FALSE)</f>
        <v>Both</v>
      </c>
      <c r="L1475" s="2">
        <f>DAY(ORDERS[[#This Row],[OrderDate]])</f>
        <v>4</v>
      </c>
      <c r="M1475" s="2">
        <f>YEAR(ORDERS[[#This Row],[OrderDate]])</f>
        <v>2015</v>
      </c>
    </row>
    <row r="1476" spans="1:13" x14ac:dyDescent="0.3">
      <c r="A1476">
        <v>1475</v>
      </c>
      <c r="B1476">
        <v>4</v>
      </c>
      <c r="C1476">
        <v>4</v>
      </c>
      <c r="D1476" s="1">
        <v>42068</v>
      </c>
      <c r="E1476">
        <v>70</v>
      </c>
      <c r="F1476">
        <f>VLOOKUP(ORDERS[[#This Row],[ProductID]],Products[],4,FALSE)</f>
        <v>30</v>
      </c>
      <c r="G1476">
        <v>5.0000001000000002E-2</v>
      </c>
      <c r="H1476">
        <f>(ORDERS[[#This Row],[UnitsOrdered]]*ORDERS[[#This Row],[unit price]])-(ORDERS[[#This Row],[UnitsOrdered]]*ORDERS[[#This Row],[unit price]]*ORDERS[[#This Row],[Discount]])</f>
        <v>1994.9999978999999</v>
      </c>
      <c r="I1476" t="str">
        <f>VLOOKUP(ORDERS[[#This Row],[CustomerID]],customers[],2,FALSE)</f>
        <v>Tshirt Unlimited</v>
      </c>
      <c r="J1476" s="2" t="str">
        <f>VLOOKUP(ORDERS[[#This Row],[CustomerID]],customers[],4,FALSE)</f>
        <v>Phoenix</v>
      </c>
      <c r="K1476" s="2" t="str">
        <f>VLOOKUP(ORDERS[[#This Row],[ProductID]],Products[],3,FALSE)</f>
        <v>Both</v>
      </c>
      <c r="L1476" s="2">
        <f>DAY(ORDERS[[#This Row],[OrderDate]])</f>
        <v>5</v>
      </c>
      <c r="M1476" s="2">
        <f>YEAR(ORDERS[[#This Row],[OrderDate]])</f>
        <v>2015</v>
      </c>
    </row>
    <row r="1477" spans="1:13" x14ac:dyDescent="0.3">
      <c r="A1477">
        <v>1476</v>
      </c>
      <c r="B1477">
        <v>4</v>
      </c>
      <c r="C1477">
        <v>5</v>
      </c>
      <c r="D1477" s="1">
        <v>42069</v>
      </c>
      <c r="E1477">
        <v>72</v>
      </c>
      <c r="F1477">
        <f>VLOOKUP(ORDERS[[#This Row],[ProductID]],Products[],4,FALSE)</f>
        <v>16</v>
      </c>
      <c r="G1477">
        <v>0</v>
      </c>
      <c r="H1477">
        <f>(ORDERS[[#This Row],[UnitsOrdered]]*ORDERS[[#This Row],[unit price]])-(ORDERS[[#This Row],[UnitsOrdered]]*ORDERS[[#This Row],[unit price]]*ORDERS[[#This Row],[Discount]])</f>
        <v>1152</v>
      </c>
      <c r="I1477" t="str">
        <f>VLOOKUP(ORDERS[[#This Row],[CustomerID]],customers[],2,FALSE)</f>
        <v>Tshirt Unlimited</v>
      </c>
      <c r="J1477" s="2" t="str">
        <f>VLOOKUP(ORDERS[[#This Row],[CustomerID]],customers[],4,FALSE)</f>
        <v>Phoenix</v>
      </c>
      <c r="K1477" s="2" t="str">
        <f>VLOOKUP(ORDERS[[#This Row],[ProductID]],Products[],3,FALSE)</f>
        <v>Female</v>
      </c>
      <c r="L1477" s="2">
        <f>DAY(ORDERS[[#This Row],[OrderDate]])</f>
        <v>6</v>
      </c>
      <c r="M1477" s="2">
        <f>YEAR(ORDERS[[#This Row],[OrderDate]])</f>
        <v>2015</v>
      </c>
    </row>
    <row r="1478" spans="1:13" x14ac:dyDescent="0.3">
      <c r="A1478">
        <v>1477</v>
      </c>
      <c r="B1478">
        <v>1</v>
      </c>
      <c r="C1478">
        <v>9</v>
      </c>
      <c r="D1478" s="1">
        <v>42074</v>
      </c>
      <c r="E1478">
        <v>67</v>
      </c>
      <c r="F1478">
        <f>VLOOKUP(ORDERS[[#This Row],[ProductID]],Products[],4,FALSE)</f>
        <v>25</v>
      </c>
      <c r="G1478">
        <v>0</v>
      </c>
      <c r="H1478">
        <f>(ORDERS[[#This Row],[UnitsOrdered]]*ORDERS[[#This Row],[unit price]])-(ORDERS[[#This Row],[UnitsOrdered]]*ORDERS[[#This Row],[unit price]]*ORDERS[[#This Row],[Discount]])</f>
        <v>1675</v>
      </c>
      <c r="I1478" t="str">
        <f>VLOOKUP(ORDERS[[#This Row],[CustomerID]],customers[],2,FALSE)</f>
        <v>Threads</v>
      </c>
      <c r="J1478" s="2" t="str">
        <f>VLOOKUP(ORDERS[[#This Row],[CustomerID]],customers[],4,FALSE)</f>
        <v>Seattle</v>
      </c>
      <c r="K1478" s="2" t="str">
        <f>VLOOKUP(ORDERS[[#This Row],[ProductID]],Products[],3,FALSE)</f>
        <v>Male</v>
      </c>
      <c r="L1478" s="2">
        <f>DAY(ORDERS[[#This Row],[OrderDate]])</f>
        <v>11</v>
      </c>
      <c r="M1478" s="2">
        <f>YEAR(ORDERS[[#This Row],[OrderDate]])</f>
        <v>2015</v>
      </c>
    </row>
    <row r="1479" spans="1:13" x14ac:dyDescent="0.3">
      <c r="A1479">
        <v>1478</v>
      </c>
      <c r="B1479">
        <v>3</v>
      </c>
      <c r="C1479">
        <v>8</v>
      </c>
      <c r="D1479" s="1">
        <v>42074</v>
      </c>
      <c r="E1479">
        <v>43</v>
      </c>
      <c r="F1479">
        <f>VLOOKUP(ORDERS[[#This Row],[ProductID]],Products[],4,FALSE)</f>
        <v>27</v>
      </c>
      <c r="G1479">
        <v>0</v>
      </c>
      <c r="H1479">
        <f>(ORDERS[[#This Row],[UnitsOrdered]]*ORDERS[[#This Row],[unit price]])-(ORDERS[[#This Row],[UnitsOrdered]]*ORDERS[[#This Row],[unit price]]*ORDERS[[#This Row],[Discount]])</f>
        <v>1161</v>
      </c>
      <c r="I1479" t="str">
        <f>VLOOKUP(ORDERS[[#This Row],[CustomerID]],customers[],2,FALSE)</f>
        <v>Shirts R Us</v>
      </c>
      <c r="J1479" s="2" t="str">
        <f>VLOOKUP(ORDERS[[#This Row],[CustomerID]],customers[],4,FALSE)</f>
        <v>Los Angeles</v>
      </c>
      <c r="K1479" s="2" t="str">
        <f>VLOOKUP(ORDERS[[#This Row],[ProductID]],Products[],3,FALSE)</f>
        <v>Female</v>
      </c>
      <c r="L1479" s="2">
        <f>DAY(ORDERS[[#This Row],[OrderDate]])</f>
        <v>11</v>
      </c>
      <c r="M1479" s="2">
        <f>YEAR(ORDERS[[#This Row],[OrderDate]])</f>
        <v>2015</v>
      </c>
    </row>
    <row r="1480" spans="1:13" x14ac:dyDescent="0.3">
      <c r="A1480">
        <v>1479</v>
      </c>
      <c r="B1480">
        <v>7</v>
      </c>
      <c r="C1480">
        <v>3</v>
      </c>
      <c r="D1480" s="1">
        <v>42074</v>
      </c>
      <c r="E1480">
        <v>124</v>
      </c>
      <c r="F1480">
        <f>VLOOKUP(ORDERS[[#This Row],[ProductID]],Products[],4,FALSE)</f>
        <v>22</v>
      </c>
      <c r="G1480">
        <v>0</v>
      </c>
      <c r="H1480">
        <f>(ORDERS[[#This Row],[UnitsOrdered]]*ORDERS[[#This Row],[unit price]])-(ORDERS[[#This Row],[UnitsOrdered]]*ORDERS[[#This Row],[unit price]]*ORDERS[[#This Row],[Discount]])</f>
        <v>2728</v>
      </c>
      <c r="I1480" t="str">
        <f>VLOOKUP(ORDERS[[#This Row],[CustomerID]],customers[],2,FALSE)</f>
        <v>The Shirt on Your Back</v>
      </c>
      <c r="J1480" s="2" t="str">
        <f>VLOOKUP(ORDERS[[#This Row],[CustomerID]],customers[],4,FALSE)</f>
        <v>Bonners Ferry</v>
      </c>
      <c r="K1480" s="2" t="str">
        <f>VLOOKUP(ORDERS[[#This Row],[ProductID]],Products[],3,FALSE)</f>
        <v>Both</v>
      </c>
      <c r="L1480" s="2">
        <f>DAY(ORDERS[[#This Row],[OrderDate]])</f>
        <v>11</v>
      </c>
      <c r="M1480" s="2">
        <f>YEAR(ORDERS[[#This Row],[OrderDate]])</f>
        <v>2015</v>
      </c>
    </row>
    <row r="1481" spans="1:13" x14ac:dyDescent="0.3">
      <c r="A1481">
        <v>1480</v>
      </c>
      <c r="B1481">
        <v>2</v>
      </c>
      <c r="C1481">
        <v>4</v>
      </c>
      <c r="D1481" s="1">
        <v>42075</v>
      </c>
      <c r="E1481">
        <v>106</v>
      </c>
      <c r="F1481">
        <f>VLOOKUP(ORDERS[[#This Row],[ProductID]],Products[],4,FALSE)</f>
        <v>30</v>
      </c>
      <c r="G1481">
        <v>0</v>
      </c>
      <c r="H1481">
        <f>(ORDERS[[#This Row],[UnitsOrdered]]*ORDERS[[#This Row],[unit price]])-(ORDERS[[#This Row],[UnitsOrdered]]*ORDERS[[#This Row],[unit price]]*ORDERS[[#This Row],[Discount]])</f>
        <v>3180</v>
      </c>
      <c r="I1481" t="str">
        <f>VLOOKUP(ORDERS[[#This Row],[CustomerID]],customers[],2,FALSE)</f>
        <v>A Shirts Life</v>
      </c>
      <c r="J1481" s="2" t="str">
        <f>VLOOKUP(ORDERS[[#This Row],[CustomerID]],customers[],4,FALSE)</f>
        <v>Portland</v>
      </c>
      <c r="K1481" s="2" t="str">
        <f>VLOOKUP(ORDERS[[#This Row],[ProductID]],Products[],3,FALSE)</f>
        <v>Both</v>
      </c>
      <c r="L1481" s="2">
        <f>DAY(ORDERS[[#This Row],[OrderDate]])</f>
        <v>12</v>
      </c>
      <c r="M1481" s="2">
        <f>YEAR(ORDERS[[#This Row],[OrderDate]])</f>
        <v>2015</v>
      </c>
    </row>
    <row r="1482" spans="1:13" x14ac:dyDescent="0.3">
      <c r="A1482">
        <v>1481</v>
      </c>
      <c r="B1482">
        <v>3</v>
      </c>
      <c r="C1482">
        <v>5</v>
      </c>
      <c r="D1482" s="1">
        <v>42075</v>
      </c>
      <c r="E1482">
        <v>120</v>
      </c>
      <c r="F1482">
        <f>VLOOKUP(ORDERS[[#This Row],[ProductID]],Products[],4,FALSE)</f>
        <v>16</v>
      </c>
      <c r="G1482">
        <v>0</v>
      </c>
      <c r="H1482">
        <f>(ORDERS[[#This Row],[UnitsOrdered]]*ORDERS[[#This Row],[unit price]])-(ORDERS[[#This Row],[UnitsOrdered]]*ORDERS[[#This Row],[unit price]]*ORDERS[[#This Row],[Discount]])</f>
        <v>1920</v>
      </c>
      <c r="I1482" t="str">
        <f>VLOOKUP(ORDERS[[#This Row],[CustomerID]],customers[],2,FALSE)</f>
        <v>Shirts R Us</v>
      </c>
      <c r="J1482" s="2" t="str">
        <f>VLOOKUP(ORDERS[[#This Row],[CustomerID]],customers[],4,FALSE)</f>
        <v>Los Angeles</v>
      </c>
      <c r="K1482" s="2" t="str">
        <f>VLOOKUP(ORDERS[[#This Row],[ProductID]],Products[],3,FALSE)</f>
        <v>Female</v>
      </c>
      <c r="L1482" s="2">
        <f>DAY(ORDERS[[#This Row],[OrderDate]])</f>
        <v>12</v>
      </c>
      <c r="M1482" s="2">
        <f>YEAR(ORDERS[[#This Row],[OrderDate]])</f>
        <v>2015</v>
      </c>
    </row>
    <row r="1483" spans="1:13" x14ac:dyDescent="0.3">
      <c r="A1483">
        <v>1482</v>
      </c>
      <c r="B1483">
        <v>3</v>
      </c>
      <c r="C1483">
        <v>6</v>
      </c>
      <c r="D1483" s="1">
        <v>42075</v>
      </c>
      <c r="E1483">
        <v>38</v>
      </c>
      <c r="F1483">
        <f>VLOOKUP(ORDERS[[#This Row],[ProductID]],Products[],4,FALSE)</f>
        <v>28</v>
      </c>
      <c r="G1483">
        <v>0</v>
      </c>
      <c r="H1483">
        <f>(ORDERS[[#This Row],[UnitsOrdered]]*ORDERS[[#This Row],[unit price]])-(ORDERS[[#This Row],[UnitsOrdered]]*ORDERS[[#This Row],[unit price]]*ORDERS[[#This Row],[Discount]])</f>
        <v>1064</v>
      </c>
      <c r="I1483" t="str">
        <f>VLOOKUP(ORDERS[[#This Row],[CustomerID]],customers[],2,FALSE)</f>
        <v>Shirts R Us</v>
      </c>
      <c r="J1483" s="2" t="str">
        <f>VLOOKUP(ORDERS[[#This Row],[CustomerID]],customers[],4,FALSE)</f>
        <v>Los Angeles</v>
      </c>
      <c r="K1483" s="2" t="str">
        <f>VLOOKUP(ORDERS[[#This Row],[ProductID]],Products[],3,FALSE)</f>
        <v>Female</v>
      </c>
      <c r="L1483" s="2">
        <f>DAY(ORDERS[[#This Row],[OrderDate]])</f>
        <v>12</v>
      </c>
      <c r="M1483" s="2">
        <f>YEAR(ORDERS[[#This Row],[OrderDate]])</f>
        <v>2015</v>
      </c>
    </row>
    <row r="1484" spans="1:13" x14ac:dyDescent="0.3">
      <c r="A1484">
        <v>1483</v>
      </c>
      <c r="B1484">
        <v>5</v>
      </c>
      <c r="C1484">
        <v>3</v>
      </c>
      <c r="D1484" s="1">
        <v>42078</v>
      </c>
      <c r="E1484">
        <v>144</v>
      </c>
      <c r="F1484">
        <f>VLOOKUP(ORDERS[[#This Row],[ProductID]],Products[],4,FALSE)</f>
        <v>22</v>
      </c>
      <c r="G1484">
        <v>0</v>
      </c>
      <c r="H1484">
        <f>(ORDERS[[#This Row],[UnitsOrdered]]*ORDERS[[#This Row],[unit price]])-(ORDERS[[#This Row],[UnitsOrdered]]*ORDERS[[#This Row],[unit price]]*ORDERS[[#This Row],[Discount]])</f>
        <v>3168</v>
      </c>
      <c r="I1484" t="str">
        <f>VLOOKUP(ORDERS[[#This Row],[CustomerID]],customers[],2,FALSE)</f>
        <v>Rags to Riches</v>
      </c>
      <c r="J1484" s="2" t="str">
        <f>VLOOKUP(ORDERS[[#This Row],[CustomerID]],customers[],4,FALSE)</f>
        <v>Las Vegas</v>
      </c>
      <c r="K1484" s="2" t="str">
        <f>VLOOKUP(ORDERS[[#This Row],[ProductID]],Products[],3,FALSE)</f>
        <v>Both</v>
      </c>
      <c r="L1484" s="2">
        <f>DAY(ORDERS[[#This Row],[OrderDate]])</f>
        <v>15</v>
      </c>
      <c r="M1484" s="2">
        <f>YEAR(ORDERS[[#This Row],[OrderDate]])</f>
        <v>2015</v>
      </c>
    </row>
    <row r="1485" spans="1:13" x14ac:dyDescent="0.3">
      <c r="A1485">
        <v>1484</v>
      </c>
      <c r="B1485">
        <v>4</v>
      </c>
      <c r="C1485">
        <v>3</v>
      </c>
      <c r="D1485" s="1">
        <v>42079</v>
      </c>
      <c r="E1485">
        <v>130</v>
      </c>
      <c r="F1485">
        <f>VLOOKUP(ORDERS[[#This Row],[ProductID]],Products[],4,FALSE)</f>
        <v>22</v>
      </c>
      <c r="G1485">
        <v>0</v>
      </c>
      <c r="H1485">
        <f>(ORDERS[[#This Row],[UnitsOrdered]]*ORDERS[[#This Row],[unit price]])-(ORDERS[[#This Row],[UnitsOrdered]]*ORDERS[[#This Row],[unit price]]*ORDERS[[#This Row],[Discount]])</f>
        <v>2860</v>
      </c>
      <c r="I1485" t="str">
        <f>VLOOKUP(ORDERS[[#This Row],[CustomerID]],customers[],2,FALSE)</f>
        <v>Tshirt Unlimited</v>
      </c>
      <c r="J1485" s="2" t="str">
        <f>VLOOKUP(ORDERS[[#This Row],[CustomerID]],customers[],4,FALSE)</f>
        <v>Phoenix</v>
      </c>
      <c r="K1485" s="2" t="str">
        <f>VLOOKUP(ORDERS[[#This Row],[ProductID]],Products[],3,FALSE)</f>
        <v>Both</v>
      </c>
      <c r="L1485" s="2">
        <f>DAY(ORDERS[[#This Row],[OrderDate]])</f>
        <v>16</v>
      </c>
      <c r="M1485" s="2">
        <f>YEAR(ORDERS[[#This Row],[OrderDate]])</f>
        <v>2015</v>
      </c>
    </row>
    <row r="1486" spans="1:13" x14ac:dyDescent="0.3">
      <c r="A1486">
        <v>1485</v>
      </c>
      <c r="B1486">
        <v>1</v>
      </c>
      <c r="C1486">
        <v>2</v>
      </c>
      <c r="D1486" s="1">
        <v>42080</v>
      </c>
      <c r="E1486">
        <v>26</v>
      </c>
      <c r="F1486">
        <f>VLOOKUP(ORDERS[[#This Row],[ProductID]],Products[],4,FALSE)</f>
        <v>30</v>
      </c>
      <c r="G1486">
        <v>0</v>
      </c>
      <c r="H1486">
        <f>(ORDERS[[#This Row],[UnitsOrdered]]*ORDERS[[#This Row],[unit price]])-(ORDERS[[#This Row],[UnitsOrdered]]*ORDERS[[#This Row],[unit price]]*ORDERS[[#This Row],[Discount]])</f>
        <v>780</v>
      </c>
      <c r="I1486" t="str">
        <f>VLOOKUP(ORDERS[[#This Row],[CustomerID]],customers[],2,FALSE)</f>
        <v>Threads</v>
      </c>
      <c r="J1486" s="2" t="str">
        <f>VLOOKUP(ORDERS[[#This Row],[CustomerID]],customers[],4,FALSE)</f>
        <v>Seattle</v>
      </c>
      <c r="K1486" s="2" t="str">
        <f>VLOOKUP(ORDERS[[#This Row],[ProductID]],Products[],3,FALSE)</f>
        <v>Both</v>
      </c>
      <c r="L1486" s="2">
        <f>DAY(ORDERS[[#This Row],[OrderDate]])</f>
        <v>17</v>
      </c>
      <c r="M1486" s="2">
        <f>YEAR(ORDERS[[#This Row],[OrderDate]])</f>
        <v>2015</v>
      </c>
    </row>
    <row r="1487" spans="1:13" x14ac:dyDescent="0.3">
      <c r="A1487">
        <v>1486</v>
      </c>
      <c r="B1487">
        <v>4</v>
      </c>
      <c r="C1487">
        <v>5</v>
      </c>
      <c r="D1487" s="1">
        <v>42080</v>
      </c>
      <c r="E1487">
        <v>55</v>
      </c>
      <c r="F1487">
        <f>VLOOKUP(ORDERS[[#This Row],[ProductID]],Products[],4,FALSE)</f>
        <v>16</v>
      </c>
      <c r="G1487">
        <v>0</v>
      </c>
      <c r="H1487">
        <f>(ORDERS[[#This Row],[UnitsOrdered]]*ORDERS[[#This Row],[unit price]])-(ORDERS[[#This Row],[UnitsOrdered]]*ORDERS[[#This Row],[unit price]]*ORDERS[[#This Row],[Discount]])</f>
        <v>880</v>
      </c>
      <c r="I1487" t="str">
        <f>VLOOKUP(ORDERS[[#This Row],[CustomerID]],customers[],2,FALSE)</f>
        <v>Tshirt Unlimited</v>
      </c>
      <c r="J1487" s="2" t="str">
        <f>VLOOKUP(ORDERS[[#This Row],[CustomerID]],customers[],4,FALSE)</f>
        <v>Phoenix</v>
      </c>
      <c r="K1487" s="2" t="str">
        <f>VLOOKUP(ORDERS[[#This Row],[ProductID]],Products[],3,FALSE)</f>
        <v>Female</v>
      </c>
      <c r="L1487" s="2">
        <f>DAY(ORDERS[[#This Row],[OrderDate]])</f>
        <v>17</v>
      </c>
      <c r="M1487" s="2">
        <f>YEAR(ORDERS[[#This Row],[OrderDate]])</f>
        <v>2015</v>
      </c>
    </row>
    <row r="1488" spans="1:13" x14ac:dyDescent="0.3">
      <c r="A1488">
        <v>1487</v>
      </c>
      <c r="B1488">
        <v>4</v>
      </c>
      <c r="C1488">
        <v>8</v>
      </c>
      <c r="D1488" s="1">
        <v>42080</v>
      </c>
      <c r="E1488">
        <v>58</v>
      </c>
      <c r="F1488">
        <f>VLOOKUP(ORDERS[[#This Row],[ProductID]],Products[],4,FALSE)</f>
        <v>27</v>
      </c>
      <c r="G1488">
        <v>0.15000000599999999</v>
      </c>
      <c r="H1488">
        <f>(ORDERS[[#This Row],[UnitsOrdered]]*ORDERS[[#This Row],[unit price]])-(ORDERS[[#This Row],[UnitsOrdered]]*ORDERS[[#This Row],[unit price]]*ORDERS[[#This Row],[Discount]])</f>
        <v>1331.0999906040001</v>
      </c>
      <c r="I1488" t="str">
        <f>VLOOKUP(ORDERS[[#This Row],[CustomerID]],customers[],2,FALSE)</f>
        <v>Tshirt Unlimited</v>
      </c>
      <c r="J1488" s="2" t="str">
        <f>VLOOKUP(ORDERS[[#This Row],[CustomerID]],customers[],4,FALSE)</f>
        <v>Phoenix</v>
      </c>
      <c r="K1488" s="2" t="str">
        <f>VLOOKUP(ORDERS[[#This Row],[ProductID]],Products[],3,FALSE)</f>
        <v>Female</v>
      </c>
      <c r="L1488" s="2">
        <f>DAY(ORDERS[[#This Row],[OrderDate]])</f>
        <v>17</v>
      </c>
      <c r="M1488" s="2">
        <f>YEAR(ORDERS[[#This Row],[OrderDate]])</f>
        <v>2015</v>
      </c>
    </row>
    <row r="1489" spans="1:13" x14ac:dyDescent="0.3">
      <c r="A1489">
        <v>1488</v>
      </c>
      <c r="B1489">
        <v>5</v>
      </c>
      <c r="C1489">
        <v>3</v>
      </c>
      <c r="D1489" s="1">
        <v>42080</v>
      </c>
      <c r="E1489">
        <v>30</v>
      </c>
      <c r="F1489">
        <f>VLOOKUP(ORDERS[[#This Row],[ProductID]],Products[],4,FALSE)</f>
        <v>22</v>
      </c>
      <c r="G1489">
        <v>0.15000000599999999</v>
      </c>
      <c r="H1489">
        <f>(ORDERS[[#This Row],[UnitsOrdered]]*ORDERS[[#This Row],[unit price]])-(ORDERS[[#This Row],[UnitsOrdered]]*ORDERS[[#This Row],[unit price]]*ORDERS[[#This Row],[Discount]])</f>
        <v>560.99999604000004</v>
      </c>
      <c r="I1489" t="str">
        <f>VLOOKUP(ORDERS[[#This Row],[CustomerID]],customers[],2,FALSE)</f>
        <v>Rags to Riches</v>
      </c>
      <c r="J1489" s="2" t="str">
        <f>VLOOKUP(ORDERS[[#This Row],[CustomerID]],customers[],4,FALSE)</f>
        <v>Las Vegas</v>
      </c>
      <c r="K1489" s="2" t="str">
        <f>VLOOKUP(ORDERS[[#This Row],[ProductID]],Products[],3,FALSE)</f>
        <v>Both</v>
      </c>
      <c r="L1489" s="2">
        <f>DAY(ORDERS[[#This Row],[OrderDate]])</f>
        <v>17</v>
      </c>
      <c r="M1489" s="2">
        <f>YEAR(ORDERS[[#This Row],[OrderDate]])</f>
        <v>2015</v>
      </c>
    </row>
    <row r="1490" spans="1:13" x14ac:dyDescent="0.3">
      <c r="A1490">
        <v>1489</v>
      </c>
      <c r="B1490">
        <v>2</v>
      </c>
      <c r="C1490">
        <v>5</v>
      </c>
      <c r="D1490" s="1">
        <v>42081</v>
      </c>
      <c r="E1490">
        <v>99</v>
      </c>
      <c r="F1490">
        <f>VLOOKUP(ORDERS[[#This Row],[ProductID]],Products[],4,FALSE)</f>
        <v>16</v>
      </c>
      <c r="G1490">
        <v>0</v>
      </c>
      <c r="H1490">
        <f>(ORDERS[[#This Row],[UnitsOrdered]]*ORDERS[[#This Row],[unit price]])-(ORDERS[[#This Row],[UnitsOrdered]]*ORDERS[[#This Row],[unit price]]*ORDERS[[#This Row],[Discount]])</f>
        <v>1584</v>
      </c>
      <c r="I1490" t="str">
        <f>VLOOKUP(ORDERS[[#This Row],[CustomerID]],customers[],2,FALSE)</f>
        <v>A Shirts Life</v>
      </c>
      <c r="J1490" s="2" t="str">
        <f>VLOOKUP(ORDERS[[#This Row],[CustomerID]],customers[],4,FALSE)</f>
        <v>Portland</v>
      </c>
      <c r="K1490" s="2" t="str">
        <f>VLOOKUP(ORDERS[[#This Row],[ProductID]],Products[],3,FALSE)</f>
        <v>Female</v>
      </c>
      <c r="L1490" s="2">
        <f>DAY(ORDERS[[#This Row],[OrderDate]])</f>
        <v>18</v>
      </c>
      <c r="M1490" s="2">
        <f>YEAR(ORDERS[[#This Row],[OrderDate]])</f>
        <v>2015</v>
      </c>
    </row>
    <row r="1491" spans="1:13" x14ac:dyDescent="0.3">
      <c r="A1491">
        <v>1490</v>
      </c>
      <c r="B1491">
        <v>1</v>
      </c>
      <c r="C1491">
        <v>4</v>
      </c>
      <c r="D1491" s="1">
        <v>42083</v>
      </c>
      <c r="E1491">
        <v>148</v>
      </c>
      <c r="F1491">
        <f>VLOOKUP(ORDERS[[#This Row],[ProductID]],Products[],4,FALSE)</f>
        <v>30</v>
      </c>
      <c r="G1491">
        <v>0</v>
      </c>
      <c r="H1491">
        <f>(ORDERS[[#This Row],[UnitsOrdered]]*ORDERS[[#This Row],[unit price]])-(ORDERS[[#This Row],[UnitsOrdered]]*ORDERS[[#This Row],[unit price]]*ORDERS[[#This Row],[Discount]])</f>
        <v>4440</v>
      </c>
      <c r="I1491" t="str">
        <f>VLOOKUP(ORDERS[[#This Row],[CustomerID]],customers[],2,FALSE)</f>
        <v>Threads</v>
      </c>
      <c r="J1491" s="2" t="str">
        <f>VLOOKUP(ORDERS[[#This Row],[CustomerID]],customers[],4,FALSE)</f>
        <v>Seattle</v>
      </c>
      <c r="K1491" s="2" t="str">
        <f>VLOOKUP(ORDERS[[#This Row],[ProductID]],Products[],3,FALSE)</f>
        <v>Both</v>
      </c>
      <c r="L1491" s="2">
        <f>DAY(ORDERS[[#This Row],[OrderDate]])</f>
        <v>20</v>
      </c>
      <c r="M1491" s="2">
        <f>YEAR(ORDERS[[#This Row],[OrderDate]])</f>
        <v>2015</v>
      </c>
    </row>
    <row r="1492" spans="1:13" x14ac:dyDescent="0.3">
      <c r="A1492">
        <v>1491</v>
      </c>
      <c r="B1492">
        <v>5</v>
      </c>
      <c r="C1492">
        <v>4</v>
      </c>
      <c r="D1492" s="1">
        <v>42083</v>
      </c>
      <c r="E1492">
        <v>72</v>
      </c>
      <c r="F1492">
        <f>VLOOKUP(ORDERS[[#This Row],[ProductID]],Products[],4,FALSE)</f>
        <v>30</v>
      </c>
      <c r="G1492">
        <v>0</v>
      </c>
      <c r="H1492">
        <f>(ORDERS[[#This Row],[UnitsOrdered]]*ORDERS[[#This Row],[unit price]])-(ORDERS[[#This Row],[UnitsOrdered]]*ORDERS[[#This Row],[unit price]]*ORDERS[[#This Row],[Discount]])</f>
        <v>2160</v>
      </c>
      <c r="I1492" t="str">
        <f>VLOOKUP(ORDERS[[#This Row],[CustomerID]],customers[],2,FALSE)</f>
        <v>Rags to Riches</v>
      </c>
      <c r="J1492" s="2" t="str">
        <f>VLOOKUP(ORDERS[[#This Row],[CustomerID]],customers[],4,FALSE)</f>
        <v>Las Vegas</v>
      </c>
      <c r="K1492" s="2" t="str">
        <f>VLOOKUP(ORDERS[[#This Row],[ProductID]],Products[],3,FALSE)</f>
        <v>Both</v>
      </c>
      <c r="L1492" s="2">
        <f>DAY(ORDERS[[#This Row],[OrderDate]])</f>
        <v>20</v>
      </c>
      <c r="M1492" s="2">
        <f>YEAR(ORDERS[[#This Row],[OrderDate]])</f>
        <v>2015</v>
      </c>
    </row>
    <row r="1493" spans="1:13" x14ac:dyDescent="0.3">
      <c r="A1493">
        <v>1492</v>
      </c>
      <c r="B1493">
        <v>4</v>
      </c>
      <c r="C1493">
        <v>4</v>
      </c>
      <c r="D1493" s="1">
        <v>42084</v>
      </c>
      <c r="E1493">
        <v>137</v>
      </c>
      <c r="F1493">
        <f>VLOOKUP(ORDERS[[#This Row],[ProductID]],Products[],4,FALSE)</f>
        <v>30</v>
      </c>
      <c r="G1493">
        <v>0</v>
      </c>
      <c r="H1493">
        <f>(ORDERS[[#This Row],[UnitsOrdered]]*ORDERS[[#This Row],[unit price]])-(ORDERS[[#This Row],[UnitsOrdered]]*ORDERS[[#This Row],[unit price]]*ORDERS[[#This Row],[Discount]])</f>
        <v>4110</v>
      </c>
      <c r="I1493" t="str">
        <f>VLOOKUP(ORDERS[[#This Row],[CustomerID]],customers[],2,FALSE)</f>
        <v>Tshirt Unlimited</v>
      </c>
      <c r="J1493" s="2" t="str">
        <f>VLOOKUP(ORDERS[[#This Row],[CustomerID]],customers[],4,FALSE)</f>
        <v>Phoenix</v>
      </c>
      <c r="K1493" s="2" t="str">
        <f>VLOOKUP(ORDERS[[#This Row],[ProductID]],Products[],3,FALSE)</f>
        <v>Both</v>
      </c>
      <c r="L1493" s="2">
        <f>DAY(ORDERS[[#This Row],[OrderDate]])</f>
        <v>21</v>
      </c>
      <c r="M1493" s="2">
        <f>YEAR(ORDERS[[#This Row],[OrderDate]])</f>
        <v>2015</v>
      </c>
    </row>
    <row r="1494" spans="1:13" x14ac:dyDescent="0.3">
      <c r="A1494">
        <v>1493</v>
      </c>
      <c r="B1494">
        <v>1</v>
      </c>
      <c r="C1494">
        <v>1</v>
      </c>
      <c r="D1494" s="1">
        <v>42086</v>
      </c>
      <c r="E1494">
        <v>89</v>
      </c>
      <c r="F1494">
        <f>VLOOKUP(ORDERS[[#This Row],[ProductID]],Products[],4,FALSE)</f>
        <v>20</v>
      </c>
      <c r="G1494">
        <v>0</v>
      </c>
      <c r="H1494">
        <f>(ORDERS[[#This Row],[UnitsOrdered]]*ORDERS[[#This Row],[unit price]])-(ORDERS[[#This Row],[UnitsOrdered]]*ORDERS[[#This Row],[unit price]]*ORDERS[[#This Row],[Discount]])</f>
        <v>1780</v>
      </c>
      <c r="I1494" t="str">
        <f>VLOOKUP(ORDERS[[#This Row],[CustomerID]],customers[],2,FALSE)</f>
        <v>Threads</v>
      </c>
      <c r="J1494" s="2" t="str">
        <f>VLOOKUP(ORDERS[[#This Row],[CustomerID]],customers[],4,FALSE)</f>
        <v>Seattle</v>
      </c>
      <c r="K1494" s="2" t="str">
        <f>VLOOKUP(ORDERS[[#This Row],[ProductID]],Products[],3,FALSE)</f>
        <v>Both</v>
      </c>
      <c r="L1494" s="2">
        <f>DAY(ORDERS[[#This Row],[OrderDate]])</f>
        <v>23</v>
      </c>
      <c r="M1494" s="2">
        <f>YEAR(ORDERS[[#This Row],[OrderDate]])</f>
        <v>2015</v>
      </c>
    </row>
    <row r="1495" spans="1:13" x14ac:dyDescent="0.3">
      <c r="A1495">
        <v>1494</v>
      </c>
      <c r="B1495">
        <v>5</v>
      </c>
      <c r="C1495">
        <v>9</v>
      </c>
      <c r="D1495" s="1">
        <v>42086</v>
      </c>
      <c r="E1495">
        <v>133</v>
      </c>
      <c r="F1495">
        <f>VLOOKUP(ORDERS[[#This Row],[ProductID]],Products[],4,FALSE)</f>
        <v>25</v>
      </c>
      <c r="G1495">
        <v>0</v>
      </c>
      <c r="H1495">
        <f>(ORDERS[[#This Row],[UnitsOrdered]]*ORDERS[[#This Row],[unit price]])-(ORDERS[[#This Row],[UnitsOrdered]]*ORDERS[[#This Row],[unit price]]*ORDERS[[#This Row],[Discount]])</f>
        <v>3325</v>
      </c>
      <c r="I1495" t="str">
        <f>VLOOKUP(ORDERS[[#This Row],[CustomerID]],customers[],2,FALSE)</f>
        <v>Rags to Riches</v>
      </c>
      <c r="J1495" s="2" t="str">
        <f>VLOOKUP(ORDERS[[#This Row],[CustomerID]],customers[],4,FALSE)</f>
        <v>Las Vegas</v>
      </c>
      <c r="K1495" s="2" t="str">
        <f>VLOOKUP(ORDERS[[#This Row],[ProductID]],Products[],3,FALSE)</f>
        <v>Male</v>
      </c>
      <c r="L1495" s="2">
        <f>DAY(ORDERS[[#This Row],[OrderDate]])</f>
        <v>23</v>
      </c>
      <c r="M1495" s="2">
        <f>YEAR(ORDERS[[#This Row],[OrderDate]])</f>
        <v>2015</v>
      </c>
    </row>
    <row r="1496" spans="1:13" x14ac:dyDescent="0.3">
      <c r="A1496">
        <v>1495</v>
      </c>
      <c r="B1496">
        <v>7</v>
      </c>
      <c r="C1496">
        <v>5</v>
      </c>
      <c r="D1496" s="1">
        <v>42086</v>
      </c>
      <c r="E1496">
        <v>68</v>
      </c>
      <c r="F1496">
        <f>VLOOKUP(ORDERS[[#This Row],[ProductID]],Products[],4,FALSE)</f>
        <v>16</v>
      </c>
      <c r="G1496">
        <v>5.0000001000000002E-2</v>
      </c>
      <c r="H1496">
        <f>(ORDERS[[#This Row],[UnitsOrdered]]*ORDERS[[#This Row],[unit price]])-(ORDERS[[#This Row],[UnitsOrdered]]*ORDERS[[#This Row],[unit price]]*ORDERS[[#This Row],[Discount]])</f>
        <v>1033.599998912</v>
      </c>
      <c r="I1496" t="str">
        <f>VLOOKUP(ORDERS[[#This Row],[CustomerID]],customers[],2,FALSE)</f>
        <v>The Shirt on Your Back</v>
      </c>
      <c r="J1496" s="2" t="str">
        <f>VLOOKUP(ORDERS[[#This Row],[CustomerID]],customers[],4,FALSE)</f>
        <v>Bonners Ferry</v>
      </c>
      <c r="K1496" s="2" t="str">
        <f>VLOOKUP(ORDERS[[#This Row],[ProductID]],Products[],3,FALSE)</f>
        <v>Female</v>
      </c>
      <c r="L1496" s="2">
        <f>DAY(ORDERS[[#This Row],[OrderDate]])</f>
        <v>23</v>
      </c>
      <c r="M1496" s="2">
        <f>YEAR(ORDERS[[#This Row],[OrderDate]])</f>
        <v>2015</v>
      </c>
    </row>
    <row r="1497" spans="1:13" x14ac:dyDescent="0.3">
      <c r="A1497">
        <v>1496</v>
      </c>
      <c r="B1497">
        <v>4</v>
      </c>
      <c r="C1497">
        <v>9</v>
      </c>
      <c r="D1497" s="1">
        <v>42088</v>
      </c>
      <c r="E1497">
        <v>55</v>
      </c>
      <c r="F1497">
        <f>VLOOKUP(ORDERS[[#This Row],[ProductID]],Products[],4,FALSE)</f>
        <v>25</v>
      </c>
      <c r="G1497">
        <v>0</v>
      </c>
      <c r="H1497">
        <f>(ORDERS[[#This Row],[UnitsOrdered]]*ORDERS[[#This Row],[unit price]])-(ORDERS[[#This Row],[UnitsOrdered]]*ORDERS[[#This Row],[unit price]]*ORDERS[[#This Row],[Discount]])</f>
        <v>1375</v>
      </c>
      <c r="I1497" t="str">
        <f>VLOOKUP(ORDERS[[#This Row],[CustomerID]],customers[],2,FALSE)</f>
        <v>Tshirt Unlimited</v>
      </c>
      <c r="J1497" s="2" t="str">
        <f>VLOOKUP(ORDERS[[#This Row],[CustomerID]],customers[],4,FALSE)</f>
        <v>Phoenix</v>
      </c>
      <c r="K1497" s="2" t="str">
        <f>VLOOKUP(ORDERS[[#This Row],[ProductID]],Products[],3,FALSE)</f>
        <v>Male</v>
      </c>
      <c r="L1497" s="2">
        <f>DAY(ORDERS[[#This Row],[OrderDate]])</f>
        <v>25</v>
      </c>
      <c r="M1497" s="2">
        <f>YEAR(ORDERS[[#This Row],[OrderDate]])</f>
        <v>2015</v>
      </c>
    </row>
    <row r="1498" spans="1:13" x14ac:dyDescent="0.3">
      <c r="A1498">
        <v>1497</v>
      </c>
      <c r="B1498">
        <v>6</v>
      </c>
      <c r="C1498">
        <v>5</v>
      </c>
      <c r="D1498" s="1">
        <v>42091</v>
      </c>
      <c r="E1498">
        <v>67</v>
      </c>
      <c r="F1498">
        <f>VLOOKUP(ORDERS[[#This Row],[ProductID]],Products[],4,FALSE)</f>
        <v>16</v>
      </c>
      <c r="G1498">
        <v>0</v>
      </c>
      <c r="H1498">
        <f>(ORDERS[[#This Row],[UnitsOrdered]]*ORDERS[[#This Row],[unit price]])-(ORDERS[[#This Row],[UnitsOrdered]]*ORDERS[[#This Row],[unit price]]*ORDERS[[#This Row],[Discount]])</f>
        <v>1072</v>
      </c>
      <c r="I1498" t="str">
        <f>VLOOKUP(ORDERS[[#This Row],[CustomerID]],customers[],2,FALSE)</f>
        <v>Abracadaba Ink</v>
      </c>
      <c r="J1498" s="2" t="str">
        <f>VLOOKUP(ORDERS[[#This Row],[CustomerID]],customers[],4,FALSE)</f>
        <v>Salt Lake City</v>
      </c>
      <c r="K1498" s="2" t="str">
        <f>VLOOKUP(ORDERS[[#This Row],[ProductID]],Products[],3,FALSE)</f>
        <v>Female</v>
      </c>
      <c r="L1498" s="2">
        <f>DAY(ORDERS[[#This Row],[OrderDate]])</f>
        <v>28</v>
      </c>
      <c r="M1498" s="2">
        <f>YEAR(ORDERS[[#This Row],[OrderDate]])</f>
        <v>2015</v>
      </c>
    </row>
    <row r="1499" spans="1:13" x14ac:dyDescent="0.3">
      <c r="A1499">
        <v>1498</v>
      </c>
      <c r="B1499">
        <v>7</v>
      </c>
      <c r="C1499">
        <v>6</v>
      </c>
      <c r="D1499" s="1">
        <v>42091</v>
      </c>
      <c r="E1499">
        <v>148</v>
      </c>
      <c r="F1499">
        <f>VLOOKUP(ORDERS[[#This Row],[ProductID]],Products[],4,FALSE)</f>
        <v>28</v>
      </c>
      <c r="G1499">
        <v>0</v>
      </c>
      <c r="H1499">
        <f>(ORDERS[[#This Row],[UnitsOrdered]]*ORDERS[[#This Row],[unit price]])-(ORDERS[[#This Row],[UnitsOrdered]]*ORDERS[[#This Row],[unit price]]*ORDERS[[#This Row],[Discount]])</f>
        <v>4144</v>
      </c>
      <c r="I1499" t="str">
        <f>VLOOKUP(ORDERS[[#This Row],[CustomerID]],customers[],2,FALSE)</f>
        <v>The Shirt on Your Back</v>
      </c>
      <c r="J1499" s="2" t="str">
        <f>VLOOKUP(ORDERS[[#This Row],[CustomerID]],customers[],4,FALSE)</f>
        <v>Bonners Ferry</v>
      </c>
      <c r="K1499" s="2" t="str">
        <f>VLOOKUP(ORDERS[[#This Row],[ProductID]],Products[],3,FALSE)</f>
        <v>Female</v>
      </c>
      <c r="L1499" s="2">
        <f>DAY(ORDERS[[#This Row],[OrderDate]])</f>
        <v>28</v>
      </c>
      <c r="M1499" s="2">
        <f>YEAR(ORDERS[[#This Row],[OrderDate]])</f>
        <v>2015</v>
      </c>
    </row>
    <row r="1500" spans="1:13" x14ac:dyDescent="0.3">
      <c r="A1500">
        <v>1499</v>
      </c>
      <c r="B1500">
        <v>6</v>
      </c>
      <c r="C1500">
        <v>8</v>
      </c>
      <c r="D1500" s="1">
        <v>42092</v>
      </c>
      <c r="E1500">
        <v>119</v>
      </c>
      <c r="F1500">
        <f>VLOOKUP(ORDERS[[#This Row],[ProductID]],Products[],4,FALSE)</f>
        <v>27</v>
      </c>
      <c r="G1500">
        <v>0</v>
      </c>
      <c r="H1500">
        <f>(ORDERS[[#This Row],[UnitsOrdered]]*ORDERS[[#This Row],[unit price]])-(ORDERS[[#This Row],[UnitsOrdered]]*ORDERS[[#This Row],[unit price]]*ORDERS[[#This Row],[Discount]])</f>
        <v>3213</v>
      </c>
      <c r="I1500" t="str">
        <f>VLOOKUP(ORDERS[[#This Row],[CustomerID]],customers[],2,FALSE)</f>
        <v>Abracadaba Ink</v>
      </c>
      <c r="J1500" s="2" t="str">
        <f>VLOOKUP(ORDERS[[#This Row],[CustomerID]],customers[],4,FALSE)</f>
        <v>Salt Lake City</v>
      </c>
      <c r="K1500" s="2" t="str">
        <f>VLOOKUP(ORDERS[[#This Row],[ProductID]],Products[],3,FALSE)</f>
        <v>Female</v>
      </c>
      <c r="L1500" s="2">
        <f>DAY(ORDERS[[#This Row],[OrderDate]])</f>
        <v>29</v>
      </c>
      <c r="M1500" s="2">
        <f>YEAR(ORDERS[[#This Row],[OrderDate]])</f>
        <v>2015</v>
      </c>
    </row>
    <row r="1501" spans="1:13" x14ac:dyDescent="0.3">
      <c r="A1501">
        <v>1500</v>
      </c>
      <c r="B1501">
        <v>3</v>
      </c>
      <c r="C1501">
        <v>8</v>
      </c>
      <c r="D1501" s="1">
        <v>42093</v>
      </c>
      <c r="E1501">
        <v>97</v>
      </c>
      <c r="F1501">
        <f>VLOOKUP(ORDERS[[#This Row],[ProductID]],Products[],4,FALSE)</f>
        <v>27</v>
      </c>
      <c r="G1501">
        <v>0</v>
      </c>
      <c r="H1501">
        <f>(ORDERS[[#This Row],[UnitsOrdered]]*ORDERS[[#This Row],[unit price]])-(ORDERS[[#This Row],[UnitsOrdered]]*ORDERS[[#This Row],[unit price]]*ORDERS[[#This Row],[Discount]])</f>
        <v>2619</v>
      </c>
      <c r="I1501" t="str">
        <f>VLOOKUP(ORDERS[[#This Row],[CustomerID]],customers[],2,FALSE)</f>
        <v>Shirts R Us</v>
      </c>
      <c r="J1501" s="2" t="str">
        <f>VLOOKUP(ORDERS[[#This Row],[CustomerID]],customers[],4,FALSE)</f>
        <v>Los Angeles</v>
      </c>
      <c r="K1501" s="2" t="str">
        <f>VLOOKUP(ORDERS[[#This Row],[ProductID]],Products[],3,FALSE)</f>
        <v>Female</v>
      </c>
      <c r="L1501" s="2">
        <f>DAY(ORDERS[[#This Row],[OrderDate]])</f>
        <v>30</v>
      </c>
      <c r="M1501" s="2">
        <f>YEAR(ORDERS[[#This Row],[OrderDate]])</f>
        <v>2015</v>
      </c>
    </row>
    <row r="1502" spans="1:13" x14ac:dyDescent="0.3">
      <c r="A1502">
        <v>1501</v>
      </c>
      <c r="B1502">
        <v>1</v>
      </c>
      <c r="C1502">
        <v>3</v>
      </c>
      <c r="D1502" s="1">
        <v>42094</v>
      </c>
      <c r="E1502">
        <v>46</v>
      </c>
      <c r="F1502">
        <f>VLOOKUP(ORDERS[[#This Row],[ProductID]],Products[],4,FALSE)</f>
        <v>22</v>
      </c>
      <c r="G1502">
        <v>5.0000001000000002E-2</v>
      </c>
      <c r="H1502">
        <f>(ORDERS[[#This Row],[UnitsOrdered]]*ORDERS[[#This Row],[unit price]])-(ORDERS[[#This Row],[UnitsOrdered]]*ORDERS[[#This Row],[unit price]]*ORDERS[[#This Row],[Discount]])</f>
        <v>961.39999898799999</v>
      </c>
      <c r="I1502" t="str">
        <f>VLOOKUP(ORDERS[[#This Row],[CustomerID]],customers[],2,FALSE)</f>
        <v>Threads</v>
      </c>
      <c r="J1502" s="2" t="str">
        <f>VLOOKUP(ORDERS[[#This Row],[CustomerID]],customers[],4,FALSE)</f>
        <v>Seattle</v>
      </c>
      <c r="K1502" s="2" t="str">
        <f>VLOOKUP(ORDERS[[#This Row],[ProductID]],Products[],3,FALSE)</f>
        <v>Both</v>
      </c>
      <c r="L1502" s="2">
        <f>DAY(ORDERS[[#This Row],[OrderDate]])</f>
        <v>31</v>
      </c>
      <c r="M1502" s="2">
        <f>YEAR(ORDERS[[#This Row],[OrderDate]])</f>
        <v>2015</v>
      </c>
    </row>
    <row r="1503" spans="1:13" x14ac:dyDescent="0.3">
      <c r="A1503">
        <v>1502</v>
      </c>
      <c r="B1503">
        <v>3</v>
      </c>
      <c r="C1503">
        <v>2</v>
      </c>
      <c r="D1503" s="1">
        <v>42094</v>
      </c>
      <c r="E1503">
        <v>135</v>
      </c>
      <c r="F1503">
        <f>VLOOKUP(ORDERS[[#This Row],[ProductID]],Products[],4,FALSE)</f>
        <v>30</v>
      </c>
      <c r="G1503">
        <v>0</v>
      </c>
      <c r="H1503">
        <f>(ORDERS[[#This Row],[UnitsOrdered]]*ORDERS[[#This Row],[unit price]])-(ORDERS[[#This Row],[UnitsOrdered]]*ORDERS[[#This Row],[unit price]]*ORDERS[[#This Row],[Discount]])</f>
        <v>4050</v>
      </c>
      <c r="I1503" t="str">
        <f>VLOOKUP(ORDERS[[#This Row],[CustomerID]],customers[],2,FALSE)</f>
        <v>Shirts R Us</v>
      </c>
      <c r="J1503" s="2" t="str">
        <f>VLOOKUP(ORDERS[[#This Row],[CustomerID]],customers[],4,FALSE)</f>
        <v>Los Angeles</v>
      </c>
      <c r="K1503" s="2" t="str">
        <f>VLOOKUP(ORDERS[[#This Row],[ProductID]],Products[],3,FALSE)</f>
        <v>Both</v>
      </c>
      <c r="L1503" s="2">
        <f>DAY(ORDERS[[#This Row],[OrderDate]])</f>
        <v>31</v>
      </c>
      <c r="M1503" s="2">
        <f>YEAR(ORDERS[[#This Row],[OrderDate]])</f>
        <v>2015</v>
      </c>
    </row>
    <row r="1504" spans="1:13" x14ac:dyDescent="0.3">
      <c r="A1504">
        <v>1503</v>
      </c>
      <c r="B1504">
        <v>4</v>
      </c>
      <c r="C1504">
        <v>7</v>
      </c>
      <c r="D1504" s="1">
        <v>42094</v>
      </c>
      <c r="E1504">
        <v>91</v>
      </c>
      <c r="F1504">
        <f>VLOOKUP(ORDERS[[#This Row],[ProductID]],Products[],4,FALSE)</f>
        <v>38</v>
      </c>
      <c r="G1504">
        <v>0</v>
      </c>
      <c r="H1504">
        <f>(ORDERS[[#This Row],[UnitsOrdered]]*ORDERS[[#This Row],[unit price]])-(ORDERS[[#This Row],[UnitsOrdered]]*ORDERS[[#This Row],[unit price]]*ORDERS[[#This Row],[Discount]])</f>
        <v>3458</v>
      </c>
      <c r="I1504" t="str">
        <f>VLOOKUP(ORDERS[[#This Row],[CustomerID]],customers[],2,FALSE)</f>
        <v>Tshirt Unlimited</v>
      </c>
      <c r="J1504" s="2" t="str">
        <f>VLOOKUP(ORDERS[[#This Row],[CustomerID]],customers[],4,FALSE)</f>
        <v>Phoenix</v>
      </c>
      <c r="K1504" s="2" t="str">
        <f>VLOOKUP(ORDERS[[#This Row],[ProductID]],Products[],3,FALSE)</f>
        <v>Female</v>
      </c>
      <c r="L1504" s="2">
        <f>DAY(ORDERS[[#This Row],[OrderDate]])</f>
        <v>31</v>
      </c>
      <c r="M1504" s="2">
        <f>YEAR(ORDERS[[#This Row],[OrderDate]])</f>
        <v>2015</v>
      </c>
    </row>
    <row r="1505" spans="1:13" x14ac:dyDescent="0.3">
      <c r="A1505">
        <v>1504</v>
      </c>
      <c r="B1505">
        <v>4</v>
      </c>
      <c r="C1505">
        <v>9</v>
      </c>
      <c r="D1505" s="1">
        <v>42094</v>
      </c>
      <c r="E1505">
        <v>38</v>
      </c>
      <c r="F1505">
        <f>VLOOKUP(ORDERS[[#This Row],[ProductID]],Products[],4,FALSE)</f>
        <v>25</v>
      </c>
      <c r="G1505">
        <v>0</v>
      </c>
      <c r="H1505">
        <f>(ORDERS[[#This Row],[UnitsOrdered]]*ORDERS[[#This Row],[unit price]])-(ORDERS[[#This Row],[UnitsOrdered]]*ORDERS[[#This Row],[unit price]]*ORDERS[[#This Row],[Discount]])</f>
        <v>950</v>
      </c>
      <c r="I1505" t="str">
        <f>VLOOKUP(ORDERS[[#This Row],[CustomerID]],customers[],2,FALSE)</f>
        <v>Tshirt Unlimited</v>
      </c>
      <c r="J1505" s="2" t="str">
        <f>VLOOKUP(ORDERS[[#This Row],[CustomerID]],customers[],4,FALSE)</f>
        <v>Phoenix</v>
      </c>
      <c r="K1505" s="2" t="str">
        <f>VLOOKUP(ORDERS[[#This Row],[ProductID]],Products[],3,FALSE)</f>
        <v>Male</v>
      </c>
      <c r="L1505" s="2">
        <f>DAY(ORDERS[[#This Row],[OrderDate]])</f>
        <v>31</v>
      </c>
      <c r="M1505" s="2">
        <f>YEAR(ORDERS[[#This Row],[OrderDate]])</f>
        <v>2015</v>
      </c>
    </row>
    <row r="1506" spans="1:13" x14ac:dyDescent="0.3">
      <c r="A1506">
        <v>1505</v>
      </c>
      <c r="B1506">
        <v>5</v>
      </c>
      <c r="C1506">
        <v>7</v>
      </c>
      <c r="D1506" s="1">
        <v>42094</v>
      </c>
      <c r="E1506">
        <v>72</v>
      </c>
      <c r="F1506">
        <f>VLOOKUP(ORDERS[[#This Row],[ProductID]],Products[],4,FALSE)</f>
        <v>38</v>
      </c>
      <c r="G1506">
        <v>0</v>
      </c>
      <c r="H1506">
        <f>(ORDERS[[#This Row],[UnitsOrdered]]*ORDERS[[#This Row],[unit price]])-(ORDERS[[#This Row],[UnitsOrdered]]*ORDERS[[#This Row],[unit price]]*ORDERS[[#This Row],[Discount]])</f>
        <v>2736</v>
      </c>
      <c r="I1506" t="str">
        <f>VLOOKUP(ORDERS[[#This Row],[CustomerID]],customers[],2,FALSE)</f>
        <v>Rags to Riches</v>
      </c>
      <c r="J1506" s="2" t="str">
        <f>VLOOKUP(ORDERS[[#This Row],[CustomerID]],customers[],4,FALSE)</f>
        <v>Las Vegas</v>
      </c>
      <c r="K1506" s="2" t="str">
        <f>VLOOKUP(ORDERS[[#This Row],[ProductID]],Products[],3,FALSE)</f>
        <v>Female</v>
      </c>
      <c r="L1506" s="2">
        <f>DAY(ORDERS[[#This Row],[OrderDate]])</f>
        <v>31</v>
      </c>
      <c r="M1506" s="2">
        <f>YEAR(ORDERS[[#This Row],[OrderDate]])</f>
        <v>2015</v>
      </c>
    </row>
    <row r="1507" spans="1:13" x14ac:dyDescent="0.3">
      <c r="A1507">
        <v>1506</v>
      </c>
      <c r="B1507">
        <v>3</v>
      </c>
      <c r="C1507">
        <v>5</v>
      </c>
      <c r="D1507" s="1">
        <v>42095</v>
      </c>
      <c r="E1507">
        <v>42</v>
      </c>
      <c r="F1507">
        <f>VLOOKUP(ORDERS[[#This Row],[ProductID]],Products[],4,FALSE)</f>
        <v>16</v>
      </c>
      <c r="G1507">
        <v>0</v>
      </c>
      <c r="H1507">
        <f>(ORDERS[[#This Row],[UnitsOrdered]]*ORDERS[[#This Row],[unit price]])-(ORDERS[[#This Row],[UnitsOrdered]]*ORDERS[[#This Row],[unit price]]*ORDERS[[#This Row],[Discount]])</f>
        <v>672</v>
      </c>
      <c r="I1507" t="str">
        <f>VLOOKUP(ORDERS[[#This Row],[CustomerID]],customers[],2,FALSE)</f>
        <v>Shirts R Us</v>
      </c>
      <c r="J1507" s="2" t="str">
        <f>VLOOKUP(ORDERS[[#This Row],[CustomerID]],customers[],4,FALSE)</f>
        <v>Los Angeles</v>
      </c>
      <c r="K1507" s="2" t="str">
        <f>VLOOKUP(ORDERS[[#This Row],[ProductID]],Products[],3,FALSE)</f>
        <v>Female</v>
      </c>
      <c r="L1507" s="2">
        <f>DAY(ORDERS[[#This Row],[OrderDate]])</f>
        <v>1</v>
      </c>
      <c r="M1507" s="2">
        <f>YEAR(ORDERS[[#This Row],[OrderDate]])</f>
        <v>2015</v>
      </c>
    </row>
    <row r="1508" spans="1:13" x14ac:dyDescent="0.3">
      <c r="A1508">
        <v>1507</v>
      </c>
      <c r="B1508">
        <v>5</v>
      </c>
      <c r="C1508">
        <v>2</v>
      </c>
      <c r="D1508" s="1">
        <v>42095</v>
      </c>
      <c r="E1508">
        <v>65</v>
      </c>
      <c r="F1508">
        <f>VLOOKUP(ORDERS[[#This Row],[ProductID]],Products[],4,FALSE)</f>
        <v>30</v>
      </c>
      <c r="G1508">
        <v>0.10000000100000001</v>
      </c>
      <c r="H1508">
        <f>(ORDERS[[#This Row],[UnitsOrdered]]*ORDERS[[#This Row],[unit price]])-(ORDERS[[#This Row],[UnitsOrdered]]*ORDERS[[#This Row],[unit price]]*ORDERS[[#This Row],[Discount]])</f>
        <v>1754.9999980499999</v>
      </c>
      <c r="I1508" t="str">
        <f>VLOOKUP(ORDERS[[#This Row],[CustomerID]],customers[],2,FALSE)</f>
        <v>Rags to Riches</v>
      </c>
      <c r="J1508" s="2" t="str">
        <f>VLOOKUP(ORDERS[[#This Row],[CustomerID]],customers[],4,FALSE)</f>
        <v>Las Vegas</v>
      </c>
      <c r="K1508" s="2" t="str">
        <f>VLOOKUP(ORDERS[[#This Row],[ProductID]],Products[],3,FALSE)</f>
        <v>Both</v>
      </c>
      <c r="L1508" s="2">
        <f>DAY(ORDERS[[#This Row],[OrderDate]])</f>
        <v>1</v>
      </c>
      <c r="M1508" s="2">
        <f>YEAR(ORDERS[[#This Row],[OrderDate]])</f>
        <v>2015</v>
      </c>
    </row>
    <row r="1509" spans="1:13" x14ac:dyDescent="0.3">
      <c r="A1509">
        <v>1508</v>
      </c>
      <c r="B1509">
        <v>2</v>
      </c>
      <c r="C1509">
        <v>9</v>
      </c>
      <c r="D1509" s="1">
        <v>42096</v>
      </c>
      <c r="E1509">
        <v>142</v>
      </c>
      <c r="F1509">
        <f>VLOOKUP(ORDERS[[#This Row],[ProductID]],Products[],4,FALSE)</f>
        <v>25</v>
      </c>
      <c r="G1509">
        <v>5.0000001000000002E-2</v>
      </c>
      <c r="H1509">
        <f>(ORDERS[[#This Row],[UnitsOrdered]]*ORDERS[[#This Row],[unit price]])-(ORDERS[[#This Row],[UnitsOrdered]]*ORDERS[[#This Row],[unit price]]*ORDERS[[#This Row],[Discount]])</f>
        <v>3372.4999964499998</v>
      </c>
      <c r="I1509" t="str">
        <f>VLOOKUP(ORDERS[[#This Row],[CustomerID]],customers[],2,FALSE)</f>
        <v>A Shirts Life</v>
      </c>
      <c r="J1509" s="2" t="str">
        <f>VLOOKUP(ORDERS[[#This Row],[CustomerID]],customers[],4,FALSE)</f>
        <v>Portland</v>
      </c>
      <c r="K1509" s="2" t="str">
        <f>VLOOKUP(ORDERS[[#This Row],[ProductID]],Products[],3,FALSE)</f>
        <v>Male</v>
      </c>
      <c r="L1509" s="2">
        <f>DAY(ORDERS[[#This Row],[OrderDate]])</f>
        <v>2</v>
      </c>
      <c r="M1509" s="2">
        <f>YEAR(ORDERS[[#This Row],[OrderDate]])</f>
        <v>2015</v>
      </c>
    </row>
    <row r="1510" spans="1:13" x14ac:dyDescent="0.3">
      <c r="A1510">
        <v>1509</v>
      </c>
      <c r="B1510">
        <v>2</v>
      </c>
      <c r="C1510">
        <v>7</v>
      </c>
      <c r="D1510" s="1">
        <v>42099</v>
      </c>
      <c r="E1510">
        <v>40</v>
      </c>
      <c r="F1510">
        <f>VLOOKUP(ORDERS[[#This Row],[ProductID]],Products[],4,FALSE)</f>
        <v>38</v>
      </c>
      <c r="G1510">
        <v>0</v>
      </c>
      <c r="H1510">
        <f>(ORDERS[[#This Row],[UnitsOrdered]]*ORDERS[[#This Row],[unit price]])-(ORDERS[[#This Row],[UnitsOrdered]]*ORDERS[[#This Row],[unit price]]*ORDERS[[#This Row],[Discount]])</f>
        <v>1520</v>
      </c>
      <c r="I1510" t="str">
        <f>VLOOKUP(ORDERS[[#This Row],[CustomerID]],customers[],2,FALSE)</f>
        <v>A Shirts Life</v>
      </c>
      <c r="J1510" s="2" t="str">
        <f>VLOOKUP(ORDERS[[#This Row],[CustomerID]],customers[],4,FALSE)</f>
        <v>Portland</v>
      </c>
      <c r="K1510" s="2" t="str">
        <f>VLOOKUP(ORDERS[[#This Row],[ProductID]],Products[],3,FALSE)</f>
        <v>Female</v>
      </c>
      <c r="L1510" s="2">
        <f>DAY(ORDERS[[#This Row],[OrderDate]])</f>
        <v>5</v>
      </c>
      <c r="M1510" s="2">
        <f>YEAR(ORDERS[[#This Row],[OrderDate]])</f>
        <v>2015</v>
      </c>
    </row>
    <row r="1511" spans="1:13" x14ac:dyDescent="0.3">
      <c r="A1511">
        <v>1510</v>
      </c>
      <c r="B1511">
        <v>7</v>
      </c>
      <c r="C1511">
        <v>8</v>
      </c>
      <c r="D1511" s="1">
        <v>42101</v>
      </c>
      <c r="E1511">
        <v>118</v>
      </c>
      <c r="F1511">
        <f>VLOOKUP(ORDERS[[#This Row],[ProductID]],Products[],4,FALSE)</f>
        <v>27</v>
      </c>
      <c r="G1511">
        <v>0</v>
      </c>
      <c r="H1511">
        <f>(ORDERS[[#This Row],[UnitsOrdered]]*ORDERS[[#This Row],[unit price]])-(ORDERS[[#This Row],[UnitsOrdered]]*ORDERS[[#This Row],[unit price]]*ORDERS[[#This Row],[Discount]])</f>
        <v>3186</v>
      </c>
      <c r="I1511" t="str">
        <f>VLOOKUP(ORDERS[[#This Row],[CustomerID]],customers[],2,FALSE)</f>
        <v>The Shirt on Your Back</v>
      </c>
      <c r="J1511" s="2" t="str">
        <f>VLOOKUP(ORDERS[[#This Row],[CustomerID]],customers[],4,FALSE)</f>
        <v>Bonners Ferry</v>
      </c>
      <c r="K1511" s="2" t="str">
        <f>VLOOKUP(ORDERS[[#This Row],[ProductID]],Products[],3,FALSE)</f>
        <v>Female</v>
      </c>
      <c r="L1511" s="2">
        <f>DAY(ORDERS[[#This Row],[OrderDate]])</f>
        <v>7</v>
      </c>
      <c r="M1511" s="2">
        <f>YEAR(ORDERS[[#This Row],[OrderDate]])</f>
        <v>2015</v>
      </c>
    </row>
    <row r="1512" spans="1:13" x14ac:dyDescent="0.3">
      <c r="A1512">
        <v>1511</v>
      </c>
      <c r="B1512">
        <v>7</v>
      </c>
      <c r="C1512">
        <v>6</v>
      </c>
      <c r="D1512" s="1">
        <v>42102</v>
      </c>
      <c r="E1512">
        <v>41</v>
      </c>
      <c r="F1512">
        <f>VLOOKUP(ORDERS[[#This Row],[ProductID]],Products[],4,FALSE)</f>
        <v>28</v>
      </c>
      <c r="G1512">
        <v>0</v>
      </c>
      <c r="H1512">
        <f>(ORDERS[[#This Row],[UnitsOrdered]]*ORDERS[[#This Row],[unit price]])-(ORDERS[[#This Row],[UnitsOrdered]]*ORDERS[[#This Row],[unit price]]*ORDERS[[#This Row],[Discount]])</f>
        <v>1148</v>
      </c>
      <c r="I1512" t="str">
        <f>VLOOKUP(ORDERS[[#This Row],[CustomerID]],customers[],2,FALSE)</f>
        <v>The Shirt on Your Back</v>
      </c>
      <c r="J1512" s="2" t="str">
        <f>VLOOKUP(ORDERS[[#This Row],[CustomerID]],customers[],4,FALSE)</f>
        <v>Bonners Ferry</v>
      </c>
      <c r="K1512" s="2" t="str">
        <f>VLOOKUP(ORDERS[[#This Row],[ProductID]],Products[],3,FALSE)</f>
        <v>Female</v>
      </c>
      <c r="L1512" s="2">
        <f>DAY(ORDERS[[#This Row],[OrderDate]])</f>
        <v>8</v>
      </c>
      <c r="M1512" s="2">
        <f>YEAR(ORDERS[[#This Row],[OrderDate]])</f>
        <v>2015</v>
      </c>
    </row>
    <row r="1513" spans="1:13" x14ac:dyDescent="0.3">
      <c r="A1513">
        <v>1512</v>
      </c>
      <c r="B1513">
        <v>1</v>
      </c>
      <c r="C1513">
        <v>4</v>
      </c>
      <c r="D1513" s="1">
        <v>42103</v>
      </c>
      <c r="E1513">
        <v>105</v>
      </c>
      <c r="F1513">
        <f>VLOOKUP(ORDERS[[#This Row],[ProductID]],Products[],4,FALSE)</f>
        <v>30</v>
      </c>
      <c r="G1513">
        <v>0</v>
      </c>
      <c r="H1513">
        <f>(ORDERS[[#This Row],[UnitsOrdered]]*ORDERS[[#This Row],[unit price]])-(ORDERS[[#This Row],[UnitsOrdered]]*ORDERS[[#This Row],[unit price]]*ORDERS[[#This Row],[Discount]])</f>
        <v>3150</v>
      </c>
      <c r="I1513" t="str">
        <f>VLOOKUP(ORDERS[[#This Row],[CustomerID]],customers[],2,FALSE)</f>
        <v>Threads</v>
      </c>
      <c r="J1513" s="2" t="str">
        <f>VLOOKUP(ORDERS[[#This Row],[CustomerID]],customers[],4,FALSE)</f>
        <v>Seattle</v>
      </c>
      <c r="K1513" s="2" t="str">
        <f>VLOOKUP(ORDERS[[#This Row],[ProductID]],Products[],3,FALSE)</f>
        <v>Both</v>
      </c>
      <c r="L1513" s="2">
        <f>DAY(ORDERS[[#This Row],[OrderDate]])</f>
        <v>9</v>
      </c>
      <c r="M1513" s="2">
        <f>YEAR(ORDERS[[#This Row],[OrderDate]])</f>
        <v>2015</v>
      </c>
    </row>
    <row r="1514" spans="1:13" x14ac:dyDescent="0.3">
      <c r="A1514">
        <v>1513</v>
      </c>
      <c r="B1514">
        <v>2</v>
      </c>
      <c r="C1514">
        <v>7</v>
      </c>
      <c r="D1514" s="1">
        <v>42104</v>
      </c>
      <c r="E1514">
        <v>75</v>
      </c>
      <c r="F1514">
        <f>VLOOKUP(ORDERS[[#This Row],[ProductID]],Products[],4,FALSE)</f>
        <v>38</v>
      </c>
      <c r="G1514">
        <v>5.0000001000000002E-2</v>
      </c>
      <c r="H1514">
        <f>(ORDERS[[#This Row],[UnitsOrdered]]*ORDERS[[#This Row],[unit price]])-(ORDERS[[#This Row],[UnitsOrdered]]*ORDERS[[#This Row],[unit price]]*ORDERS[[#This Row],[Discount]])</f>
        <v>2707.4999971500001</v>
      </c>
      <c r="I1514" t="str">
        <f>VLOOKUP(ORDERS[[#This Row],[CustomerID]],customers[],2,FALSE)</f>
        <v>A Shirts Life</v>
      </c>
      <c r="J1514" s="2" t="str">
        <f>VLOOKUP(ORDERS[[#This Row],[CustomerID]],customers[],4,FALSE)</f>
        <v>Portland</v>
      </c>
      <c r="K1514" s="2" t="str">
        <f>VLOOKUP(ORDERS[[#This Row],[ProductID]],Products[],3,FALSE)</f>
        <v>Female</v>
      </c>
      <c r="L1514" s="2">
        <f>DAY(ORDERS[[#This Row],[OrderDate]])</f>
        <v>10</v>
      </c>
      <c r="M1514" s="2">
        <f>YEAR(ORDERS[[#This Row],[OrderDate]])</f>
        <v>2015</v>
      </c>
    </row>
    <row r="1515" spans="1:13" x14ac:dyDescent="0.3">
      <c r="A1515">
        <v>1514</v>
      </c>
      <c r="B1515">
        <v>1</v>
      </c>
      <c r="C1515">
        <v>3</v>
      </c>
      <c r="D1515" s="1">
        <v>42106</v>
      </c>
      <c r="E1515">
        <v>145</v>
      </c>
      <c r="F1515">
        <f>VLOOKUP(ORDERS[[#This Row],[ProductID]],Products[],4,FALSE)</f>
        <v>22</v>
      </c>
      <c r="G1515">
        <v>0.10000000100000001</v>
      </c>
      <c r="H1515">
        <f>(ORDERS[[#This Row],[UnitsOrdered]]*ORDERS[[#This Row],[unit price]])-(ORDERS[[#This Row],[UnitsOrdered]]*ORDERS[[#This Row],[unit price]]*ORDERS[[#This Row],[Discount]])</f>
        <v>2870.9999968100001</v>
      </c>
      <c r="I1515" t="str">
        <f>VLOOKUP(ORDERS[[#This Row],[CustomerID]],customers[],2,FALSE)</f>
        <v>Threads</v>
      </c>
      <c r="J1515" s="2" t="str">
        <f>VLOOKUP(ORDERS[[#This Row],[CustomerID]],customers[],4,FALSE)</f>
        <v>Seattle</v>
      </c>
      <c r="K1515" s="2" t="str">
        <f>VLOOKUP(ORDERS[[#This Row],[ProductID]],Products[],3,FALSE)</f>
        <v>Both</v>
      </c>
      <c r="L1515" s="2">
        <f>DAY(ORDERS[[#This Row],[OrderDate]])</f>
        <v>12</v>
      </c>
      <c r="M1515" s="2">
        <f>YEAR(ORDERS[[#This Row],[OrderDate]])</f>
        <v>2015</v>
      </c>
    </row>
    <row r="1516" spans="1:13" x14ac:dyDescent="0.3">
      <c r="A1516">
        <v>1515</v>
      </c>
      <c r="B1516">
        <v>5</v>
      </c>
      <c r="C1516">
        <v>6</v>
      </c>
      <c r="D1516" s="1">
        <v>42107</v>
      </c>
      <c r="E1516">
        <v>83</v>
      </c>
      <c r="F1516">
        <f>VLOOKUP(ORDERS[[#This Row],[ProductID]],Products[],4,FALSE)</f>
        <v>28</v>
      </c>
      <c r="G1516">
        <v>0</v>
      </c>
      <c r="H1516">
        <f>(ORDERS[[#This Row],[UnitsOrdered]]*ORDERS[[#This Row],[unit price]])-(ORDERS[[#This Row],[UnitsOrdered]]*ORDERS[[#This Row],[unit price]]*ORDERS[[#This Row],[Discount]])</f>
        <v>2324</v>
      </c>
      <c r="I1516" t="str">
        <f>VLOOKUP(ORDERS[[#This Row],[CustomerID]],customers[],2,FALSE)</f>
        <v>Rags to Riches</v>
      </c>
      <c r="J1516" s="2" t="str">
        <f>VLOOKUP(ORDERS[[#This Row],[CustomerID]],customers[],4,FALSE)</f>
        <v>Las Vegas</v>
      </c>
      <c r="K1516" s="2" t="str">
        <f>VLOOKUP(ORDERS[[#This Row],[ProductID]],Products[],3,FALSE)</f>
        <v>Female</v>
      </c>
      <c r="L1516" s="2">
        <f>DAY(ORDERS[[#This Row],[OrderDate]])</f>
        <v>13</v>
      </c>
      <c r="M1516" s="2">
        <f>YEAR(ORDERS[[#This Row],[OrderDate]])</f>
        <v>2015</v>
      </c>
    </row>
    <row r="1517" spans="1:13" x14ac:dyDescent="0.3">
      <c r="A1517">
        <v>1516</v>
      </c>
      <c r="B1517">
        <v>2</v>
      </c>
      <c r="C1517">
        <v>1</v>
      </c>
      <c r="D1517" s="1">
        <v>42108</v>
      </c>
      <c r="E1517">
        <v>70</v>
      </c>
      <c r="F1517">
        <f>VLOOKUP(ORDERS[[#This Row],[ProductID]],Products[],4,FALSE)</f>
        <v>20</v>
      </c>
      <c r="G1517">
        <v>0</v>
      </c>
      <c r="H1517">
        <f>(ORDERS[[#This Row],[UnitsOrdered]]*ORDERS[[#This Row],[unit price]])-(ORDERS[[#This Row],[UnitsOrdered]]*ORDERS[[#This Row],[unit price]]*ORDERS[[#This Row],[Discount]])</f>
        <v>1400</v>
      </c>
      <c r="I1517" t="str">
        <f>VLOOKUP(ORDERS[[#This Row],[CustomerID]],customers[],2,FALSE)</f>
        <v>A Shirts Life</v>
      </c>
      <c r="J1517" s="2" t="str">
        <f>VLOOKUP(ORDERS[[#This Row],[CustomerID]],customers[],4,FALSE)</f>
        <v>Portland</v>
      </c>
      <c r="K1517" s="2" t="str">
        <f>VLOOKUP(ORDERS[[#This Row],[ProductID]],Products[],3,FALSE)</f>
        <v>Both</v>
      </c>
      <c r="L1517" s="2">
        <f>DAY(ORDERS[[#This Row],[OrderDate]])</f>
        <v>14</v>
      </c>
      <c r="M1517" s="2">
        <f>YEAR(ORDERS[[#This Row],[OrderDate]])</f>
        <v>2015</v>
      </c>
    </row>
    <row r="1518" spans="1:13" x14ac:dyDescent="0.3">
      <c r="A1518">
        <v>1517</v>
      </c>
      <c r="B1518">
        <v>2</v>
      </c>
      <c r="C1518">
        <v>3</v>
      </c>
      <c r="D1518" s="1">
        <v>42108</v>
      </c>
      <c r="E1518">
        <v>119</v>
      </c>
      <c r="F1518">
        <f>VLOOKUP(ORDERS[[#This Row],[ProductID]],Products[],4,FALSE)</f>
        <v>22</v>
      </c>
      <c r="G1518">
        <v>0</v>
      </c>
      <c r="H1518">
        <f>(ORDERS[[#This Row],[UnitsOrdered]]*ORDERS[[#This Row],[unit price]])-(ORDERS[[#This Row],[UnitsOrdered]]*ORDERS[[#This Row],[unit price]]*ORDERS[[#This Row],[Discount]])</f>
        <v>2618</v>
      </c>
      <c r="I1518" t="str">
        <f>VLOOKUP(ORDERS[[#This Row],[CustomerID]],customers[],2,FALSE)</f>
        <v>A Shirts Life</v>
      </c>
      <c r="J1518" s="2" t="str">
        <f>VLOOKUP(ORDERS[[#This Row],[CustomerID]],customers[],4,FALSE)</f>
        <v>Portland</v>
      </c>
      <c r="K1518" s="2" t="str">
        <f>VLOOKUP(ORDERS[[#This Row],[ProductID]],Products[],3,FALSE)</f>
        <v>Both</v>
      </c>
      <c r="L1518" s="2">
        <f>DAY(ORDERS[[#This Row],[OrderDate]])</f>
        <v>14</v>
      </c>
      <c r="M1518" s="2">
        <f>YEAR(ORDERS[[#This Row],[OrderDate]])</f>
        <v>2015</v>
      </c>
    </row>
    <row r="1519" spans="1:13" x14ac:dyDescent="0.3">
      <c r="A1519">
        <v>1518</v>
      </c>
      <c r="B1519">
        <v>5</v>
      </c>
      <c r="C1519">
        <v>4</v>
      </c>
      <c r="D1519" s="1">
        <v>42108</v>
      </c>
      <c r="E1519">
        <v>51</v>
      </c>
      <c r="F1519">
        <f>VLOOKUP(ORDERS[[#This Row],[ProductID]],Products[],4,FALSE)</f>
        <v>30</v>
      </c>
      <c r="G1519">
        <v>0</v>
      </c>
      <c r="H1519">
        <f>(ORDERS[[#This Row],[UnitsOrdered]]*ORDERS[[#This Row],[unit price]])-(ORDERS[[#This Row],[UnitsOrdered]]*ORDERS[[#This Row],[unit price]]*ORDERS[[#This Row],[Discount]])</f>
        <v>1530</v>
      </c>
      <c r="I1519" t="str">
        <f>VLOOKUP(ORDERS[[#This Row],[CustomerID]],customers[],2,FALSE)</f>
        <v>Rags to Riches</v>
      </c>
      <c r="J1519" s="2" t="str">
        <f>VLOOKUP(ORDERS[[#This Row],[CustomerID]],customers[],4,FALSE)</f>
        <v>Las Vegas</v>
      </c>
      <c r="K1519" s="2" t="str">
        <f>VLOOKUP(ORDERS[[#This Row],[ProductID]],Products[],3,FALSE)</f>
        <v>Both</v>
      </c>
      <c r="L1519" s="2">
        <f>DAY(ORDERS[[#This Row],[OrderDate]])</f>
        <v>14</v>
      </c>
      <c r="M1519" s="2">
        <f>YEAR(ORDERS[[#This Row],[OrderDate]])</f>
        <v>2015</v>
      </c>
    </row>
    <row r="1520" spans="1:13" x14ac:dyDescent="0.3">
      <c r="A1520">
        <v>1519</v>
      </c>
      <c r="B1520">
        <v>5</v>
      </c>
      <c r="C1520">
        <v>6</v>
      </c>
      <c r="D1520" s="1">
        <v>42108</v>
      </c>
      <c r="E1520">
        <v>114</v>
      </c>
      <c r="F1520">
        <f>VLOOKUP(ORDERS[[#This Row],[ProductID]],Products[],4,FALSE)</f>
        <v>28</v>
      </c>
      <c r="G1520">
        <v>0</v>
      </c>
      <c r="H1520">
        <f>(ORDERS[[#This Row],[UnitsOrdered]]*ORDERS[[#This Row],[unit price]])-(ORDERS[[#This Row],[UnitsOrdered]]*ORDERS[[#This Row],[unit price]]*ORDERS[[#This Row],[Discount]])</f>
        <v>3192</v>
      </c>
      <c r="I1520" t="str">
        <f>VLOOKUP(ORDERS[[#This Row],[CustomerID]],customers[],2,FALSE)</f>
        <v>Rags to Riches</v>
      </c>
      <c r="J1520" s="2" t="str">
        <f>VLOOKUP(ORDERS[[#This Row],[CustomerID]],customers[],4,FALSE)</f>
        <v>Las Vegas</v>
      </c>
      <c r="K1520" s="2" t="str">
        <f>VLOOKUP(ORDERS[[#This Row],[ProductID]],Products[],3,FALSE)</f>
        <v>Female</v>
      </c>
      <c r="L1520" s="2">
        <f>DAY(ORDERS[[#This Row],[OrderDate]])</f>
        <v>14</v>
      </c>
      <c r="M1520" s="2">
        <f>YEAR(ORDERS[[#This Row],[OrderDate]])</f>
        <v>2015</v>
      </c>
    </row>
    <row r="1521" spans="1:13" x14ac:dyDescent="0.3">
      <c r="A1521">
        <v>1520</v>
      </c>
      <c r="B1521">
        <v>4</v>
      </c>
      <c r="C1521">
        <v>1</v>
      </c>
      <c r="D1521" s="1">
        <v>42109</v>
      </c>
      <c r="E1521">
        <v>81</v>
      </c>
      <c r="F1521">
        <f>VLOOKUP(ORDERS[[#This Row],[ProductID]],Products[],4,FALSE)</f>
        <v>20</v>
      </c>
      <c r="G1521">
        <v>0</v>
      </c>
      <c r="H1521">
        <f>(ORDERS[[#This Row],[UnitsOrdered]]*ORDERS[[#This Row],[unit price]])-(ORDERS[[#This Row],[UnitsOrdered]]*ORDERS[[#This Row],[unit price]]*ORDERS[[#This Row],[Discount]])</f>
        <v>1620</v>
      </c>
      <c r="I1521" t="str">
        <f>VLOOKUP(ORDERS[[#This Row],[CustomerID]],customers[],2,FALSE)</f>
        <v>Tshirt Unlimited</v>
      </c>
      <c r="J1521" s="2" t="str">
        <f>VLOOKUP(ORDERS[[#This Row],[CustomerID]],customers[],4,FALSE)</f>
        <v>Phoenix</v>
      </c>
      <c r="K1521" s="2" t="str">
        <f>VLOOKUP(ORDERS[[#This Row],[ProductID]],Products[],3,FALSE)</f>
        <v>Both</v>
      </c>
      <c r="L1521" s="2">
        <f>DAY(ORDERS[[#This Row],[OrderDate]])</f>
        <v>15</v>
      </c>
      <c r="M1521" s="2">
        <f>YEAR(ORDERS[[#This Row],[OrderDate]])</f>
        <v>2015</v>
      </c>
    </row>
    <row r="1522" spans="1:13" x14ac:dyDescent="0.3">
      <c r="A1522">
        <v>1521</v>
      </c>
      <c r="B1522">
        <v>3</v>
      </c>
      <c r="C1522">
        <v>8</v>
      </c>
      <c r="D1522" s="1">
        <v>42112</v>
      </c>
      <c r="E1522">
        <v>75</v>
      </c>
      <c r="F1522">
        <f>VLOOKUP(ORDERS[[#This Row],[ProductID]],Products[],4,FALSE)</f>
        <v>27</v>
      </c>
      <c r="G1522">
        <v>0</v>
      </c>
      <c r="H1522">
        <f>(ORDERS[[#This Row],[UnitsOrdered]]*ORDERS[[#This Row],[unit price]])-(ORDERS[[#This Row],[UnitsOrdered]]*ORDERS[[#This Row],[unit price]]*ORDERS[[#This Row],[Discount]])</f>
        <v>2025</v>
      </c>
      <c r="I1522" t="str">
        <f>VLOOKUP(ORDERS[[#This Row],[CustomerID]],customers[],2,FALSE)</f>
        <v>Shirts R Us</v>
      </c>
      <c r="J1522" s="2" t="str">
        <f>VLOOKUP(ORDERS[[#This Row],[CustomerID]],customers[],4,FALSE)</f>
        <v>Los Angeles</v>
      </c>
      <c r="K1522" s="2" t="str">
        <f>VLOOKUP(ORDERS[[#This Row],[ProductID]],Products[],3,FALSE)</f>
        <v>Female</v>
      </c>
      <c r="L1522" s="2">
        <f>DAY(ORDERS[[#This Row],[OrderDate]])</f>
        <v>18</v>
      </c>
      <c r="M1522" s="2">
        <f>YEAR(ORDERS[[#This Row],[OrderDate]])</f>
        <v>2015</v>
      </c>
    </row>
    <row r="1523" spans="1:13" x14ac:dyDescent="0.3">
      <c r="A1523">
        <v>1522</v>
      </c>
      <c r="B1523">
        <v>6</v>
      </c>
      <c r="C1523">
        <v>3</v>
      </c>
      <c r="D1523" s="1">
        <v>42113</v>
      </c>
      <c r="E1523">
        <v>46</v>
      </c>
      <c r="F1523">
        <f>VLOOKUP(ORDERS[[#This Row],[ProductID]],Products[],4,FALSE)</f>
        <v>22</v>
      </c>
      <c r="G1523">
        <v>0</v>
      </c>
      <c r="H1523">
        <f>(ORDERS[[#This Row],[UnitsOrdered]]*ORDERS[[#This Row],[unit price]])-(ORDERS[[#This Row],[UnitsOrdered]]*ORDERS[[#This Row],[unit price]]*ORDERS[[#This Row],[Discount]])</f>
        <v>1012</v>
      </c>
      <c r="I1523" t="str">
        <f>VLOOKUP(ORDERS[[#This Row],[CustomerID]],customers[],2,FALSE)</f>
        <v>Abracadaba Ink</v>
      </c>
      <c r="J1523" s="2" t="str">
        <f>VLOOKUP(ORDERS[[#This Row],[CustomerID]],customers[],4,FALSE)</f>
        <v>Salt Lake City</v>
      </c>
      <c r="K1523" s="2" t="str">
        <f>VLOOKUP(ORDERS[[#This Row],[ProductID]],Products[],3,FALSE)</f>
        <v>Both</v>
      </c>
      <c r="L1523" s="2">
        <f>DAY(ORDERS[[#This Row],[OrderDate]])</f>
        <v>19</v>
      </c>
      <c r="M1523" s="2">
        <f>YEAR(ORDERS[[#This Row],[OrderDate]])</f>
        <v>2015</v>
      </c>
    </row>
    <row r="1524" spans="1:13" x14ac:dyDescent="0.3">
      <c r="A1524">
        <v>1523</v>
      </c>
      <c r="B1524">
        <v>6</v>
      </c>
      <c r="C1524">
        <v>7</v>
      </c>
      <c r="D1524" s="1">
        <v>42113</v>
      </c>
      <c r="E1524">
        <v>51</v>
      </c>
      <c r="F1524">
        <f>VLOOKUP(ORDERS[[#This Row],[ProductID]],Products[],4,FALSE)</f>
        <v>38</v>
      </c>
      <c r="G1524">
        <v>0</v>
      </c>
      <c r="H1524">
        <f>(ORDERS[[#This Row],[UnitsOrdered]]*ORDERS[[#This Row],[unit price]])-(ORDERS[[#This Row],[UnitsOrdered]]*ORDERS[[#This Row],[unit price]]*ORDERS[[#This Row],[Discount]])</f>
        <v>1938</v>
      </c>
      <c r="I1524" t="str">
        <f>VLOOKUP(ORDERS[[#This Row],[CustomerID]],customers[],2,FALSE)</f>
        <v>Abracadaba Ink</v>
      </c>
      <c r="J1524" s="2" t="str">
        <f>VLOOKUP(ORDERS[[#This Row],[CustomerID]],customers[],4,FALSE)</f>
        <v>Salt Lake City</v>
      </c>
      <c r="K1524" s="2" t="str">
        <f>VLOOKUP(ORDERS[[#This Row],[ProductID]],Products[],3,FALSE)</f>
        <v>Female</v>
      </c>
      <c r="L1524" s="2">
        <f>DAY(ORDERS[[#This Row],[OrderDate]])</f>
        <v>19</v>
      </c>
      <c r="M1524" s="2">
        <f>YEAR(ORDERS[[#This Row],[OrderDate]])</f>
        <v>2015</v>
      </c>
    </row>
    <row r="1525" spans="1:13" x14ac:dyDescent="0.3">
      <c r="A1525">
        <v>1524</v>
      </c>
      <c r="B1525">
        <v>1</v>
      </c>
      <c r="C1525">
        <v>3</v>
      </c>
      <c r="D1525" s="1">
        <v>42115</v>
      </c>
      <c r="E1525">
        <v>121</v>
      </c>
      <c r="F1525">
        <f>VLOOKUP(ORDERS[[#This Row],[ProductID]],Products[],4,FALSE)</f>
        <v>22</v>
      </c>
      <c r="G1525">
        <v>0.10000000100000001</v>
      </c>
      <c r="H1525">
        <f>(ORDERS[[#This Row],[UnitsOrdered]]*ORDERS[[#This Row],[unit price]])-(ORDERS[[#This Row],[UnitsOrdered]]*ORDERS[[#This Row],[unit price]]*ORDERS[[#This Row],[Discount]])</f>
        <v>2395.7999973380001</v>
      </c>
      <c r="I1525" t="str">
        <f>VLOOKUP(ORDERS[[#This Row],[CustomerID]],customers[],2,FALSE)</f>
        <v>Threads</v>
      </c>
      <c r="J1525" s="2" t="str">
        <f>VLOOKUP(ORDERS[[#This Row],[CustomerID]],customers[],4,FALSE)</f>
        <v>Seattle</v>
      </c>
      <c r="K1525" s="2" t="str">
        <f>VLOOKUP(ORDERS[[#This Row],[ProductID]],Products[],3,FALSE)</f>
        <v>Both</v>
      </c>
      <c r="L1525" s="2">
        <f>DAY(ORDERS[[#This Row],[OrderDate]])</f>
        <v>21</v>
      </c>
      <c r="M1525" s="2">
        <f>YEAR(ORDERS[[#This Row],[OrderDate]])</f>
        <v>2015</v>
      </c>
    </row>
    <row r="1526" spans="1:13" x14ac:dyDescent="0.3">
      <c r="A1526">
        <v>1525</v>
      </c>
      <c r="B1526">
        <v>1</v>
      </c>
      <c r="C1526">
        <v>8</v>
      </c>
      <c r="D1526" s="1">
        <v>42115</v>
      </c>
      <c r="E1526">
        <v>90</v>
      </c>
      <c r="F1526">
        <f>VLOOKUP(ORDERS[[#This Row],[ProductID]],Products[],4,FALSE)</f>
        <v>27</v>
      </c>
      <c r="G1526">
        <v>0</v>
      </c>
      <c r="H1526">
        <f>(ORDERS[[#This Row],[UnitsOrdered]]*ORDERS[[#This Row],[unit price]])-(ORDERS[[#This Row],[UnitsOrdered]]*ORDERS[[#This Row],[unit price]]*ORDERS[[#This Row],[Discount]])</f>
        <v>2430</v>
      </c>
      <c r="I1526" t="str">
        <f>VLOOKUP(ORDERS[[#This Row],[CustomerID]],customers[],2,FALSE)</f>
        <v>Threads</v>
      </c>
      <c r="J1526" s="2" t="str">
        <f>VLOOKUP(ORDERS[[#This Row],[CustomerID]],customers[],4,FALSE)</f>
        <v>Seattle</v>
      </c>
      <c r="K1526" s="2" t="str">
        <f>VLOOKUP(ORDERS[[#This Row],[ProductID]],Products[],3,FALSE)</f>
        <v>Female</v>
      </c>
      <c r="L1526" s="2">
        <f>DAY(ORDERS[[#This Row],[OrderDate]])</f>
        <v>21</v>
      </c>
      <c r="M1526" s="2">
        <f>YEAR(ORDERS[[#This Row],[OrderDate]])</f>
        <v>2015</v>
      </c>
    </row>
    <row r="1527" spans="1:13" x14ac:dyDescent="0.3">
      <c r="A1527">
        <v>1526</v>
      </c>
      <c r="B1527">
        <v>2</v>
      </c>
      <c r="C1527">
        <v>4</v>
      </c>
      <c r="D1527" s="1">
        <v>42117</v>
      </c>
      <c r="E1527">
        <v>109</v>
      </c>
      <c r="F1527">
        <f>VLOOKUP(ORDERS[[#This Row],[ProductID]],Products[],4,FALSE)</f>
        <v>30</v>
      </c>
      <c r="G1527">
        <v>0</v>
      </c>
      <c r="H1527">
        <f>(ORDERS[[#This Row],[UnitsOrdered]]*ORDERS[[#This Row],[unit price]])-(ORDERS[[#This Row],[UnitsOrdered]]*ORDERS[[#This Row],[unit price]]*ORDERS[[#This Row],[Discount]])</f>
        <v>3270</v>
      </c>
      <c r="I1527" t="str">
        <f>VLOOKUP(ORDERS[[#This Row],[CustomerID]],customers[],2,FALSE)</f>
        <v>A Shirts Life</v>
      </c>
      <c r="J1527" s="2" t="str">
        <f>VLOOKUP(ORDERS[[#This Row],[CustomerID]],customers[],4,FALSE)</f>
        <v>Portland</v>
      </c>
      <c r="K1527" s="2" t="str">
        <f>VLOOKUP(ORDERS[[#This Row],[ProductID]],Products[],3,FALSE)</f>
        <v>Both</v>
      </c>
      <c r="L1527" s="2">
        <f>DAY(ORDERS[[#This Row],[OrderDate]])</f>
        <v>23</v>
      </c>
      <c r="M1527" s="2">
        <f>YEAR(ORDERS[[#This Row],[OrderDate]])</f>
        <v>2015</v>
      </c>
    </row>
    <row r="1528" spans="1:13" x14ac:dyDescent="0.3">
      <c r="A1528">
        <v>1527</v>
      </c>
      <c r="B1528">
        <v>3</v>
      </c>
      <c r="C1528">
        <v>6</v>
      </c>
      <c r="D1528" s="1">
        <v>42117</v>
      </c>
      <c r="E1528">
        <v>100</v>
      </c>
      <c r="F1528">
        <f>VLOOKUP(ORDERS[[#This Row],[ProductID]],Products[],4,FALSE)</f>
        <v>28</v>
      </c>
      <c r="G1528">
        <v>0</v>
      </c>
      <c r="H1528">
        <f>(ORDERS[[#This Row],[UnitsOrdered]]*ORDERS[[#This Row],[unit price]])-(ORDERS[[#This Row],[UnitsOrdered]]*ORDERS[[#This Row],[unit price]]*ORDERS[[#This Row],[Discount]])</f>
        <v>2800</v>
      </c>
      <c r="I1528" t="str">
        <f>VLOOKUP(ORDERS[[#This Row],[CustomerID]],customers[],2,FALSE)</f>
        <v>Shirts R Us</v>
      </c>
      <c r="J1528" s="2" t="str">
        <f>VLOOKUP(ORDERS[[#This Row],[CustomerID]],customers[],4,FALSE)</f>
        <v>Los Angeles</v>
      </c>
      <c r="K1528" s="2" t="str">
        <f>VLOOKUP(ORDERS[[#This Row],[ProductID]],Products[],3,FALSE)</f>
        <v>Female</v>
      </c>
      <c r="L1528" s="2">
        <f>DAY(ORDERS[[#This Row],[OrderDate]])</f>
        <v>23</v>
      </c>
      <c r="M1528" s="2">
        <f>YEAR(ORDERS[[#This Row],[OrderDate]])</f>
        <v>2015</v>
      </c>
    </row>
    <row r="1529" spans="1:13" x14ac:dyDescent="0.3">
      <c r="A1529">
        <v>1528</v>
      </c>
      <c r="B1529">
        <v>1</v>
      </c>
      <c r="C1529">
        <v>9</v>
      </c>
      <c r="D1529" s="1">
        <v>42118</v>
      </c>
      <c r="E1529">
        <v>140</v>
      </c>
      <c r="F1529">
        <f>VLOOKUP(ORDERS[[#This Row],[ProductID]],Products[],4,FALSE)</f>
        <v>25</v>
      </c>
      <c r="G1529">
        <v>0</v>
      </c>
      <c r="H1529">
        <f>(ORDERS[[#This Row],[UnitsOrdered]]*ORDERS[[#This Row],[unit price]])-(ORDERS[[#This Row],[UnitsOrdered]]*ORDERS[[#This Row],[unit price]]*ORDERS[[#This Row],[Discount]])</f>
        <v>3500</v>
      </c>
      <c r="I1529" t="str">
        <f>VLOOKUP(ORDERS[[#This Row],[CustomerID]],customers[],2,FALSE)</f>
        <v>Threads</v>
      </c>
      <c r="J1529" s="2" t="str">
        <f>VLOOKUP(ORDERS[[#This Row],[CustomerID]],customers[],4,FALSE)</f>
        <v>Seattle</v>
      </c>
      <c r="K1529" s="2" t="str">
        <f>VLOOKUP(ORDERS[[#This Row],[ProductID]],Products[],3,FALSE)</f>
        <v>Male</v>
      </c>
      <c r="L1529" s="2">
        <f>DAY(ORDERS[[#This Row],[OrderDate]])</f>
        <v>24</v>
      </c>
      <c r="M1529" s="2">
        <f>YEAR(ORDERS[[#This Row],[OrderDate]])</f>
        <v>2015</v>
      </c>
    </row>
    <row r="1530" spans="1:13" x14ac:dyDescent="0.3">
      <c r="A1530">
        <v>1529</v>
      </c>
      <c r="B1530">
        <v>7</v>
      </c>
      <c r="C1530">
        <v>9</v>
      </c>
      <c r="D1530" s="1">
        <v>42118</v>
      </c>
      <c r="E1530">
        <v>139</v>
      </c>
      <c r="F1530">
        <f>VLOOKUP(ORDERS[[#This Row],[ProductID]],Products[],4,FALSE)</f>
        <v>25</v>
      </c>
      <c r="G1530">
        <v>0</v>
      </c>
      <c r="H1530">
        <f>(ORDERS[[#This Row],[UnitsOrdered]]*ORDERS[[#This Row],[unit price]])-(ORDERS[[#This Row],[UnitsOrdered]]*ORDERS[[#This Row],[unit price]]*ORDERS[[#This Row],[Discount]])</f>
        <v>3475</v>
      </c>
      <c r="I1530" t="str">
        <f>VLOOKUP(ORDERS[[#This Row],[CustomerID]],customers[],2,FALSE)</f>
        <v>The Shirt on Your Back</v>
      </c>
      <c r="J1530" s="2" t="str">
        <f>VLOOKUP(ORDERS[[#This Row],[CustomerID]],customers[],4,FALSE)</f>
        <v>Bonners Ferry</v>
      </c>
      <c r="K1530" s="2" t="str">
        <f>VLOOKUP(ORDERS[[#This Row],[ProductID]],Products[],3,FALSE)</f>
        <v>Male</v>
      </c>
      <c r="L1530" s="2">
        <f>DAY(ORDERS[[#This Row],[OrderDate]])</f>
        <v>24</v>
      </c>
      <c r="M1530" s="2">
        <f>YEAR(ORDERS[[#This Row],[OrderDate]])</f>
        <v>2015</v>
      </c>
    </row>
    <row r="1531" spans="1:13" x14ac:dyDescent="0.3">
      <c r="A1531">
        <v>1530</v>
      </c>
      <c r="B1531">
        <v>2</v>
      </c>
      <c r="C1531">
        <v>4</v>
      </c>
      <c r="D1531" s="1">
        <v>42119</v>
      </c>
      <c r="E1531">
        <v>95</v>
      </c>
      <c r="F1531">
        <f>VLOOKUP(ORDERS[[#This Row],[ProductID]],Products[],4,FALSE)</f>
        <v>30</v>
      </c>
      <c r="G1531">
        <v>0</v>
      </c>
      <c r="H1531">
        <f>(ORDERS[[#This Row],[UnitsOrdered]]*ORDERS[[#This Row],[unit price]])-(ORDERS[[#This Row],[UnitsOrdered]]*ORDERS[[#This Row],[unit price]]*ORDERS[[#This Row],[Discount]])</f>
        <v>2850</v>
      </c>
      <c r="I1531" t="str">
        <f>VLOOKUP(ORDERS[[#This Row],[CustomerID]],customers[],2,FALSE)</f>
        <v>A Shirts Life</v>
      </c>
      <c r="J1531" s="2" t="str">
        <f>VLOOKUP(ORDERS[[#This Row],[CustomerID]],customers[],4,FALSE)</f>
        <v>Portland</v>
      </c>
      <c r="K1531" s="2" t="str">
        <f>VLOOKUP(ORDERS[[#This Row],[ProductID]],Products[],3,FALSE)</f>
        <v>Both</v>
      </c>
      <c r="L1531" s="2">
        <f>DAY(ORDERS[[#This Row],[OrderDate]])</f>
        <v>25</v>
      </c>
      <c r="M1531" s="2">
        <f>YEAR(ORDERS[[#This Row],[OrderDate]])</f>
        <v>2015</v>
      </c>
    </row>
    <row r="1532" spans="1:13" x14ac:dyDescent="0.3">
      <c r="A1532">
        <v>1531</v>
      </c>
      <c r="B1532">
        <v>1</v>
      </c>
      <c r="C1532">
        <v>5</v>
      </c>
      <c r="D1532" s="1">
        <v>42120</v>
      </c>
      <c r="E1532">
        <v>48</v>
      </c>
      <c r="F1532">
        <f>VLOOKUP(ORDERS[[#This Row],[ProductID]],Products[],4,FALSE)</f>
        <v>16</v>
      </c>
      <c r="G1532">
        <v>0</v>
      </c>
      <c r="H1532">
        <f>(ORDERS[[#This Row],[UnitsOrdered]]*ORDERS[[#This Row],[unit price]])-(ORDERS[[#This Row],[UnitsOrdered]]*ORDERS[[#This Row],[unit price]]*ORDERS[[#This Row],[Discount]])</f>
        <v>768</v>
      </c>
      <c r="I1532" t="str">
        <f>VLOOKUP(ORDERS[[#This Row],[CustomerID]],customers[],2,FALSE)</f>
        <v>Threads</v>
      </c>
      <c r="J1532" s="2" t="str">
        <f>VLOOKUP(ORDERS[[#This Row],[CustomerID]],customers[],4,FALSE)</f>
        <v>Seattle</v>
      </c>
      <c r="K1532" s="2" t="str">
        <f>VLOOKUP(ORDERS[[#This Row],[ProductID]],Products[],3,FALSE)</f>
        <v>Female</v>
      </c>
      <c r="L1532" s="2">
        <f>DAY(ORDERS[[#This Row],[OrderDate]])</f>
        <v>26</v>
      </c>
      <c r="M1532" s="2">
        <f>YEAR(ORDERS[[#This Row],[OrderDate]])</f>
        <v>2015</v>
      </c>
    </row>
    <row r="1533" spans="1:13" x14ac:dyDescent="0.3">
      <c r="A1533">
        <v>1532</v>
      </c>
      <c r="B1533">
        <v>3</v>
      </c>
      <c r="C1533">
        <v>5</v>
      </c>
      <c r="D1533" s="1">
        <v>42120</v>
      </c>
      <c r="E1533">
        <v>45</v>
      </c>
      <c r="F1533">
        <f>VLOOKUP(ORDERS[[#This Row],[ProductID]],Products[],4,FALSE)</f>
        <v>16</v>
      </c>
      <c r="G1533">
        <v>0</v>
      </c>
      <c r="H1533">
        <f>(ORDERS[[#This Row],[UnitsOrdered]]*ORDERS[[#This Row],[unit price]])-(ORDERS[[#This Row],[UnitsOrdered]]*ORDERS[[#This Row],[unit price]]*ORDERS[[#This Row],[Discount]])</f>
        <v>720</v>
      </c>
      <c r="I1533" t="str">
        <f>VLOOKUP(ORDERS[[#This Row],[CustomerID]],customers[],2,FALSE)</f>
        <v>Shirts R Us</v>
      </c>
      <c r="J1533" s="2" t="str">
        <f>VLOOKUP(ORDERS[[#This Row],[CustomerID]],customers[],4,FALSE)</f>
        <v>Los Angeles</v>
      </c>
      <c r="K1533" s="2" t="str">
        <f>VLOOKUP(ORDERS[[#This Row],[ProductID]],Products[],3,FALSE)</f>
        <v>Female</v>
      </c>
      <c r="L1533" s="2">
        <f>DAY(ORDERS[[#This Row],[OrderDate]])</f>
        <v>26</v>
      </c>
      <c r="M1533" s="2">
        <f>YEAR(ORDERS[[#This Row],[OrderDate]])</f>
        <v>2015</v>
      </c>
    </row>
    <row r="1534" spans="1:13" x14ac:dyDescent="0.3">
      <c r="A1534">
        <v>1533</v>
      </c>
      <c r="B1534">
        <v>7</v>
      </c>
      <c r="C1534">
        <v>1</v>
      </c>
      <c r="D1534" s="1">
        <v>42120</v>
      </c>
      <c r="E1534">
        <v>116</v>
      </c>
      <c r="F1534">
        <f>VLOOKUP(ORDERS[[#This Row],[ProductID]],Products[],4,FALSE)</f>
        <v>20</v>
      </c>
      <c r="G1534">
        <v>0.10000000100000001</v>
      </c>
      <c r="H1534">
        <f>(ORDERS[[#This Row],[UnitsOrdered]]*ORDERS[[#This Row],[unit price]])-(ORDERS[[#This Row],[UnitsOrdered]]*ORDERS[[#This Row],[unit price]]*ORDERS[[#This Row],[Discount]])</f>
        <v>2087.99999768</v>
      </c>
      <c r="I1534" t="str">
        <f>VLOOKUP(ORDERS[[#This Row],[CustomerID]],customers[],2,FALSE)</f>
        <v>The Shirt on Your Back</v>
      </c>
      <c r="J1534" s="2" t="str">
        <f>VLOOKUP(ORDERS[[#This Row],[CustomerID]],customers[],4,FALSE)</f>
        <v>Bonners Ferry</v>
      </c>
      <c r="K1534" s="2" t="str">
        <f>VLOOKUP(ORDERS[[#This Row],[ProductID]],Products[],3,FALSE)</f>
        <v>Both</v>
      </c>
      <c r="L1534" s="2">
        <f>DAY(ORDERS[[#This Row],[OrderDate]])</f>
        <v>26</v>
      </c>
      <c r="M1534" s="2">
        <f>YEAR(ORDERS[[#This Row],[OrderDate]])</f>
        <v>2015</v>
      </c>
    </row>
    <row r="1535" spans="1:13" x14ac:dyDescent="0.3">
      <c r="A1535">
        <v>1534</v>
      </c>
      <c r="B1535">
        <v>4</v>
      </c>
      <c r="C1535">
        <v>3</v>
      </c>
      <c r="D1535" s="1">
        <v>42121</v>
      </c>
      <c r="E1535">
        <v>25</v>
      </c>
      <c r="F1535">
        <f>VLOOKUP(ORDERS[[#This Row],[ProductID]],Products[],4,FALSE)</f>
        <v>22</v>
      </c>
      <c r="G1535">
        <v>0</v>
      </c>
      <c r="H1535">
        <f>(ORDERS[[#This Row],[UnitsOrdered]]*ORDERS[[#This Row],[unit price]])-(ORDERS[[#This Row],[UnitsOrdered]]*ORDERS[[#This Row],[unit price]]*ORDERS[[#This Row],[Discount]])</f>
        <v>550</v>
      </c>
      <c r="I1535" t="str">
        <f>VLOOKUP(ORDERS[[#This Row],[CustomerID]],customers[],2,FALSE)</f>
        <v>Tshirt Unlimited</v>
      </c>
      <c r="J1535" s="2" t="str">
        <f>VLOOKUP(ORDERS[[#This Row],[CustomerID]],customers[],4,FALSE)</f>
        <v>Phoenix</v>
      </c>
      <c r="K1535" s="2" t="str">
        <f>VLOOKUP(ORDERS[[#This Row],[ProductID]],Products[],3,FALSE)</f>
        <v>Both</v>
      </c>
      <c r="L1535" s="2">
        <f>DAY(ORDERS[[#This Row],[OrderDate]])</f>
        <v>27</v>
      </c>
      <c r="M1535" s="2">
        <f>YEAR(ORDERS[[#This Row],[OrderDate]])</f>
        <v>2015</v>
      </c>
    </row>
    <row r="1536" spans="1:13" x14ac:dyDescent="0.3">
      <c r="A1536">
        <v>1535</v>
      </c>
      <c r="B1536">
        <v>7</v>
      </c>
      <c r="C1536">
        <v>2</v>
      </c>
      <c r="D1536" s="1">
        <v>42122</v>
      </c>
      <c r="E1536">
        <v>65</v>
      </c>
      <c r="F1536">
        <f>VLOOKUP(ORDERS[[#This Row],[ProductID]],Products[],4,FALSE)</f>
        <v>30</v>
      </c>
      <c r="G1536">
        <v>0</v>
      </c>
      <c r="H1536">
        <f>(ORDERS[[#This Row],[UnitsOrdered]]*ORDERS[[#This Row],[unit price]])-(ORDERS[[#This Row],[UnitsOrdered]]*ORDERS[[#This Row],[unit price]]*ORDERS[[#This Row],[Discount]])</f>
        <v>1950</v>
      </c>
      <c r="I1536" t="str">
        <f>VLOOKUP(ORDERS[[#This Row],[CustomerID]],customers[],2,FALSE)</f>
        <v>The Shirt on Your Back</v>
      </c>
      <c r="J1536" s="2" t="str">
        <f>VLOOKUP(ORDERS[[#This Row],[CustomerID]],customers[],4,FALSE)</f>
        <v>Bonners Ferry</v>
      </c>
      <c r="K1536" s="2" t="str">
        <f>VLOOKUP(ORDERS[[#This Row],[ProductID]],Products[],3,FALSE)</f>
        <v>Both</v>
      </c>
      <c r="L1536" s="2">
        <f>DAY(ORDERS[[#This Row],[OrderDate]])</f>
        <v>28</v>
      </c>
      <c r="M1536" s="2">
        <f>YEAR(ORDERS[[#This Row],[OrderDate]])</f>
        <v>2015</v>
      </c>
    </row>
    <row r="1537" spans="1:13" x14ac:dyDescent="0.3">
      <c r="A1537">
        <v>1536</v>
      </c>
      <c r="B1537">
        <v>3</v>
      </c>
      <c r="C1537">
        <v>6</v>
      </c>
      <c r="D1537" s="1">
        <v>42123</v>
      </c>
      <c r="E1537">
        <v>93</v>
      </c>
      <c r="F1537">
        <f>VLOOKUP(ORDERS[[#This Row],[ProductID]],Products[],4,FALSE)</f>
        <v>28</v>
      </c>
      <c r="G1537">
        <v>0</v>
      </c>
      <c r="H1537">
        <f>(ORDERS[[#This Row],[UnitsOrdered]]*ORDERS[[#This Row],[unit price]])-(ORDERS[[#This Row],[UnitsOrdered]]*ORDERS[[#This Row],[unit price]]*ORDERS[[#This Row],[Discount]])</f>
        <v>2604</v>
      </c>
      <c r="I1537" t="str">
        <f>VLOOKUP(ORDERS[[#This Row],[CustomerID]],customers[],2,FALSE)</f>
        <v>Shirts R Us</v>
      </c>
      <c r="J1537" s="2" t="str">
        <f>VLOOKUP(ORDERS[[#This Row],[CustomerID]],customers[],4,FALSE)</f>
        <v>Los Angeles</v>
      </c>
      <c r="K1537" s="2" t="str">
        <f>VLOOKUP(ORDERS[[#This Row],[ProductID]],Products[],3,FALSE)</f>
        <v>Female</v>
      </c>
      <c r="L1537" s="2">
        <f>DAY(ORDERS[[#This Row],[OrderDate]])</f>
        <v>29</v>
      </c>
      <c r="M1537" s="2">
        <f>YEAR(ORDERS[[#This Row],[OrderDate]])</f>
        <v>2015</v>
      </c>
    </row>
    <row r="1538" spans="1:13" x14ac:dyDescent="0.3">
      <c r="A1538">
        <v>1537</v>
      </c>
      <c r="B1538">
        <v>6</v>
      </c>
      <c r="C1538">
        <v>2</v>
      </c>
      <c r="D1538" s="1">
        <v>42123</v>
      </c>
      <c r="E1538">
        <v>46</v>
      </c>
      <c r="F1538">
        <f>VLOOKUP(ORDERS[[#This Row],[ProductID]],Products[],4,FALSE)</f>
        <v>30</v>
      </c>
      <c r="G1538">
        <v>5.0000001000000002E-2</v>
      </c>
      <c r="H1538">
        <f>(ORDERS[[#This Row],[UnitsOrdered]]*ORDERS[[#This Row],[unit price]])-(ORDERS[[#This Row],[UnitsOrdered]]*ORDERS[[#This Row],[unit price]]*ORDERS[[#This Row],[Discount]])</f>
        <v>1310.99999862</v>
      </c>
      <c r="I1538" t="str">
        <f>VLOOKUP(ORDERS[[#This Row],[CustomerID]],customers[],2,FALSE)</f>
        <v>Abracadaba Ink</v>
      </c>
      <c r="J1538" s="2" t="str">
        <f>VLOOKUP(ORDERS[[#This Row],[CustomerID]],customers[],4,FALSE)</f>
        <v>Salt Lake City</v>
      </c>
      <c r="K1538" s="2" t="str">
        <f>VLOOKUP(ORDERS[[#This Row],[ProductID]],Products[],3,FALSE)</f>
        <v>Both</v>
      </c>
      <c r="L1538" s="2">
        <f>DAY(ORDERS[[#This Row],[OrderDate]])</f>
        <v>29</v>
      </c>
      <c r="M1538" s="2">
        <f>YEAR(ORDERS[[#This Row],[OrderDate]])</f>
        <v>2015</v>
      </c>
    </row>
    <row r="1539" spans="1:13" x14ac:dyDescent="0.3">
      <c r="A1539">
        <v>1538</v>
      </c>
      <c r="B1539">
        <v>7</v>
      </c>
      <c r="C1539">
        <v>2</v>
      </c>
      <c r="D1539" s="1">
        <v>42123</v>
      </c>
      <c r="E1539">
        <v>58</v>
      </c>
      <c r="F1539">
        <f>VLOOKUP(ORDERS[[#This Row],[ProductID]],Products[],4,FALSE)</f>
        <v>30</v>
      </c>
      <c r="G1539">
        <v>0</v>
      </c>
      <c r="H1539">
        <f>(ORDERS[[#This Row],[UnitsOrdered]]*ORDERS[[#This Row],[unit price]])-(ORDERS[[#This Row],[UnitsOrdered]]*ORDERS[[#This Row],[unit price]]*ORDERS[[#This Row],[Discount]])</f>
        <v>1740</v>
      </c>
      <c r="I1539" t="str">
        <f>VLOOKUP(ORDERS[[#This Row],[CustomerID]],customers[],2,FALSE)</f>
        <v>The Shirt on Your Back</v>
      </c>
      <c r="J1539" s="2" t="str">
        <f>VLOOKUP(ORDERS[[#This Row],[CustomerID]],customers[],4,FALSE)</f>
        <v>Bonners Ferry</v>
      </c>
      <c r="K1539" s="2" t="str">
        <f>VLOOKUP(ORDERS[[#This Row],[ProductID]],Products[],3,FALSE)</f>
        <v>Both</v>
      </c>
      <c r="L1539" s="2">
        <f>DAY(ORDERS[[#This Row],[OrderDate]])</f>
        <v>29</v>
      </c>
      <c r="M1539" s="2">
        <f>YEAR(ORDERS[[#This Row],[OrderDate]])</f>
        <v>2015</v>
      </c>
    </row>
    <row r="1540" spans="1:13" x14ac:dyDescent="0.3">
      <c r="A1540">
        <v>1539</v>
      </c>
      <c r="B1540">
        <v>1</v>
      </c>
      <c r="C1540">
        <v>8</v>
      </c>
      <c r="D1540" s="1">
        <v>42124</v>
      </c>
      <c r="E1540">
        <v>101</v>
      </c>
      <c r="F1540">
        <f>VLOOKUP(ORDERS[[#This Row],[ProductID]],Products[],4,FALSE)</f>
        <v>27</v>
      </c>
      <c r="G1540">
        <v>0</v>
      </c>
      <c r="H1540">
        <f>(ORDERS[[#This Row],[UnitsOrdered]]*ORDERS[[#This Row],[unit price]])-(ORDERS[[#This Row],[UnitsOrdered]]*ORDERS[[#This Row],[unit price]]*ORDERS[[#This Row],[Discount]])</f>
        <v>2727</v>
      </c>
      <c r="I1540" t="str">
        <f>VLOOKUP(ORDERS[[#This Row],[CustomerID]],customers[],2,FALSE)</f>
        <v>Threads</v>
      </c>
      <c r="J1540" s="2" t="str">
        <f>VLOOKUP(ORDERS[[#This Row],[CustomerID]],customers[],4,FALSE)</f>
        <v>Seattle</v>
      </c>
      <c r="K1540" s="2" t="str">
        <f>VLOOKUP(ORDERS[[#This Row],[ProductID]],Products[],3,FALSE)</f>
        <v>Female</v>
      </c>
      <c r="L1540" s="2">
        <f>DAY(ORDERS[[#This Row],[OrderDate]])</f>
        <v>30</v>
      </c>
      <c r="M1540" s="2">
        <f>YEAR(ORDERS[[#This Row],[OrderDate]])</f>
        <v>2015</v>
      </c>
    </row>
    <row r="1541" spans="1:13" x14ac:dyDescent="0.3">
      <c r="A1541">
        <v>1540</v>
      </c>
      <c r="B1541">
        <v>7</v>
      </c>
      <c r="C1541">
        <v>5</v>
      </c>
      <c r="D1541" s="1">
        <v>42124</v>
      </c>
      <c r="E1541">
        <v>89</v>
      </c>
      <c r="F1541">
        <f>VLOOKUP(ORDERS[[#This Row],[ProductID]],Products[],4,FALSE)</f>
        <v>16</v>
      </c>
      <c r="G1541">
        <v>0</v>
      </c>
      <c r="H1541">
        <f>(ORDERS[[#This Row],[UnitsOrdered]]*ORDERS[[#This Row],[unit price]])-(ORDERS[[#This Row],[UnitsOrdered]]*ORDERS[[#This Row],[unit price]]*ORDERS[[#This Row],[Discount]])</f>
        <v>1424</v>
      </c>
      <c r="I1541" t="str">
        <f>VLOOKUP(ORDERS[[#This Row],[CustomerID]],customers[],2,FALSE)</f>
        <v>The Shirt on Your Back</v>
      </c>
      <c r="J1541" s="2" t="str">
        <f>VLOOKUP(ORDERS[[#This Row],[CustomerID]],customers[],4,FALSE)</f>
        <v>Bonners Ferry</v>
      </c>
      <c r="K1541" s="2" t="str">
        <f>VLOOKUP(ORDERS[[#This Row],[ProductID]],Products[],3,FALSE)</f>
        <v>Female</v>
      </c>
      <c r="L1541" s="2">
        <f>DAY(ORDERS[[#This Row],[OrderDate]])</f>
        <v>30</v>
      </c>
      <c r="M1541" s="2">
        <f>YEAR(ORDERS[[#This Row],[OrderDate]])</f>
        <v>2015</v>
      </c>
    </row>
    <row r="1542" spans="1:13" x14ac:dyDescent="0.3">
      <c r="A1542">
        <v>1541</v>
      </c>
      <c r="B1542">
        <v>6</v>
      </c>
      <c r="C1542">
        <v>10</v>
      </c>
      <c r="D1542" s="1">
        <v>42127</v>
      </c>
      <c r="E1542">
        <v>67</v>
      </c>
      <c r="F1542">
        <f>VLOOKUP(ORDERS[[#This Row],[ProductID]],Products[],4,FALSE)</f>
        <v>35</v>
      </c>
      <c r="G1542">
        <v>0</v>
      </c>
      <c r="H1542">
        <f>(ORDERS[[#This Row],[UnitsOrdered]]*ORDERS[[#This Row],[unit price]])-(ORDERS[[#This Row],[UnitsOrdered]]*ORDERS[[#This Row],[unit price]]*ORDERS[[#This Row],[Discount]])</f>
        <v>2345</v>
      </c>
      <c r="I1542" t="str">
        <f>VLOOKUP(ORDERS[[#This Row],[CustomerID]],customers[],2,FALSE)</f>
        <v>Abracadaba Ink</v>
      </c>
      <c r="J1542" s="2" t="str">
        <f>VLOOKUP(ORDERS[[#This Row],[CustomerID]],customers[],4,FALSE)</f>
        <v>Salt Lake City</v>
      </c>
      <c r="K1542" s="2" t="str">
        <f>VLOOKUP(ORDERS[[#This Row],[ProductID]],Products[],3,FALSE)</f>
        <v>Male</v>
      </c>
      <c r="L1542" s="2">
        <f>DAY(ORDERS[[#This Row],[OrderDate]])</f>
        <v>3</v>
      </c>
      <c r="M1542" s="2">
        <f>YEAR(ORDERS[[#This Row],[OrderDate]])</f>
        <v>2015</v>
      </c>
    </row>
    <row r="1543" spans="1:13" x14ac:dyDescent="0.3">
      <c r="A1543">
        <v>1542</v>
      </c>
      <c r="B1543">
        <v>6</v>
      </c>
      <c r="C1543">
        <v>7</v>
      </c>
      <c r="D1543" s="1">
        <v>42129</v>
      </c>
      <c r="E1543">
        <v>98</v>
      </c>
      <c r="F1543">
        <f>VLOOKUP(ORDERS[[#This Row],[ProductID]],Products[],4,FALSE)</f>
        <v>38</v>
      </c>
      <c r="G1543">
        <v>0</v>
      </c>
      <c r="H1543">
        <f>(ORDERS[[#This Row],[UnitsOrdered]]*ORDERS[[#This Row],[unit price]])-(ORDERS[[#This Row],[UnitsOrdered]]*ORDERS[[#This Row],[unit price]]*ORDERS[[#This Row],[Discount]])</f>
        <v>3724</v>
      </c>
      <c r="I1543" t="str">
        <f>VLOOKUP(ORDERS[[#This Row],[CustomerID]],customers[],2,FALSE)</f>
        <v>Abracadaba Ink</v>
      </c>
      <c r="J1543" s="2" t="str">
        <f>VLOOKUP(ORDERS[[#This Row],[CustomerID]],customers[],4,FALSE)</f>
        <v>Salt Lake City</v>
      </c>
      <c r="K1543" s="2" t="str">
        <f>VLOOKUP(ORDERS[[#This Row],[ProductID]],Products[],3,FALSE)</f>
        <v>Female</v>
      </c>
      <c r="L1543" s="2">
        <f>DAY(ORDERS[[#This Row],[OrderDate]])</f>
        <v>5</v>
      </c>
      <c r="M1543" s="2">
        <f>YEAR(ORDERS[[#This Row],[OrderDate]])</f>
        <v>2015</v>
      </c>
    </row>
    <row r="1544" spans="1:13" x14ac:dyDescent="0.3">
      <c r="A1544">
        <v>1543</v>
      </c>
      <c r="B1544">
        <v>1</v>
      </c>
      <c r="C1544">
        <v>4</v>
      </c>
      <c r="D1544" s="1">
        <v>42131</v>
      </c>
      <c r="E1544">
        <v>29</v>
      </c>
      <c r="F1544">
        <f>VLOOKUP(ORDERS[[#This Row],[ProductID]],Products[],4,FALSE)</f>
        <v>30</v>
      </c>
      <c r="G1544">
        <v>0</v>
      </c>
      <c r="H1544">
        <f>(ORDERS[[#This Row],[UnitsOrdered]]*ORDERS[[#This Row],[unit price]])-(ORDERS[[#This Row],[UnitsOrdered]]*ORDERS[[#This Row],[unit price]]*ORDERS[[#This Row],[Discount]])</f>
        <v>870</v>
      </c>
      <c r="I1544" t="str">
        <f>VLOOKUP(ORDERS[[#This Row],[CustomerID]],customers[],2,FALSE)</f>
        <v>Threads</v>
      </c>
      <c r="J1544" s="2" t="str">
        <f>VLOOKUP(ORDERS[[#This Row],[CustomerID]],customers[],4,FALSE)</f>
        <v>Seattle</v>
      </c>
      <c r="K1544" s="2" t="str">
        <f>VLOOKUP(ORDERS[[#This Row],[ProductID]],Products[],3,FALSE)</f>
        <v>Both</v>
      </c>
      <c r="L1544" s="2">
        <f>DAY(ORDERS[[#This Row],[OrderDate]])</f>
        <v>7</v>
      </c>
      <c r="M1544" s="2">
        <f>YEAR(ORDERS[[#This Row],[OrderDate]])</f>
        <v>2015</v>
      </c>
    </row>
    <row r="1545" spans="1:13" x14ac:dyDescent="0.3">
      <c r="A1545">
        <v>1544</v>
      </c>
      <c r="B1545">
        <v>3</v>
      </c>
      <c r="C1545">
        <v>2</v>
      </c>
      <c r="D1545" s="1">
        <v>42131</v>
      </c>
      <c r="E1545">
        <v>127</v>
      </c>
      <c r="F1545">
        <f>VLOOKUP(ORDERS[[#This Row],[ProductID]],Products[],4,FALSE)</f>
        <v>30</v>
      </c>
      <c r="G1545">
        <v>0</v>
      </c>
      <c r="H1545">
        <f>(ORDERS[[#This Row],[UnitsOrdered]]*ORDERS[[#This Row],[unit price]])-(ORDERS[[#This Row],[UnitsOrdered]]*ORDERS[[#This Row],[unit price]]*ORDERS[[#This Row],[Discount]])</f>
        <v>3810</v>
      </c>
      <c r="I1545" t="str">
        <f>VLOOKUP(ORDERS[[#This Row],[CustomerID]],customers[],2,FALSE)</f>
        <v>Shirts R Us</v>
      </c>
      <c r="J1545" s="2" t="str">
        <f>VLOOKUP(ORDERS[[#This Row],[CustomerID]],customers[],4,FALSE)</f>
        <v>Los Angeles</v>
      </c>
      <c r="K1545" s="2" t="str">
        <f>VLOOKUP(ORDERS[[#This Row],[ProductID]],Products[],3,FALSE)</f>
        <v>Both</v>
      </c>
      <c r="L1545" s="2">
        <f>DAY(ORDERS[[#This Row],[OrderDate]])</f>
        <v>7</v>
      </c>
      <c r="M1545" s="2">
        <f>YEAR(ORDERS[[#This Row],[OrderDate]])</f>
        <v>2015</v>
      </c>
    </row>
    <row r="1546" spans="1:13" x14ac:dyDescent="0.3">
      <c r="A1546">
        <v>1545</v>
      </c>
      <c r="B1546">
        <v>6</v>
      </c>
      <c r="C1546">
        <v>2</v>
      </c>
      <c r="D1546" s="1">
        <v>42133</v>
      </c>
      <c r="E1546">
        <v>113</v>
      </c>
      <c r="F1546">
        <f>VLOOKUP(ORDERS[[#This Row],[ProductID]],Products[],4,FALSE)</f>
        <v>30</v>
      </c>
      <c r="G1546">
        <v>0</v>
      </c>
      <c r="H1546">
        <f>(ORDERS[[#This Row],[UnitsOrdered]]*ORDERS[[#This Row],[unit price]])-(ORDERS[[#This Row],[UnitsOrdered]]*ORDERS[[#This Row],[unit price]]*ORDERS[[#This Row],[Discount]])</f>
        <v>3390</v>
      </c>
      <c r="I1546" t="str">
        <f>VLOOKUP(ORDERS[[#This Row],[CustomerID]],customers[],2,FALSE)</f>
        <v>Abracadaba Ink</v>
      </c>
      <c r="J1546" s="2" t="str">
        <f>VLOOKUP(ORDERS[[#This Row],[CustomerID]],customers[],4,FALSE)</f>
        <v>Salt Lake City</v>
      </c>
      <c r="K1546" s="2" t="str">
        <f>VLOOKUP(ORDERS[[#This Row],[ProductID]],Products[],3,FALSE)</f>
        <v>Both</v>
      </c>
      <c r="L1546" s="2">
        <f>DAY(ORDERS[[#This Row],[OrderDate]])</f>
        <v>9</v>
      </c>
      <c r="M1546" s="2">
        <f>YEAR(ORDERS[[#This Row],[OrderDate]])</f>
        <v>2015</v>
      </c>
    </row>
    <row r="1547" spans="1:13" x14ac:dyDescent="0.3">
      <c r="A1547">
        <v>1546</v>
      </c>
      <c r="B1547">
        <v>7</v>
      </c>
      <c r="C1547">
        <v>3</v>
      </c>
      <c r="D1547" s="1">
        <v>42133</v>
      </c>
      <c r="E1547">
        <v>76</v>
      </c>
      <c r="F1547">
        <f>VLOOKUP(ORDERS[[#This Row],[ProductID]],Products[],4,FALSE)</f>
        <v>22</v>
      </c>
      <c r="G1547">
        <v>0</v>
      </c>
      <c r="H1547">
        <f>(ORDERS[[#This Row],[UnitsOrdered]]*ORDERS[[#This Row],[unit price]])-(ORDERS[[#This Row],[UnitsOrdered]]*ORDERS[[#This Row],[unit price]]*ORDERS[[#This Row],[Discount]])</f>
        <v>1672</v>
      </c>
      <c r="I1547" t="str">
        <f>VLOOKUP(ORDERS[[#This Row],[CustomerID]],customers[],2,FALSE)</f>
        <v>The Shirt on Your Back</v>
      </c>
      <c r="J1547" s="2" t="str">
        <f>VLOOKUP(ORDERS[[#This Row],[CustomerID]],customers[],4,FALSE)</f>
        <v>Bonners Ferry</v>
      </c>
      <c r="K1547" s="2" t="str">
        <f>VLOOKUP(ORDERS[[#This Row],[ProductID]],Products[],3,FALSE)</f>
        <v>Both</v>
      </c>
      <c r="L1547" s="2">
        <f>DAY(ORDERS[[#This Row],[OrderDate]])</f>
        <v>9</v>
      </c>
      <c r="M1547" s="2">
        <f>YEAR(ORDERS[[#This Row],[OrderDate]])</f>
        <v>2015</v>
      </c>
    </row>
    <row r="1548" spans="1:13" x14ac:dyDescent="0.3">
      <c r="A1548">
        <v>1547</v>
      </c>
      <c r="B1548">
        <v>1</v>
      </c>
      <c r="C1548">
        <v>9</v>
      </c>
      <c r="D1548" s="1">
        <v>42134</v>
      </c>
      <c r="E1548">
        <v>137</v>
      </c>
      <c r="F1548">
        <f>VLOOKUP(ORDERS[[#This Row],[ProductID]],Products[],4,FALSE)</f>
        <v>25</v>
      </c>
      <c r="G1548">
        <v>5.0000001000000002E-2</v>
      </c>
      <c r="H1548">
        <f>(ORDERS[[#This Row],[UnitsOrdered]]*ORDERS[[#This Row],[unit price]])-(ORDERS[[#This Row],[UnitsOrdered]]*ORDERS[[#This Row],[unit price]]*ORDERS[[#This Row],[Discount]])</f>
        <v>3253.7499965749998</v>
      </c>
      <c r="I1548" t="str">
        <f>VLOOKUP(ORDERS[[#This Row],[CustomerID]],customers[],2,FALSE)</f>
        <v>Threads</v>
      </c>
      <c r="J1548" s="2" t="str">
        <f>VLOOKUP(ORDERS[[#This Row],[CustomerID]],customers[],4,FALSE)</f>
        <v>Seattle</v>
      </c>
      <c r="K1548" s="2" t="str">
        <f>VLOOKUP(ORDERS[[#This Row],[ProductID]],Products[],3,FALSE)</f>
        <v>Male</v>
      </c>
      <c r="L1548" s="2">
        <f>DAY(ORDERS[[#This Row],[OrderDate]])</f>
        <v>10</v>
      </c>
      <c r="M1548" s="2">
        <f>YEAR(ORDERS[[#This Row],[OrderDate]])</f>
        <v>2015</v>
      </c>
    </row>
    <row r="1549" spans="1:13" x14ac:dyDescent="0.3">
      <c r="A1549">
        <v>1548</v>
      </c>
      <c r="B1549">
        <v>7</v>
      </c>
      <c r="C1549">
        <v>9</v>
      </c>
      <c r="D1549" s="1">
        <v>42135</v>
      </c>
      <c r="E1549">
        <v>93</v>
      </c>
      <c r="F1549">
        <f>VLOOKUP(ORDERS[[#This Row],[ProductID]],Products[],4,FALSE)</f>
        <v>25</v>
      </c>
      <c r="G1549">
        <v>0</v>
      </c>
      <c r="H1549">
        <f>(ORDERS[[#This Row],[UnitsOrdered]]*ORDERS[[#This Row],[unit price]])-(ORDERS[[#This Row],[UnitsOrdered]]*ORDERS[[#This Row],[unit price]]*ORDERS[[#This Row],[Discount]])</f>
        <v>2325</v>
      </c>
      <c r="I1549" t="str">
        <f>VLOOKUP(ORDERS[[#This Row],[CustomerID]],customers[],2,FALSE)</f>
        <v>The Shirt on Your Back</v>
      </c>
      <c r="J1549" s="2" t="str">
        <f>VLOOKUP(ORDERS[[#This Row],[CustomerID]],customers[],4,FALSE)</f>
        <v>Bonners Ferry</v>
      </c>
      <c r="K1549" s="2" t="str">
        <f>VLOOKUP(ORDERS[[#This Row],[ProductID]],Products[],3,FALSE)</f>
        <v>Male</v>
      </c>
      <c r="L1549" s="2">
        <f>DAY(ORDERS[[#This Row],[OrderDate]])</f>
        <v>11</v>
      </c>
      <c r="M1549" s="2">
        <f>YEAR(ORDERS[[#This Row],[OrderDate]])</f>
        <v>2015</v>
      </c>
    </row>
    <row r="1550" spans="1:13" x14ac:dyDescent="0.3">
      <c r="A1550">
        <v>1549</v>
      </c>
      <c r="B1550">
        <v>7</v>
      </c>
      <c r="C1550">
        <v>1</v>
      </c>
      <c r="D1550" s="1">
        <v>42139</v>
      </c>
      <c r="E1550">
        <v>92</v>
      </c>
      <c r="F1550">
        <f>VLOOKUP(ORDERS[[#This Row],[ProductID]],Products[],4,FALSE)</f>
        <v>20</v>
      </c>
      <c r="G1550">
        <v>0.15000000599999999</v>
      </c>
      <c r="H1550">
        <f>(ORDERS[[#This Row],[UnitsOrdered]]*ORDERS[[#This Row],[unit price]])-(ORDERS[[#This Row],[UnitsOrdered]]*ORDERS[[#This Row],[unit price]]*ORDERS[[#This Row],[Discount]])</f>
        <v>1563.9999889599999</v>
      </c>
      <c r="I1550" t="str">
        <f>VLOOKUP(ORDERS[[#This Row],[CustomerID]],customers[],2,FALSE)</f>
        <v>The Shirt on Your Back</v>
      </c>
      <c r="J1550" s="2" t="str">
        <f>VLOOKUP(ORDERS[[#This Row],[CustomerID]],customers[],4,FALSE)</f>
        <v>Bonners Ferry</v>
      </c>
      <c r="K1550" s="2" t="str">
        <f>VLOOKUP(ORDERS[[#This Row],[ProductID]],Products[],3,FALSE)</f>
        <v>Both</v>
      </c>
      <c r="L1550" s="2">
        <f>DAY(ORDERS[[#This Row],[OrderDate]])</f>
        <v>15</v>
      </c>
      <c r="M1550" s="2">
        <f>YEAR(ORDERS[[#This Row],[OrderDate]])</f>
        <v>2015</v>
      </c>
    </row>
    <row r="1551" spans="1:13" x14ac:dyDescent="0.3">
      <c r="A1551">
        <v>1550</v>
      </c>
      <c r="B1551">
        <v>7</v>
      </c>
      <c r="C1551">
        <v>7</v>
      </c>
      <c r="D1551" s="1">
        <v>42139</v>
      </c>
      <c r="E1551">
        <v>62</v>
      </c>
      <c r="F1551">
        <f>VLOOKUP(ORDERS[[#This Row],[ProductID]],Products[],4,FALSE)</f>
        <v>38</v>
      </c>
      <c r="G1551">
        <v>0</v>
      </c>
      <c r="H1551">
        <f>(ORDERS[[#This Row],[UnitsOrdered]]*ORDERS[[#This Row],[unit price]])-(ORDERS[[#This Row],[UnitsOrdered]]*ORDERS[[#This Row],[unit price]]*ORDERS[[#This Row],[Discount]])</f>
        <v>2356</v>
      </c>
      <c r="I1551" t="str">
        <f>VLOOKUP(ORDERS[[#This Row],[CustomerID]],customers[],2,FALSE)</f>
        <v>The Shirt on Your Back</v>
      </c>
      <c r="J1551" s="2" t="str">
        <f>VLOOKUP(ORDERS[[#This Row],[CustomerID]],customers[],4,FALSE)</f>
        <v>Bonners Ferry</v>
      </c>
      <c r="K1551" s="2" t="str">
        <f>VLOOKUP(ORDERS[[#This Row],[ProductID]],Products[],3,FALSE)</f>
        <v>Female</v>
      </c>
      <c r="L1551" s="2">
        <f>DAY(ORDERS[[#This Row],[OrderDate]])</f>
        <v>15</v>
      </c>
      <c r="M1551" s="2">
        <f>YEAR(ORDERS[[#This Row],[OrderDate]])</f>
        <v>2015</v>
      </c>
    </row>
    <row r="1552" spans="1:13" x14ac:dyDescent="0.3">
      <c r="A1552">
        <v>1551</v>
      </c>
      <c r="B1552">
        <v>1</v>
      </c>
      <c r="C1552">
        <v>10</v>
      </c>
      <c r="D1552" s="1">
        <v>42140</v>
      </c>
      <c r="E1552">
        <v>96</v>
      </c>
      <c r="F1552">
        <f>VLOOKUP(ORDERS[[#This Row],[ProductID]],Products[],4,FALSE)</f>
        <v>35</v>
      </c>
      <c r="G1552">
        <v>0</v>
      </c>
      <c r="H1552">
        <f>(ORDERS[[#This Row],[UnitsOrdered]]*ORDERS[[#This Row],[unit price]])-(ORDERS[[#This Row],[UnitsOrdered]]*ORDERS[[#This Row],[unit price]]*ORDERS[[#This Row],[Discount]])</f>
        <v>3360</v>
      </c>
      <c r="I1552" t="str">
        <f>VLOOKUP(ORDERS[[#This Row],[CustomerID]],customers[],2,FALSE)</f>
        <v>Threads</v>
      </c>
      <c r="J1552" s="2" t="str">
        <f>VLOOKUP(ORDERS[[#This Row],[CustomerID]],customers[],4,FALSE)</f>
        <v>Seattle</v>
      </c>
      <c r="K1552" s="2" t="str">
        <f>VLOOKUP(ORDERS[[#This Row],[ProductID]],Products[],3,FALSE)</f>
        <v>Male</v>
      </c>
      <c r="L1552" s="2">
        <f>DAY(ORDERS[[#This Row],[OrderDate]])</f>
        <v>16</v>
      </c>
      <c r="M1552" s="2">
        <f>YEAR(ORDERS[[#This Row],[OrderDate]])</f>
        <v>2015</v>
      </c>
    </row>
    <row r="1553" spans="1:13" x14ac:dyDescent="0.3">
      <c r="A1553">
        <v>1552</v>
      </c>
      <c r="B1553">
        <v>7</v>
      </c>
      <c r="C1553">
        <v>8</v>
      </c>
      <c r="D1553" s="1">
        <v>42140</v>
      </c>
      <c r="E1553">
        <v>133</v>
      </c>
      <c r="F1553">
        <f>VLOOKUP(ORDERS[[#This Row],[ProductID]],Products[],4,FALSE)</f>
        <v>27</v>
      </c>
      <c r="G1553">
        <v>0</v>
      </c>
      <c r="H1553">
        <f>(ORDERS[[#This Row],[UnitsOrdered]]*ORDERS[[#This Row],[unit price]])-(ORDERS[[#This Row],[UnitsOrdered]]*ORDERS[[#This Row],[unit price]]*ORDERS[[#This Row],[Discount]])</f>
        <v>3591</v>
      </c>
      <c r="I1553" t="str">
        <f>VLOOKUP(ORDERS[[#This Row],[CustomerID]],customers[],2,FALSE)</f>
        <v>The Shirt on Your Back</v>
      </c>
      <c r="J1553" s="2" t="str">
        <f>VLOOKUP(ORDERS[[#This Row],[CustomerID]],customers[],4,FALSE)</f>
        <v>Bonners Ferry</v>
      </c>
      <c r="K1553" s="2" t="str">
        <f>VLOOKUP(ORDERS[[#This Row],[ProductID]],Products[],3,FALSE)</f>
        <v>Female</v>
      </c>
      <c r="L1553" s="2">
        <f>DAY(ORDERS[[#This Row],[OrderDate]])</f>
        <v>16</v>
      </c>
      <c r="M1553" s="2">
        <f>YEAR(ORDERS[[#This Row],[OrderDate]])</f>
        <v>2015</v>
      </c>
    </row>
    <row r="1554" spans="1:13" x14ac:dyDescent="0.3">
      <c r="A1554">
        <v>1553</v>
      </c>
      <c r="B1554">
        <v>1</v>
      </c>
      <c r="C1554">
        <v>4</v>
      </c>
      <c r="D1554" s="1">
        <v>42141</v>
      </c>
      <c r="E1554">
        <v>106</v>
      </c>
      <c r="F1554">
        <f>VLOOKUP(ORDERS[[#This Row],[ProductID]],Products[],4,FALSE)</f>
        <v>30</v>
      </c>
      <c r="G1554">
        <v>0</v>
      </c>
      <c r="H1554">
        <f>(ORDERS[[#This Row],[UnitsOrdered]]*ORDERS[[#This Row],[unit price]])-(ORDERS[[#This Row],[UnitsOrdered]]*ORDERS[[#This Row],[unit price]]*ORDERS[[#This Row],[Discount]])</f>
        <v>3180</v>
      </c>
      <c r="I1554" t="str">
        <f>VLOOKUP(ORDERS[[#This Row],[CustomerID]],customers[],2,FALSE)</f>
        <v>Threads</v>
      </c>
      <c r="J1554" s="2" t="str">
        <f>VLOOKUP(ORDERS[[#This Row],[CustomerID]],customers[],4,FALSE)</f>
        <v>Seattle</v>
      </c>
      <c r="K1554" s="2" t="str">
        <f>VLOOKUP(ORDERS[[#This Row],[ProductID]],Products[],3,FALSE)</f>
        <v>Both</v>
      </c>
      <c r="L1554" s="2">
        <f>DAY(ORDERS[[#This Row],[OrderDate]])</f>
        <v>17</v>
      </c>
      <c r="M1554" s="2">
        <f>YEAR(ORDERS[[#This Row],[OrderDate]])</f>
        <v>2015</v>
      </c>
    </row>
    <row r="1555" spans="1:13" x14ac:dyDescent="0.3">
      <c r="A1555">
        <v>1554</v>
      </c>
      <c r="B1555">
        <v>3</v>
      </c>
      <c r="C1555">
        <v>3</v>
      </c>
      <c r="D1555" s="1">
        <v>42143</v>
      </c>
      <c r="E1555">
        <v>106</v>
      </c>
      <c r="F1555">
        <f>VLOOKUP(ORDERS[[#This Row],[ProductID]],Products[],4,FALSE)</f>
        <v>22</v>
      </c>
      <c r="G1555">
        <v>0</v>
      </c>
      <c r="H1555">
        <f>(ORDERS[[#This Row],[UnitsOrdered]]*ORDERS[[#This Row],[unit price]])-(ORDERS[[#This Row],[UnitsOrdered]]*ORDERS[[#This Row],[unit price]]*ORDERS[[#This Row],[Discount]])</f>
        <v>2332</v>
      </c>
      <c r="I1555" t="str">
        <f>VLOOKUP(ORDERS[[#This Row],[CustomerID]],customers[],2,FALSE)</f>
        <v>Shirts R Us</v>
      </c>
      <c r="J1555" s="2" t="str">
        <f>VLOOKUP(ORDERS[[#This Row],[CustomerID]],customers[],4,FALSE)</f>
        <v>Los Angeles</v>
      </c>
      <c r="K1555" s="2" t="str">
        <f>VLOOKUP(ORDERS[[#This Row],[ProductID]],Products[],3,FALSE)</f>
        <v>Both</v>
      </c>
      <c r="L1555" s="2">
        <f>DAY(ORDERS[[#This Row],[OrderDate]])</f>
        <v>19</v>
      </c>
      <c r="M1555" s="2">
        <f>YEAR(ORDERS[[#This Row],[OrderDate]])</f>
        <v>2015</v>
      </c>
    </row>
    <row r="1556" spans="1:13" x14ac:dyDescent="0.3">
      <c r="A1556">
        <v>1555</v>
      </c>
      <c r="B1556">
        <v>4</v>
      </c>
      <c r="C1556">
        <v>3</v>
      </c>
      <c r="D1556" s="1">
        <v>42143</v>
      </c>
      <c r="E1556">
        <v>129</v>
      </c>
      <c r="F1556">
        <f>VLOOKUP(ORDERS[[#This Row],[ProductID]],Products[],4,FALSE)</f>
        <v>22</v>
      </c>
      <c r="G1556">
        <v>0</v>
      </c>
      <c r="H1556">
        <f>(ORDERS[[#This Row],[UnitsOrdered]]*ORDERS[[#This Row],[unit price]])-(ORDERS[[#This Row],[UnitsOrdered]]*ORDERS[[#This Row],[unit price]]*ORDERS[[#This Row],[Discount]])</f>
        <v>2838</v>
      </c>
      <c r="I1556" t="str">
        <f>VLOOKUP(ORDERS[[#This Row],[CustomerID]],customers[],2,FALSE)</f>
        <v>Tshirt Unlimited</v>
      </c>
      <c r="J1556" s="2" t="str">
        <f>VLOOKUP(ORDERS[[#This Row],[CustomerID]],customers[],4,FALSE)</f>
        <v>Phoenix</v>
      </c>
      <c r="K1556" s="2" t="str">
        <f>VLOOKUP(ORDERS[[#This Row],[ProductID]],Products[],3,FALSE)</f>
        <v>Both</v>
      </c>
      <c r="L1556" s="2">
        <f>DAY(ORDERS[[#This Row],[OrderDate]])</f>
        <v>19</v>
      </c>
      <c r="M1556" s="2">
        <f>YEAR(ORDERS[[#This Row],[OrderDate]])</f>
        <v>2015</v>
      </c>
    </row>
    <row r="1557" spans="1:13" x14ac:dyDescent="0.3">
      <c r="A1557">
        <v>1556</v>
      </c>
      <c r="B1557">
        <v>7</v>
      </c>
      <c r="C1557">
        <v>3</v>
      </c>
      <c r="D1557" s="1">
        <v>42143</v>
      </c>
      <c r="E1557">
        <v>130</v>
      </c>
      <c r="F1557">
        <f>VLOOKUP(ORDERS[[#This Row],[ProductID]],Products[],4,FALSE)</f>
        <v>22</v>
      </c>
      <c r="G1557">
        <v>5.0000001000000002E-2</v>
      </c>
      <c r="H1557">
        <f>(ORDERS[[#This Row],[UnitsOrdered]]*ORDERS[[#This Row],[unit price]])-(ORDERS[[#This Row],[UnitsOrdered]]*ORDERS[[#This Row],[unit price]]*ORDERS[[#This Row],[Discount]])</f>
        <v>2716.9999971400002</v>
      </c>
      <c r="I1557" t="str">
        <f>VLOOKUP(ORDERS[[#This Row],[CustomerID]],customers[],2,FALSE)</f>
        <v>The Shirt on Your Back</v>
      </c>
      <c r="J1557" s="2" t="str">
        <f>VLOOKUP(ORDERS[[#This Row],[CustomerID]],customers[],4,FALSE)</f>
        <v>Bonners Ferry</v>
      </c>
      <c r="K1557" s="2" t="str">
        <f>VLOOKUP(ORDERS[[#This Row],[ProductID]],Products[],3,FALSE)</f>
        <v>Both</v>
      </c>
      <c r="L1557" s="2">
        <f>DAY(ORDERS[[#This Row],[OrderDate]])</f>
        <v>19</v>
      </c>
      <c r="M1557" s="2">
        <f>YEAR(ORDERS[[#This Row],[OrderDate]])</f>
        <v>2015</v>
      </c>
    </row>
    <row r="1558" spans="1:13" x14ac:dyDescent="0.3">
      <c r="A1558">
        <v>1557</v>
      </c>
      <c r="B1558">
        <v>2</v>
      </c>
      <c r="C1558">
        <v>7</v>
      </c>
      <c r="D1558" s="1">
        <v>42144</v>
      </c>
      <c r="E1558">
        <v>26</v>
      </c>
      <c r="F1558">
        <f>VLOOKUP(ORDERS[[#This Row],[ProductID]],Products[],4,FALSE)</f>
        <v>38</v>
      </c>
      <c r="G1558">
        <v>0</v>
      </c>
      <c r="H1558">
        <f>(ORDERS[[#This Row],[UnitsOrdered]]*ORDERS[[#This Row],[unit price]])-(ORDERS[[#This Row],[UnitsOrdered]]*ORDERS[[#This Row],[unit price]]*ORDERS[[#This Row],[Discount]])</f>
        <v>988</v>
      </c>
      <c r="I1558" t="str">
        <f>VLOOKUP(ORDERS[[#This Row],[CustomerID]],customers[],2,FALSE)</f>
        <v>A Shirts Life</v>
      </c>
      <c r="J1558" s="2" t="str">
        <f>VLOOKUP(ORDERS[[#This Row],[CustomerID]],customers[],4,FALSE)</f>
        <v>Portland</v>
      </c>
      <c r="K1558" s="2" t="str">
        <f>VLOOKUP(ORDERS[[#This Row],[ProductID]],Products[],3,FALSE)</f>
        <v>Female</v>
      </c>
      <c r="L1558" s="2">
        <f>DAY(ORDERS[[#This Row],[OrderDate]])</f>
        <v>20</v>
      </c>
      <c r="M1558" s="2">
        <f>YEAR(ORDERS[[#This Row],[OrderDate]])</f>
        <v>2015</v>
      </c>
    </row>
    <row r="1559" spans="1:13" x14ac:dyDescent="0.3">
      <c r="A1559">
        <v>1558</v>
      </c>
      <c r="B1559">
        <v>3</v>
      </c>
      <c r="C1559">
        <v>6</v>
      </c>
      <c r="D1559" s="1">
        <v>42144</v>
      </c>
      <c r="E1559">
        <v>28</v>
      </c>
      <c r="F1559">
        <f>VLOOKUP(ORDERS[[#This Row],[ProductID]],Products[],4,FALSE)</f>
        <v>28</v>
      </c>
      <c r="G1559">
        <v>0.10000000100000001</v>
      </c>
      <c r="H1559">
        <f>(ORDERS[[#This Row],[UnitsOrdered]]*ORDERS[[#This Row],[unit price]])-(ORDERS[[#This Row],[UnitsOrdered]]*ORDERS[[#This Row],[unit price]]*ORDERS[[#This Row],[Discount]])</f>
        <v>705.59999921600001</v>
      </c>
      <c r="I1559" t="str">
        <f>VLOOKUP(ORDERS[[#This Row],[CustomerID]],customers[],2,FALSE)</f>
        <v>Shirts R Us</v>
      </c>
      <c r="J1559" s="2" t="str">
        <f>VLOOKUP(ORDERS[[#This Row],[CustomerID]],customers[],4,FALSE)</f>
        <v>Los Angeles</v>
      </c>
      <c r="K1559" s="2" t="str">
        <f>VLOOKUP(ORDERS[[#This Row],[ProductID]],Products[],3,FALSE)</f>
        <v>Female</v>
      </c>
      <c r="L1559" s="2">
        <f>DAY(ORDERS[[#This Row],[OrderDate]])</f>
        <v>20</v>
      </c>
      <c r="M1559" s="2">
        <f>YEAR(ORDERS[[#This Row],[OrderDate]])</f>
        <v>2015</v>
      </c>
    </row>
    <row r="1560" spans="1:13" x14ac:dyDescent="0.3">
      <c r="A1560">
        <v>1559</v>
      </c>
      <c r="B1560">
        <v>6</v>
      </c>
      <c r="C1560">
        <v>1</v>
      </c>
      <c r="D1560" s="1">
        <v>42144</v>
      </c>
      <c r="E1560">
        <v>139</v>
      </c>
      <c r="F1560">
        <f>VLOOKUP(ORDERS[[#This Row],[ProductID]],Products[],4,FALSE)</f>
        <v>20</v>
      </c>
      <c r="G1560">
        <v>0</v>
      </c>
      <c r="H1560">
        <f>(ORDERS[[#This Row],[UnitsOrdered]]*ORDERS[[#This Row],[unit price]])-(ORDERS[[#This Row],[UnitsOrdered]]*ORDERS[[#This Row],[unit price]]*ORDERS[[#This Row],[Discount]])</f>
        <v>2780</v>
      </c>
      <c r="I1560" t="str">
        <f>VLOOKUP(ORDERS[[#This Row],[CustomerID]],customers[],2,FALSE)</f>
        <v>Abracadaba Ink</v>
      </c>
      <c r="J1560" s="2" t="str">
        <f>VLOOKUP(ORDERS[[#This Row],[CustomerID]],customers[],4,FALSE)</f>
        <v>Salt Lake City</v>
      </c>
      <c r="K1560" s="2" t="str">
        <f>VLOOKUP(ORDERS[[#This Row],[ProductID]],Products[],3,FALSE)</f>
        <v>Both</v>
      </c>
      <c r="L1560" s="2">
        <f>DAY(ORDERS[[#This Row],[OrderDate]])</f>
        <v>20</v>
      </c>
      <c r="M1560" s="2">
        <f>YEAR(ORDERS[[#This Row],[OrderDate]])</f>
        <v>2015</v>
      </c>
    </row>
    <row r="1561" spans="1:13" x14ac:dyDescent="0.3">
      <c r="A1561">
        <v>1560</v>
      </c>
      <c r="B1561">
        <v>6</v>
      </c>
      <c r="C1561">
        <v>5</v>
      </c>
      <c r="D1561" s="1">
        <v>42144</v>
      </c>
      <c r="E1561">
        <v>66</v>
      </c>
      <c r="F1561">
        <f>VLOOKUP(ORDERS[[#This Row],[ProductID]],Products[],4,FALSE)</f>
        <v>16</v>
      </c>
      <c r="G1561">
        <v>5.0000001000000002E-2</v>
      </c>
      <c r="H1561">
        <f>(ORDERS[[#This Row],[UnitsOrdered]]*ORDERS[[#This Row],[unit price]])-(ORDERS[[#This Row],[UnitsOrdered]]*ORDERS[[#This Row],[unit price]]*ORDERS[[#This Row],[Discount]])</f>
        <v>1003.199998944</v>
      </c>
      <c r="I1561" t="str">
        <f>VLOOKUP(ORDERS[[#This Row],[CustomerID]],customers[],2,FALSE)</f>
        <v>Abracadaba Ink</v>
      </c>
      <c r="J1561" s="2" t="str">
        <f>VLOOKUP(ORDERS[[#This Row],[CustomerID]],customers[],4,FALSE)</f>
        <v>Salt Lake City</v>
      </c>
      <c r="K1561" s="2" t="str">
        <f>VLOOKUP(ORDERS[[#This Row],[ProductID]],Products[],3,FALSE)</f>
        <v>Female</v>
      </c>
      <c r="L1561" s="2">
        <f>DAY(ORDERS[[#This Row],[OrderDate]])</f>
        <v>20</v>
      </c>
      <c r="M1561" s="2">
        <f>YEAR(ORDERS[[#This Row],[OrderDate]])</f>
        <v>2015</v>
      </c>
    </row>
    <row r="1562" spans="1:13" x14ac:dyDescent="0.3">
      <c r="A1562">
        <v>1561</v>
      </c>
      <c r="B1562">
        <v>6</v>
      </c>
      <c r="C1562">
        <v>5</v>
      </c>
      <c r="D1562" s="1">
        <v>42145</v>
      </c>
      <c r="E1562">
        <v>68</v>
      </c>
      <c r="F1562">
        <f>VLOOKUP(ORDERS[[#This Row],[ProductID]],Products[],4,FALSE)</f>
        <v>16</v>
      </c>
      <c r="G1562">
        <v>0</v>
      </c>
      <c r="H1562">
        <f>(ORDERS[[#This Row],[UnitsOrdered]]*ORDERS[[#This Row],[unit price]])-(ORDERS[[#This Row],[UnitsOrdered]]*ORDERS[[#This Row],[unit price]]*ORDERS[[#This Row],[Discount]])</f>
        <v>1088</v>
      </c>
      <c r="I1562" t="str">
        <f>VLOOKUP(ORDERS[[#This Row],[CustomerID]],customers[],2,FALSE)</f>
        <v>Abracadaba Ink</v>
      </c>
      <c r="J1562" s="2" t="str">
        <f>VLOOKUP(ORDERS[[#This Row],[CustomerID]],customers[],4,FALSE)</f>
        <v>Salt Lake City</v>
      </c>
      <c r="K1562" s="2" t="str">
        <f>VLOOKUP(ORDERS[[#This Row],[ProductID]],Products[],3,FALSE)</f>
        <v>Female</v>
      </c>
      <c r="L1562" s="2">
        <f>DAY(ORDERS[[#This Row],[OrderDate]])</f>
        <v>21</v>
      </c>
      <c r="M1562" s="2">
        <f>YEAR(ORDERS[[#This Row],[OrderDate]])</f>
        <v>2015</v>
      </c>
    </row>
    <row r="1563" spans="1:13" x14ac:dyDescent="0.3">
      <c r="A1563">
        <v>1562</v>
      </c>
      <c r="B1563">
        <v>5</v>
      </c>
      <c r="C1563">
        <v>1</v>
      </c>
      <c r="D1563" s="1">
        <v>42147</v>
      </c>
      <c r="E1563">
        <v>83</v>
      </c>
      <c r="F1563">
        <f>VLOOKUP(ORDERS[[#This Row],[ProductID]],Products[],4,FALSE)</f>
        <v>20</v>
      </c>
      <c r="G1563">
        <v>5.0000001000000002E-2</v>
      </c>
      <c r="H1563">
        <f>(ORDERS[[#This Row],[UnitsOrdered]]*ORDERS[[#This Row],[unit price]])-(ORDERS[[#This Row],[UnitsOrdered]]*ORDERS[[#This Row],[unit price]]*ORDERS[[#This Row],[Discount]])</f>
        <v>1576.99999834</v>
      </c>
      <c r="I1563" t="str">
        <f>VLOOKUP(ORDERS[[#This Row],[CustomerID]],customers[],2,FALSE)</f>
        <v>Rags to Riches</v>
      </c>
      <c r="J1563" s="2" t="str">
        <f>VLOOKUP(ORDERS[[#This Row],[CustomerID]],customers[],4,FALSE)</f>
        <v>Las Vegas</v>
      </c>
      <c r="K1563" s="2" t="str">
        <f>VLOOKUP(ORDERS[[#This Row],[ProductID]],Products[],3,FALSE)</f>
        <v>Both</v>
      </c>
      <c r="L1563" s="2">
        <f>DAY(ORDERS[[#This Row],[OrderDate]])</f>
        <v>23</v>
      </c>
      <c r="M1563" s="2">
        <f>YEAR(ORDERS[[#This Row],[OrderDate]])</f>
        <v>2015</v>
      </c>
    </row>
    <row r="1564" spans="1:13" x14ac:dyDescent="0.3">
      <c r="A1564">
        <v>1563</v>
      </c>
      <c r="B1564">
        <v>5</v>
      </c>
      <c r="C1564">
        <v>5</v>
      </c>
      <c r="D1564" s="1">
        <v>42147</v>
      </c>
      <c r="E1564">
        <v>57</v>
      </c>
      <c r="F1564">
        <f>VLOOKUP(ORDERS[[#This Row],[ProductID]],Products[],4,FALSE)</f>
        <v>16</v>
      </c>
      <c r="G1564">
        <v>0.10000000100000001</v>
      </c>
      <c r="H1564">
        <f>(ORDERS[[#This Row],[UnitsOrdered]]*ORDERS[[#This Row],[unit price]])-(ORDERS[[#This Row],[UnitsOrdered]]*ORDERS[[#This Row],[unit price]]*ORDERS[[#This Row],[Discount]])</f>
        <v>820.79999908800005</v>
      </c>
      <c r="I1564" t="str">
        <f>VLOOKUP(ORDERS[[#This Row],[CustomerID]],customers[],2,FALSE)</f>
        <v>Rags to Riches</v>
      </c>
      <c r="J1564" s="2" t="str">
        <f>VLOOKUP(ORDERS[[#This Row],[CustomerID]],customers[],4,FALSE)</f>
        <v>Las Vegas</v>
      </c>
      <c r="K1564" s="2" t="str">
        <f>VLOOKUP(ORDERS[[#This Row],[ProductID]],Products[],3,FALSE)</f>
        <v>Female</v>
      </c>
      <c r="L1564" s="2">
        <f>DAY(ORDERS[[#This Row],[OrderDate]])</f>
        <v>23</v>
      </c>
      <c r="M1564" s="2">
        <f>YEAR(ORDERS[[#This Row],[OrderDate]])</f>
        <v>2015</v>
      </c>
    </row>
    <row r="1565" spans="1:13" x14ac:dyDescent="0.3">
      <c r="A1565">
        <v>1564</v>
      </c>
      <c r="B1565">
        <v>4</v>
      </c>
      <c r="C1565">
        <v>4</v>
      </c>
      <c r="D1565" s="1">
        <v>42148</v>
      </c>
      <c r="E1565">
        <v>144</v>
      </c>
      <c r="F1565">
        <f>VLOOKUP(ORDERS[[#This Row],[ProductID]],Products[],4,FALSE)</f>
        <v>30</v>
      </c>
      <c r="G1565">
        <v>5.0000001000000002E-2</v>
      </c>
      <c r="H1565">
        <f>(ORDERS[[#This Row],[UnitsOrdered]]*ORDERS[[#This Row],[unit price]])-(ORDERS[[#This Row],[UnitsOrdered]]*ORDERS[[#This Row],[unit price]]*ORDERS[[#This Row],[Discount]])</f>
        <v>4103.9999956800002</v>
      </c>
      <c r="I1565" t="str">
        <f>VLOOKUP(ORDERS[[#This Row],[CustomerID]],customers[],2,FALSE)</f>
        <v>Tshirt Unlimited</v>
      </c>
      <c r="J1565" s="2" t="str">
        <f>VLOOKUP(ORDERS[[#This Row],[CustomerID]],customers[],4,FALSE)</f>
        <v>Phoenix</v>
      </c>
      <c r="K1565" s="2" t="str">
        <f>VLOOKUP(ORDERS[[#This Row],[ProductID]],Products[],3,FALSE)</f>
        <v>Both</v>
      </c>
      <c r="L1565" s="2">
        <f>DAY(ORDERS[[#This Row],[OrderDate]])</f>
        <v>24</v>
      </c>
      <c r="M1565" s="2">
        <f>YEAR(ORDERS[[#This Row],[OrderDate]])</f>
        <v>2015</v>
      </c>
    </row>
    <row r="1566" spans="1:13" x14ac:dyDescent="0.3">
      <c r="A1566">
        <v>1565</v>
      </c>
      <c r="B1566">
        <v>2</v>
      </c>
      <c r="C1566">
        <v>3</v>
      </c>
      <c r="D1566" s="1">
        <v>42149</v>
      </c>
      <c r="E1566">
        <v>43</v>
      </c>
      <c r="F1566">
        <f>VLOOKUP(ORDERS[[#This Row],[ProductID]],Products[],4,FALSE)</f>
        <v>22</v>
      </c>
      <c r="G1566">
        <v>0</v>
      </c>
      <c r="H1566">
        <f>(ORDERS[[#This Row],[UnitsOrdered]]*ORDERS[[#This Row],[unit price]])-(ORDERS[[#This Row],[UnitsOrdered]]*ORDERS[[#This Row],[unit price]]*ORDERS[[#This Row],[Discount]])</f>
        <v>946</v>
      </c>
      <c r="I1566" t="str">
        <f>VLOOKUP(ORDERS[[#This Row],[CustomerID]],customers[],2,FALSE)</f>
        <v>A Shirts Life</v>
      </c>
      <c r="J1566" s="2" t="str">
        <f>VLOOKUP(ORDERS[[#This Row],[CustomerID]],customers[],4,FALSE)</f>
        <v>Portland</v>
      </c>
      <c r="K1566" s="2" t="str">
        <f>VLOOKUP(ORDERS[[#This Row],[ProductID]],Products[],3,FALSE)</f>
        <v>Both</v>
      </c>
      <c r="L1566" s="2">
        <f>DAY(ORDERS[[#This Row],[OrderDate]])</f>
        <v>25</v>
      </c>
      <c r="M1566" s="2">
        <f>YEAR(ORDERS[[#This Row],[OrderDate]])</f>
        <v>2015</v>
      </c>
    </row>
    <row r="1567" spans="1:13" x14ac:dyDescent="0.3">
      <c r="A1567">
        <v>1566</v>
      </c>
      <c r="B1567">
        <v>7</v>
      </c>
      <c r="C1567">
        <v>4</v>
      </c>
      <c r="D1567" s="1">
        <v>42149</v>
      </c>
      <c r="E1567">
        <v>93</v>
      </c>
      <c r="F1567">
        <f>VLOOKUP(ORDERS[[#This Row],[ProductID]],Products[],4,FALSE)</f>
        <v>30</v>
      </c>
      <c r="G1567">
        <v>0</v>
      </c>
      <c r="H1567">
        <f>(ORDERS[[#This Row],[UnitsOrdered]]*ORDERS[[#This Row],[unit price]])-(ORDERS[[#This Row],[UnitsOrdered]]*ORDERS[[#This Row],[unit price]]*ORDERS[[#This Row],[Discount]])</f>
        <v>2790</v>
      </c>
      <c r="I1567" t="str">
        <f>VLOOKUP(ORDERS[[#This Row],[CustomerID]],customers[],2,FALSE)</f>
        <v>The Shirt on Your Back</v>
      </c>
      <c r="J1567" s="2" t="str">
        <f>VLOOKUP(ORDERS[[#This Row],[CustomerID]],customers[],4,FALSE)</f>
        <v>Bonners Ferry</v>
      </c>
      <c r="K1567" s="2" t="str">
        <f>VLOOKUP(ORDERS[[#This Row],[ProductID]],Products[],3,FALSE)</f>
        <v>Both</v>
      </c>
      <c r="L1567" s="2">
        <f>DAY(ORDERS[[#This Row],[OrderDate]])</f>
        <v>25</v>
      </c>
      <c r="M1567" s="2">
        <f>YEAR(ORDERS[[#This Row],[OrderDate]])</f>
        <v>2015</v>
      </c>
    </row>
    <row r="1568" spans="1:13" x14ac:dyDescent="0.3">
      <c r="A1568">
        <v>1567</v>
      </c>
      <c r="B1568">
        <v>5</v>
      </c>
      <c r="C1568">
        <v>10</v>
      </c>
      <c r="D1568" s="1">
        <v>42151</v>
      </c>
      <c r="E1568">
        <v>56</v>
      </c>
      <c r="F1568">
        <f>VLOOKUP(ORDERS[[#This Row],[ProductID]],Products[],4,FALSE)</f>
        <v>35</v>
      </c>
      <c r="G1568">
        <v>0</v>
      </c>
      <c r="H1568">
        <f>(ORDERS[[#This Row],[UnitsOrdered]]*ORDERS[[#This Row],[unit price]])-(ORDERS[[#This Row],[UnitsOrdered]]*ORDERS[[#This Row],[unit price]]*ORDERS[[#This Row],[Discount]])</f>
        <v>1960</v>
      </c>
      <c r="I1568" t="str">
        <f>VLOOKUP(ORDERS[[#This Row],[CustomerID]],customers[],2,FALSE)</f>
        <v>Rags to Riches</v>
      </c>
      <c r="J1568" s="2" t="str">
        <f>VLOOKUP(ORDERS[[#This Row],[CustomerID]],customers[],4,FALSE)</f>
        <v>Las Vegas</v>
      </c>
      <c r="K1568" s="2" t="str">
        <f>VLOOKUP(ORDERS[[#This Row],[ProductID]],Products[],3,FALSE)</f>
        <v>Male</v>
      </c>
      <c r="L1568" s="2">
        <f>DAY(ORDERS[[#This Row],[OrderDate]])</f>
        <v>27</v>
      </c>
      <c r="M1568" s="2">
        <f>YEAR(ORDERS[[#This Row],[OrderDate]])</f>
        <v>2015</v>
      </c>
    </row>
    <row r="1569" spans="1:13" x14ac:dyDescent="0.3">
      <c r="A1569">
        <v>1568</v>
      </c>
      <c r="B1569">
        <v>5</v>
      </c>
      <c r="C1569">
        <v>10</v>
      </c>
      <c r="D1569" s="1">
        <v>42152</v>
      </c>
      <c r="E1569">
        <v>122</v>
      </c>
      <c r="F1569">
        <f>VLOOKUP(ORDERS[[#This Row],[ProductID]],Products[],4,FALSE)</f>
        <v>35</v>
      </c>
      <c r="G1569">
        <v>0.10000000100000001</v>
      </c>
      <c r="H1569">
        <f>(ORDERS[[#This Row],[UnitsOrdered]]*ORDERS[[#This Row],[unit price]])-(ORDERS[[#This Row],[UnitsOrdered]]*ORDERS[[#This Row],[unit price]]*ORDERS[[#This Row],[Discount]])</f>
        <v>3842.9999957300001</v>
      </c>
      <c r="I1569" t="str">
        <f>VLOOKUP(ORDERS[[#This Row],[CustomerID]],customers[],2,FALSE)</f>
        <v>Rags to Riches</v>
      </c>
      <c r="J1569" s="2" t="str">
        <f>VLOOKUP(ORDERS[[#This Row],[CustomerID]],customers[],4,FALSE)</f>
        <v>Las Vegas</v>
      </c>
      <c r="K1569" s="2" t="str">
        <f>VLOOKUP(ORDERS[[#This Row],[ProductID]],Products[],3,FALSE)</f>
        <v>Male</v>
      </c>
      <c r="L1569" s="2">
        <f>DAY(ORDERS[[#This Row],[OrderDate]])</f>
        <v>28</v>
      </c>
      <c r="M1569" s="2">
        <f>YEAR(ORDERS[[#This Row],[OrderDate]])</f>
        <v>2015</v>
      </c>
    </row>
    <row r="1570" spans="1:13" x14ac:dyDescent="0.3">
      <c r="A1570">
        <v>1569</v>
      </c>
      <c r="B1570">
        <v>6</v>
      </c>
      <c r="C1570">
        <v>8</v>
      </c>
      <c r="D1570" s="1">
        <v>42152</v>
      </c>
      <c r="E1570">
        <v>94</v>
      </c>
      <c r="F1570">
        <f>VLOOKUP(ORDERS[[#This Row],[ProductID]],Products[],4,FALSE)</f>
        <v>27</v>
      </c>
      <c r="G1570">
        <v>5.0000001000000002E-2</v>
      </c>
      <c r="H1570">
        <f>(ORDERS[[#This Row],[UnitsOrdered]]*ORDERS[[#This Row],[unit price]])-(ORDERS[[#This Row],[UnitsOrdered]]*ORDERS[[#This Row],[unit price]]*ORDERS[[#This Row],[Discount]])</f>
        <v>2411.0999974619999</v>
      </c>
      <c r="I1570" t="str">
        <f>VLOOKUP(ORDERS[[#This Row],[CustomerID]],customers[],2,FALSE)</f>
        <v>Abracadaba Ink</v>
      </c>
      <c r="J1570" s="2" t="str">
        <f>VLOOKUP(ORDERS[[#This Row],[CustomerID]],customers[],4,FALSE)</f>
        <v>Salt Lake City</v>
      </c>
      <c r="K1570" s="2" t="str">
        <f>VLOOKUP(ORDERS[[#This Row],[ProductID]],Products[],3,FALSE)</f>
        <v>Female</v>
      </c>
      <c r="L1570" s="2">
        <f>DAY(ORDERS[[#This Row],[OrderDate]])</f>
        <v>28</v>
      </c>
      <c r="M1570" s="2">
        <f>YEAR(ORDERS[[#This Row],[OrderDate]])</f>
        <v>2015</v>
      </c>
    </row>
    <row r="1571" spans="1:13" x14ac:dyDescent="0.3">
      <c r="A1571">
        <v>1570</v>
      </c>
      <c r="B1571">
        <v>3</v>
      </c>
      <c r="C1571">
        <v>6</v>
      </c>
      <c r="D1571" s="1">
        <v>42153</v>
      </c>
      <c r="E1571">
        <v>83</v>
      </c>
      <c r="F1571">
        <f>VLOOKUP(ORDERS[[#This Row],[ProductID]],Products[],4,FALSE)</f>
        <v>28</v>
      </c>
      <c r="G1571">
        <v>0</v>
      </c>
      <c r="H1571">
        <f>(ORDERS[[#This Row],[UnitsOrdered]]*ORDERS[[#This Row],[unit price]])-(ORDERS[[#This Row],[UnitsOrdered]]*ORDERS[[#This Row],[unit price]]*ORDERS[[#This Row],[Discount]])</f>
        <v>2324</v>
      </c>
      <c r="I1571" t="str">
        <f>VLOOKUP(ORDERS[[#This Row],[CustomerID]],customers[],2,FALSE)</f>
        <v>Shirts R Us</v>
      </c>
      <c r="J1571" s="2" t="str">
        <f>VLOOKUP(ORDERS[[#This Row],[CustomerID]],customers[],4,FALSE)</f>
        <v>Los Angeles</v>
      </c>
      <c r="K1571" s="2" t="str">
        <f>VLOOKUP(ORDERS[[#This Row],[ProductID]],Products[],3,FALSE)</f>
        <v>Female</v>
      </c>
      <c r="L1571" s="2">
        <f>DAY(ORDERS[[#This Row],[OrderDate]])</f>
        <v>29</v>
      </c>
      <c r="M1571" s="2">
        <f>YEAR(ORDERS[[#This Row],[OrderDate]])</f>
        <v>2015</v>
      </c>
    </row>
    <row r="1572" spans="1:13" x14ac:dyDescent="0.3">
      <c r="A1572">
        <v>1571</v>
      </c>
      <c r="B1572">
        <v>5</v>
      </c>
      <c r="C1572">
        <v>3</v>
      </c>
      <c r="D1572" s="1">
        <v>42154</v>
      </c>
      <c r="E1572">
        <v>75</v>
      </c>
      <c r="F1572">
        <f>VLOOKUP(ORDERS[[#This Row],[ProductID]],Products[],4,FALSE)</f>
        <v>22</v>
      </c>
      <c r="G1572">
        <v>0</v>
      </c>
      <c r="H1572">
        <f>(ORDERS[[#This Row],[UnitsOrdered]]*ORDERS[[#This Row],[unit price]])-(ORDERS[[#This Row],[UnitsOrdered]]*ORDERS[[#This Row],[unit price]]*ORDERS[[#This Row],[Discount]])</f>
        <v>1650</v>
      </c>
      <c r="I1572" t="str">
        <f>VLOOKUP(ORDERS[[#This Row],[CustomerID]],customers[],2,FALSE)</f>
        <v>Rags to Riches</v>
      </c>
      <c r="J1572" s="2" t="str">
        <f>VLOOKUP(ORDERS[[#This Row],[CustomerID]],customers[],4,FALSE)</f>
        <v>Las Vegas</v>
      </c>
      <c r="K1572" s="2" t="str">
        <f>VLOOKUP(ORDERS[[#This Row],[ProductID]],Products[],3,FALSE)</f>
        <v>Both</v>
      </c>
      <c r="L1572" s="2">
        <f>DAY(ORDERS[[#This Row],[OrderDate]])</f>
        <v>30</v>
      </c>
      <c r="M1572" s="2">
        <f>YEAR(ORDERS[[#This Row],[OrderDate]])</f>
        <v>2015</v>
      </c>
    </row>
    <row r="1573" spans="1:13" x14ac:dyDescent="0.3">
      <c r="A1573">
        <v>1572</v>
      </c>
      <c r="B1573">
        <v>2</v>
      </c>
      <c r="C1573">
        <v>10</v>
      </c>
      <c r="D1573" s="1">
        <v>42156</v>
      </c>
      <c r="E1573">
        <v>145</v>
      </c>
      <c r="F1573">
        <f>VLOOKUP(ORDERS[[#This Row],[ProductID]],Products[],4,FALSE)</f>
        <v>35</v>
      </c>
      <c r="G1573">
        <v>0</v>
      </c>
      <c r="H1573">
        <f>(ORDERS[[#This Row],[UnitsOrdered]]*ORDERS[[#This Row],[unit price]])-(ORDERS[[#This Row],[UnitsOrdered]]*ORDERS[[#This Row],[unit price]]*ORDERS[[#This Row],[Discount]])</f>
        <v>5075</v>
      </c>
      <c r="I1573" t="str">
        <f>VLOOKUP(ORDERS[[#This Row],[CustomerID]],customers[],2,FALSE)</f>
        <v>A Shirts Life</v>
      </c>
      <c r="J1573" s="2" t="str">
        <f>VLOOKUP(ORDERS[[#This Row],[CustomerID]],customers[],4,FALSE)</f>
        <v>Portland</v>
      </c>
      <c r="K1573" s="2" t="str">
        <f>VLOOKUP(ORDERS[[#This Row],[ProductID]],Products[],3,FALSE)</f>
        <v>Male</v>
      </c>
      <c r="L1573" s="2">
        <f>DAY(ORDERS[[#This Row],[OrderDate]])</f>
        <v>1</v>
      </c>
      <c r="M1573" s="2">
        <f>YEAR(ORDERS[[#This Row],[OrderDate]])</f>
        <v>2015</v>
      </c>
    </row>
    <row r="1574" spans="1:13" x14ac:dyDescent="0.3">
      <c r="A1574">
        <v>1573</v>
      </c>
      <c r="B1574">
        <v>5</v>
      </c>
      <c r="C1574">
        <v>8</v>
      </c>
      <c r="D1574" s="1">
        <v>42157</v>
      </c>
      <c r="E1574">
        <v>104</v>
      </c>
      <c r="F1574">
        <f>VLOOKUP(ORDERS[[#This Row],[ProductID]],Products[],4,FALSE)</f>
        <v>27</v>
      </c>
      <c r="G1574">
        <v>0</v>
      </c>
      <c r="H1574">
        <f>(ORDERS[[#This Row],[UnitsOrdered]]*ORDERS[[#This Row],[unit price]])-(ORDERS[[#This Row],[UnitsOrdered]]*ORDERS[[#This Row],[unit price]]*ORDERS[[#This Row],[Discount]])</f>
        <v>2808</v>
      </c>
      <c r="I1574" t="str">
        <f>VLOOKUP(ORDERS[[#This Row],[CustomerID]],customers[],2,FALSE)</f>
        <v>Rags to Riches</v>
      </c>
      <c r="J1574" s="2" t="str">
        <f>VLOOKUP(ORDERS[[#This Row],[CustomerID]],customers[],4,FALSE)</f>
        <v>Las Vegas</v>
      </c>
      <c r="K1574" s="2" t="str">
        <f>VLOOKUP(ORDERS[[#This Row],[ProductID]],Products[],3,FALSE)</f>
        <v>Female</v>
      </c>
      <c r="L1574" s="2">
        <f>DAY(ORDERS[[#This Row],[OrderDate]])</f>
        <v>2</v>
      </c>
      <c r="M1574" s="2">
        <f>YEAR(ORDERS[[#This Row],[OrderDate]])</f>
        <v>2015</v>
      </c>
    </row>
    <row r="1575" spans="1:13" x14ac:dyDescent="0.3">
      <c r="A1575">
        <v>1574</v>
      </c>
      <c r="B1575">
        <v>2</v>
      </c>
      <c r="C1575">
        <v>9</v>
      </c>
      <c r="D1575" s="1">
        <v>42159</v>
      </c>
      <c r="E1575">
        <v>122</v>
      </c>
      <c r="F1575">
        <f>VLOOKUP(ORDERS[[#This Row],[ProductID]],Products[],4,FALSE)</f>
        <v>25</v>
      </c>
      <c r="G1575">
        <v>0</v>
      </c>
      <c r="H1575">
        <f>(ORDERS[[#This Row],[UnitsOrdered]]*ORDERS[[#This Row],[unit price]])-(ORDERS[[#This Row],[UnitsOrdered]]*ORDERS[[#This Row],[unit price]]*ORDERS[[#This Row],[Discount]])</f>
        <v>3050</v>
      </c>
      <c r="I1575" t="str">
        <f>VLOOKUP(ORDERS[[#This Row],[CustomerID]],customers[],2,FALSE)</f>
        <v>A Shirts Life</v>
      </c>
      <c r="J1575" s="2" t="str">
        <f>VLOOKUP(ORDERS[[#This Row],[CustomerID]],customers[],4,FALSE)</f>
        <v>Portland</v>
      </c>
      <c r="K1575" s="2" t="str">
        <f>VLOOKUP(ORDERS[[#This Row],[ProductID]],Products[],3,FALSE)</f>
        <v>Male</v>
      </c>
      <c r="L1575" s="2">
        <f>DAY(ORDERS[[#This Row],[OrderDate]])</f>
        <v>4</v>
      </c>
      <c r="M1575" s="2">
        <f>YEAR(ORDERS[[#This Row],[OrderDate]])</f>
        <v>2015</v>
      </c>
    </row>
    <row r="1576" spans="1:13" x14ac:dyDescent="0.3">
      <c r="A1576">
        <v>1575</v>
      </c>
      <c r="B1576">
        <v>3</v>
      </c>
      <c r="C1576">
        <v>10</v>
      </c>
      <c r="D1576" s="1">
        <v>42159</v>
      </c>
      <c r="E1576">
        <v>38</v>
      </c>
      <c r="F1576">
        <f>VLOOKUP(ORDERS[[#This Row],[ProductID]],Products[],4,FALSE)</f>
        <v>35</v>
      </c>
      <c r="G1576">
        <v>0.15000000599999999</v>
      </c>
      <c r="H1576">
        <f>(ORDERS[[#This Row],[UnitsOrdered]]*ORDERS[[#This Row],[unit price]])-(ORDERS[[#This Row],[UnitsOrdered]]*ORDERS[[#This Row],[unit price]]*ORDERS[[#This Row],[Discount]])</f>
        <v>1130.49999202</v>
      </c>
      <c r="I1576" t="str">
        <f>VLOOKUP(ORDERS[[#This Row],[CustomerID]],customers[],2,FALSE)</f>
        <v>Shirts R Us</v>
      </c>
      <c r="J1576" s="2" t="str">
        <f>VLOOKUP(ORDERS[[#This Row],[CustomerID]],customers[],4,FALSE)</f>
        <v>Los Angeles</v>
      </c>
      <c r="K1576" s="2" t="str">
        <f>VLOOKUP(ORDERS[[#This Row],[ProductID]],Products[],3,FALSE)</f>
        <v>Male</v>
      </c>
      <c r="L1576" s="2">
        <f>DAY(ORDERS[[#This Row],[OrderDate]])</f>
        <v>4</v>
      </c>
      <c r="M1576" s="2">
        <f>YEAR(ORDERS[[#This Row],[OrderDate]])</f>
        <v>2015</v>
      </c>
    </row>
    <row r="1577" spans="1:13" x14ac:dyDescent="0.3">
      <c r="A1577">
        <v>1576</v>
      </c>
      <c r="B1577">
        <v>2</v>
      </c>
      <c r="C1577">
        <v>6</v>
      </c>
      <c r="D1577" s="1">
        <v>42161</v>
      </c>
      <c r="E1577">
        <v>94</v>
      </c>
      <c r="F1577">
        <f>VLOOKUP(ORDERS[[#This Row],[ProductID]],Products[],4,FALSE)</f>
        <v>28</v>
      </c>
      <c r="G1577">
        <v>0</v>
      </c>
      <c r="H1577">
        <f>(ORDERS[[#This Row],[UnitsOrdered]]*ORDERS[[#This Row],[unit price]])-(ORDERS[[#This Row],[UnitsOrdered]]*ORDERS[[#This Row],[unit price]]*ORDERS[[#This Row],[Discount]])</f>
        <v>2632</v>
      </c>
      <c r="I1577" t="str">
        <f>VLOOKUP(ORDERS[[#This Row],[CustomerID]],customers[],2,FALSE)</f>
        <v>A Shirts Life</v>
      </c>
      <c r="J1577" s="2" t="str">
        <f>VLOOKUP(ORDERS[[#This Row],[CustomerID]],customers[],4,FALSE)</f>
        <v>Portland</v>
      </c>
      <c r="K1577" s="2" t="str">
        <f>VLOOKUP(ORDERS[[#This Row],[ProductID]],Products[],3,FALSE)</f>
        <v>Female</v>
      </c>
      <c r="L1577" s="2">
        <f>DAY(ORDERS[[#This Row],[OrderDate]])</f>
        <v>6</v>
      </c>
      <c r="M1577" s="2">
        <f>YEAR(ORDERS[[#This Row],[OrderDate]])</f>
        <v>2015</v>
      </c>
    </row>
    <row r="1578" spans="1:13" x14ac:dyDescent="0.3">
      <c r="A1578">
        <v>1577</v>
      </c>
      <c r="B1578">
        <v>5</v>
      </c>
      <c r="C1578">
        <v>1</v>
      </c>
      <c r="D1578" s="1">
        <v>42162</v>
      </c>
      <c r="E1578">
        <v>125</v>
      </c>
      <c r="F1578">
        <f>VLOOKUP(ORDERS[[#This Row],[ProductID]],Products[],4,FALSE)</f>
        <v>20</v>
      </c>
      <c r="G1578">
        <v>0</v>
      </c>
      <c r="H1578">
        <f>(ORDERS[[#This Row],[UnitsOrdered]]*ORDERS[[#This Row],[unit price]])-(ORDERS[[#This Row],[UnitsOrdered]]*ORDERS[[#This Row],[unit price]]*ORDERS[[#This Row],[Discount]])</f>
        <v>2500</v>
      </c>
      <c r="I1578" t="str">
        <f>VLOOKUP(ORDERS[[#This Row],[CustomerID]],customers[],2,FALSE)</f>
        <v>Rags to Riches</v>
      </c>
      <c r="J1578" s="2" t="str">
        <f>VLOOKUP(ORDERS[[#This Row],[CustomerID]],customers[],4,FALSE)</f>
        <v>Las Vegas</v>
      </c>
      <c r="K1578" s="2" t="str">
        <f>VLOOKUP(ORDERS[[#This Row],[ProductID]],Products[],3,FALSE)</f>
        <v>Both</v>
      </c>
      <c r="L1578" s="2">
        <f>DAY(ORDERS[[#This Row],[OrderDate]])</f>
        <v>7</v>
      </c>
      <c r="M1578" s="2">
        <f>YEAR(ORDERS[[#This Row],[OrderDate]])</f>
        <v>2015</v>
      </c>
    </row>
    <row r="1579" spans="1:13" x14ac:dyDescent="0.3">
      <c r="A1579">
        <v>1578</v>
      </c>
      <c r="B1579">
        <v>1</v>
      </c>
      <c r="C1579">
        <v>7</v>
      </c>
      <c r="D1579" s="1">
        <v>42163</v>
      </c>
      <c r="E1579">
        <v>68</v>
      </c>
      <c r="F1579">
        <f>VLOOKUP(ORDERS[[#This Row],[ProductID]],Products[],4,FALSE)</f>
        <v>38</v>
      </c>
      <c r="G1579">
        <v>0</v>
      </c>
      <c r="H1579">
        <f>(ORDERS[[#This Row],[UnitsOrdered]]*ORDERS[[#This Row],[unit price]])-(ORDERS[[#This Row],[UnitsOrdered]]*ORDERS[[#This Row],[unit price]]*ORDERS[[#This Row],[Discount]])</f>
        <v>2584</v>
      </c>
      <c r="I1579" t="str">
        <f>VLOOKUP(ORDERS[[#This Row],[CustomerID]],customers[],2,FALSE)</f>
        <v>Threads</v>
      </c>
      <c r="J1579" s="2" t="str">
        <f>VLOOKUP(ORDERS[[#This Row],[CustomerID]],customers[],4,FALSE)</f>
        <v>Seattle</v>
      </c>
      <c r="K1579" s="2" t="str">
        <f>VLOOKUP(ORDERS[[#This Row],[ProductID]],Products[],3,FALSE)</f>
        <v>Female</v>
      </c>
      <c r="L1579" s="2">
        <f>DAY(ORDERS[[#This Row],[OrderDate]])</f>
        <v>8</v>
      </c>
      <c r="M1579" s="2">
        <f>YEAR(ORDERS[[#This Row],[OrderDate]])</f>
        <v>2015</v>
      </c>
    </row>
    <row r="1580" spans="1:13" x14ac:dyDescent="0.3">
      <c r="A1580">
        <v>1579</v>
      </c>
      <c r="B1580">
        <v>3</v>
      </c>
      <c r="C1580">
        <v>4</v>
      </c>
      <c r="D1580" s="1">
        <v>42163</v>
      </c>
      <c r="E1580">
        <v>67</v>
      </c>
      <c r="F1580">
        <f>VLOOKUP(ORDERS[[#This Row],[ProductID]],Products[],4,FALSE)</f>
        <v>30</v>
      </c>
      <c r="G1580">
        <v>0</v>
      </c>
      <c r="H1580">
        <f>(ORDERS[[#This Row],[UnitsOrdered]]*ORDERS[[#This Row],[unit price]])-(ORDERS[[#This Row],[UnitsOrdered]]*ORDERS[[#This Row],[unit price]]*ORDERS[[#This Row],[Discount]])</f>
        <v>2010</v>
      </c>
      <c r="I1580" t="str">
        <f>VLOOKUP(ORDERS[[#This Row],[CustomerID]],customers[],2,FALSE)</f>
        <v>Shirts R Us</v>
      </c>
      <c r="J1580" s="2" t="str">
        <f>VLOOKUP(ORDERS[[#This Row],[CustomerID]],customers[],4,FALSE)</f>
        <v>Los Angeles</v>
      </c>
      <c r="K1580" s="2" t="str">
        <f>VLOOKUP(ORDERS[[#This Row],[ProductID]],Products[],3,FALSE)</f>
        <v>Both</v>
      </c>
      <c r="L1580" s="2">
        <f>DAY(ORDERS[[#This Row],[OrderDate]])</f>
        <v>8</v>
      </c>
      <c r="M1580" s="2">
        <f>YEAR(ORDERS[[#This Row],[OrderDate]])</f>
        <v>2015</v>
      </c>
    </row>
    <row r="1581" spans="1:13" x14ac:dyDescent="0.3">
      <c r="A1581">
        <v>1580</v>
      </c>
      <c r="B1581">
        <v>6</v>
      </c>
      <c r="C1581">
        <v>5</v>
      </c>
      <c r="D1581" s="1">
        <v>42163</v>
      </c>
      <c r="E1581">
        <v>66</v>
      </c>
      <c r="F1581">
        <f>VLOOKUP(ORDERS[[#This Row],[ProductID]],Products[],4,FALSE)</f>
        <v>16</v>
      </c>
      <c r="G1581">
        <v>0.10000000100000001</v>
      </c>
      <c r="H1581">
        <f>(ORDERS[[#This Row],[UnitsOrdered]]*ORDERS[[#This Row],[unit price]])-(ORDERS[[#This Row],[UnitsOrdered]]*ORDERS[[#This Row],[unit price]]*ORDERS[[#This Row],[Discount]])</f>
        <v>950.399998944</v>
      </c>
      <c r="I1581" t="str">
        <f>VLOOKUP(ORDERS[[#This Row],[CustomerID]],customers[],2,FALSE)</f>
        <v>Abracadaba Ink</v>
      </c>
      <c r="J1581" s="2" t="str">
        <f>VLOOKUP(ORDERS[[#This Row],[CustomerID]],customers[],4,FALSE)</f>
        <v>Salt Lake City</v>
      </c>
      <c r="K1581" s="2" t="str">
        <f>VLOOKUP(ORDERS[[#This Row],[ProductID]],Products[],3,FALSE)</f>
        <v>Female</v>
      </c>
      <c r="L1581" s="2">
        <f>DAY(ORDERS[[#This Row],[OrderDate]])</f>
        <v>8</v>
      </c>
      <c r="M1581" s="2">
        <f>YEAR(ORDERS[[#This Row],[OrderDate]])</f>
        <v>2015</v>
      </c>
    </row>
    <row r="1582" spans="1:13" x14ac:dyDescent="0.3">
      <c r="A1582">
        <v>1581</v>
      </c>
      <c r="B1582">
        <v>6</v>
      </c>
      <c r="C1582">
        <v>8</v>
      </c>
      <c r="D1582" s="1">
        <v>42163</v>
      </c>
      <c r="E1582">
        <v>109</v>
      </c>
      <c r="F1582">
        <f>VLOOKUP(ORDERS[[#This Row],[ProductID]],Products[],4,FALSE)</f>
        <v>27</v>
      </c>
      <c r="G1582">
        <v>0</v>
      </c>
      <c r="H1582">
        <f>(ORDERS[[#This Row],[UnitsOrdered]]*ORDERS[[#This Row],[unit price]])-(ORDERS[[#This Row],[UnitsOrdered]]*ORDERS[[#This Row],[unit price]]*ORDERS[[#This Row],[Discount]])</f>
        <v>2943</v>
      </c>
      <c r="I1582" t="str">
        <f>VLOOKUP(ORDERS[[#This Row],[CustomerID]],customers[],2,FALSE)</f>
        <v>Abracadaba Ink</v>
      </c>
      <c r="J1582" s="2" t="str">
        <f>VLOOKUP(ORDERS[[#This Row],[CustomerID]],customers[],4,FALSE)</f>
        <v>Salt Lake City</v>
      </c>
      <c r="K1582" s="2" t="str">
        <f>VLOOKUP(ORDERS[[#This Row],[ProductID]],Products[],3,FALSE)</f>
        <v>Female</v>
      </c>
      <c r="L1582" s="2">
        <f>DAY(ORDERS[[#This Row],[OrderDate]])</f>
        <v>8</v>
      </c>
      <c r="M1582" s="2">
        <f>YEAR(ORDERS[[#This Row],[OrderDate]])</f>
        <v>2015</v>
      </c>
    </row>
    <row r="1583" spans="1:13" x14ac:dyDescent="0.3">
      <c r="A1583">
        <v>1582</v>
      </c>
      <c r="B1583">
        <v>3</v>
      </c>
      <c r="C1583">
        <v>3</v>
      </c>
      <c r="D1583" s="1">
        <v>42164</v>
      </c>
      <c r="E1583">
        <v>42</v>
      </c>
      <c r="F1583">
        <f>VLOOKUP(ORDERS[[#This Row],[ProductID]],Products[],4,FALSE)</f>
        <v>22</v>
      </c>
      <c r="G1583">
        <v>0.10000000100000001</v>
      </c>
      <c r="H1583">
        <f>(ORDERS[[#This Row],[UnitsOrdered]]*ORDERS[[#This Row],[unit price]])-(ORDERS[[#This Row],[UnitsOrdered]]*ORDERS[[#This Row],[unit price]]*ORDERS[[#This Row],[Discount]])</f>
        <v>831.59999907600002</v>
      </c>
      <c r="I1583" t="str">
        <f>VLOOKUP(ORDERS[[#This Row],[CustomerID]],customers[],2,FALSE)</f>
        <v>Shirts R Us</v>
      </c>
      <c r="J1583" s="2" t="str">
        <f>VLOOKUP(ORDERS[[#This Row],[CustomerID]],customers[],4,FALSE)</f>
        <v>Los Angeles</v>
      </c>
      <c r="K1583" s="2" t="str">
        <f>VLOOKUP(ORDERS[[#This Row],[ProductID]],Products[],3,FALSE)</f>
        <v>Both</v>
      </c>
      <c r="L1583" s="2">
        <f>DAY(ORDERS[[#This Row],[OrderDate]])</f>
        <v>9</v>
      </c>
      <c r="M1583" s="2">
        <f>YEAR(ORDERS[[#This Row],[OrderDate]])</f>
        <v>2015</v>
      </c>
    </row>
    <row r="1584" spans="1:13" x14ac:dyDescent="0.3">
      <c r="A1584">
        <v>1583</v>
      </c>
      <c r="B1584">
        <v>6</v>
      </c>
      <c r="C1584">
        <v>8</v>
      </c>
      <c r="D1584" s="1">
        <v>42166</v>
      </c>
      <c r="E1584">
        <v>118</v>
      </c>
      <c r="F1584">
        <f>VLOOKUP(ORDERS[[#This Row],[ProductID]],Products[],4,FALSE)</f>
        <v>27</v>
      </c>
      <c r="G1584">
        <v>0.10000000100000001</v>
      </c>
      <c r="H1584">
        <f>(ORDERS[[#This Row],[UnitsOrdered]]*ORDERS[[#This Row],[unit price]])-(ORDERS[[#This Row],[UnitsOrdered]]*ORDERS[[#This Row],[unit price]]*ORDERS[[#This Row],[Discount]])</f>
        <v>2867.3999968140001</v>
      </c>
      <c r="I1584" t="str">
        <f>VLOOKUP(ORDERS[[#This Row],[CustomerID]],customers[],2,FALSE)</f>
        <v>Abracadaba Ink</v>
      </c>
      <c r="J1584" s="2" t="str">
        <f>VLOOKUP(ORDERS[[#This Row],[CustomerID]],customers[],4,FALSE)</f>
        <v>Salt Lake City</v>
      </c>
      <c r="K1584" s="2" t="str">
        <f>VLOOKUP(ORDERS[[#This Row],[ProductID]],Products[],3,FALSE)</f>
        <v>Female</v>
      </c>
      <c r="L1584" s="2">
        <f>DAY(ORDERS[[#This Row],[OrderDate]])</f>
        <v>11</v>
      </c>
      <c r="M1584" s="2">
        <f>YEAR(ORDERS[[#This Row],[OrderDate]])</f>
        <v>2015</v>
      </c>
    </row>
    <row r="1585" spans="1:13" x14ac:dyDescent="0.3">
      <c r="A1585">
        <v>1584</v>
      </c>
      <c r="B1585">
        <v>3</v>
      </c>
      <c r="C1585">
        <v>2</v>
      </c>
      <c r="D1585" s="1">
        <v>42168</v>
      </c>
      <c r="E1585">
        <v>78</v>
      </c>
      <c r="F1585">
        <f>VLOOKUP(ORDERS[[#This Row],[ProductID]],Products[],4,FALSE)</f>
        <v>30</v>
      </c>
      <c r="G1585">
        <v>0</v>
      </c>
      <c r="H1585">
        <f>(ORDERS[[#This Row],[UnitsOrdered]]*ORDERS[[#This Row],[unit price]])-(ORDERS[[#This Row],[UnitsOrdered]]*ORDERS[[#This Row],[unit price]]*ORDERS[[#This Row],[Discount]])</f>
        <v>2340</v>
      </c>
      <c r="I1585" t="str">
        <f>VLOOKUP(ORDERS[[#This Row],[CustomerID]],customers[],2,FALSE)</f>
        <v>Shirts R Us</v>
      </c>
      <c r="J1585" s="2" t="str">
        <f>VLOOKUP(ORDERS[[#This Row],[CustomerID]],customers[],4,FALSE)</f>
        <v>Los Angeles</v>
      </c>
      <c r="K1585" s="2" t="str">
        <f>VLOOKUP(ORDERS[[#This Row],[ProductID]],Products[],3,FALSE)</f>
        <v>Both</v>
      </c>
      <c r="L1585" s="2">
        <f>DAY(ORDERS[[#This Row],[OrderDate]])</f>
        <v>13</v>
      </c>
      <c r="M1585" s="2">
        <f>YEAR(ORDERS[[#This Row],[OrderDate]])</f>
        <v>2015</v>
      </c>
    </row>
    <row r="1586" spans="1:13" x14ac:dyDescent="0.3">
      <c r="A1586">
        <v>1585</v>
      </c>
      <c r="B1586">
        <v>4</v>
      </c>
      <c r="C1586">
        <v>3</v>
      </c>
      <c r="D1586" s="1">
        <v>42168</v>
      </c>
      <c r="E1586">
        <v>133</v>
      </c>
      <c r="F1586">
        <f>VLOOKUP(ORDERS[[#This Row],[ProductID]],Products[],4,FALSE)</f>
        <v>22</v>
      </c>
      <c r="G1586">
        <v>0</v>
      </c>
      <c r="H1586">
        <f>(ORDERS[[#This Row],[UnitsOrdered]]*ORDERS[[#This Row],[unit price]])-(ORDERS[[#This Row],[UnitsOrdered]]*ORDERS[[#This Row],[unit price]]*ORDERS[[#This Row],[Discount]])</f>
        <v>2926</v>
      </c>
      <c r="I1586" t="str">
        <f>VLOOKUP(ORDERS[[#This Row],[CustomerID]],customers[],2,FALSE)</f>
        <v>Tshirt Unlimited</v>
      </c>
      <c r="J1586" s="2" t="str">
        <f>VLOOKUP(ORDERS[[#This Row],[CustomerID]],customers[],4,FALSE)</f>
        <v>Phoenix</v>
      </c>
      <c r="K1586" s="2" t="str">
        <f>VLOOKUP(ORDERS[[#This Row],[ProductID]],Products[],3,FALSE)</f>
        <v>Both</v>
      </c>
      <c r="L1586" s="2">
        <f>DAY(ORDERS[[#This Row],[OrderDate]])</f>
        <v>13</v>
      </c>
      <c r="M1586" s="2">
        <f>YEAR(ORDERS[[#This Row],[OrderDate]])</f>
        <v>2015</v>
      </c>
    </row>
    <row r="1587" spans="1:13" x14ac:dyDescent="0.3">
      <c r="A1587">
        <v>1586</v>
      </c>
      <c r="B1587">
        <v>7</v>
      </c>
      <c r="C1587">
        <v>5</v>
      </c>
      <c r="D1587" s="1">
        <v>42168</v>
      </c>
      <c r="E1587">
        <v>85</v>
      </c>
      <c r="F1587">
        <f>VLOOKUP(ORDERS[[#This Row],[ProductID]],Products[],4,FALSE)</f>
        <v>16</v>
      </c>
      <c r="G1587">
        <v>5.0000001000000002E-2</v>
      </c>
      <c r="H1587">
        <f>(ORDERS[[#This Row],[UnitsOrdered]]*ORDERS[[#This Row],[unit price]])-(ORDERS[[#This Row],[UnitsOrdered]]*ORDERS[[#This Row],[unit price]]*ORDERS[[#This Row],[Discount]])</f>
        <v>1291.9999986400001</v>
      </c>
      <c r="I1587" t="str">
        <f>VLOOKUP(ORDERS[[#This Row],[CustomerID]],customers[],2,FALSE)</f>
        <v>The Shirt on Your Back</v>
      </c>
      <c r="J1587" s="2" t="str">
        <f>VLOOKUP(ORDERS[[#This Row],[CustomerID]],customers[],4,FALSE)</f>
        <v>Bonners Ferry</v>
      </c>
      <c r="K1587" s="2" t="str">
        <f>VLOOKUP(ORDERS[[#This Row],[ProductID]],Products[],3,FALSE)</f>
        <v>Female</v>
      </c>
      <c r="L1587" s="2">
        <f>DAY(ORDERS[[#This Row],[OrderDate]])</f>
        <v>13</v>
      </c>
      <c r="M1587" s="2">
        <f>YEAR(ORDERS[[#This Row],[OrderDate]])</f>
        <v>2015</v>
      </c>
    </row>
    <row r="1588" spans="1:13" x14ac:dyDescent="0.3">
      <c r="A1588">
        <v>1587</v>
      </c>
      <c r="B1588">
        <v>7</v>
      </c>
      <c r="C1588">
        <v>2</v>
      </c>
      <c r="D1588" s="1">
        <v>42171</v>
      </c>
      <c r="E1588">
        <v>128</v>
      </c>
      <c r="F1588">
        <f>VLOOKUP(ORDERS[[#This Row],[ProductID]],Products[],4,FALSE)</f>
        <v>30</v>
      </c>
      <c r="G1588">
        <v>0</v>
      </c>
      <c r="H1588">
        <f>(ORDERS[[#This Row],[UnitsOrdered]]*ORDERS[[#This Row],[unit price]])-(ORDERS[[#This Row],[UnitsOrdered]]*ORDERS[[#This Row],[unit price]]*ORDERS[[#This Row],[Discount]])</f>
        <v>3840</v>
      </c>
      <c r="I1588" t="str">
        <f>VLOOKUP(ORDERS[[#This Row],[CustomerID]],customers[],2,FALSE)</f>
        <v>The Shirt on Your Back</v>
      </c>
      <c r="J1588" s="2" t="str">
        <f>VLOOKUP(ORDERS[[#This Row],[CustomerID]],customers[],4,FALSE)</f>
        <v>Bonners Ferry</v>
      </c>
      <c r="K1588" s="2" t="str">
        <f>VLOOKUP(ORDERS[[#This Row],[ProductID]],Products[],3,FALSE)</f>
        <v>Both</v>
      </c>
      <c r="L1588" s="2">
        <f>DAY(ORDERS[[#This Row],[OrderDate]])</f>
        <v>16</v>
      </c>
      <c r="M1588" s="2">
        <f>YEAR(ORDERS[[#This Row],[OrderDate]])</f>
        <v>2015</v>
      </c>
    </row>
    <row r="1589" spans="1:13" x14ac:dyDescent="0.3">
      <c r="A1589">
        <v>1588</v>
      </c>
      <c r="B1589">
        <v>3</v>
      </c>
      <c r="C1589">
        <v>5</v>
      </c>
      <c r="D1589" s="1">
        <v>42173</v>
      </c>
      <c r="E1589">
        <v>46</v>
      </c>
      <c r="F1589">
        <f>VLOOKUP(ORDERS[[#This Row],[ProductID]],Products[],4,FALSE)</f>
        <v>16</v>
      </c>
      <c r="G1589">
        <v>0</v>
      </c>
      <c r="H1589">
        <f>(ORDERS[[#This Row],[UnitsOrdered]]*ORDERS[[#This Row],[unit price]])-(ORDERS[[#This Row],[UnitsOrdered]]*ORDERS[[#This Row],[unit price]]*ORDERS[[#This Row],[Discount]])</f>
        <v>736</v>
      </c>
      <c r="I1589" t="str">
        <f>VLOOKUP(ORDERS[[#This Row],[CustomerID]],customers[],2,FALSE)</f>
        <v>Shirts R Us</v>
      </c>
      <c r="J1589" s="2" t="str">
        <f>VLOOKUP(ORDERS[[#This Row],[CustomerID]],customers[],4,FALSE)</f>
        <v>Los Angeles</v>
      </c>
      <c r="K1589" s="2" t="str">
        <f>VLOOKUP(ORDERS[[#This Row],[ProductID]],Products[],3,FALSE)</f>
        <v>Female</v>
      </c>
      <c r="L1589" s="2">
        <f>DAY(ORDERS[[#This Row],[OrderDate]])</f>
        <v>18</v>
      </c>
      <c r="M1589" s="2">
        <f>YEAR(ORDERS[[#This Row],[OrderDate]])</f>
        <v>2015</v>
      </c>
    </row>
    <row r="1590" spans="1:13" x14ac:dyDescent="0.3">
      <c r="A1590">
        <v>1589</v>
      </c>
      <c r="B1590">
        <v>1</v>
      </c>
      <c r="C1590">
        <v>10</v>
      </c>
      <c r="D1590" s="1">
        <v>42174</v>
      </c>
      <c r="E1590">
        <v>48</v>
      </c>
      <c r="F1590">
        <f>VLOOKUP(ORDERS[[#This Row],[ProductID]],Products[],4,FALSE)</f>
        <v>35</v>
      </c>
      <c r="G1590">
        <v>5.0000001000000002E-2</v>
      </c>
      <c r="H1590">
        <f>(ORDERS[[#This Row],[UnitsOrdered]]*ORDERS[[#This Row],[unit price]])-(ORDERS[[#This Row],[UnitsOrdered]]*ORDERS[[#This Row],[unit price]]*ORDERS[[#This Row],[Discount]])</f>
        <v>1595.99999832</v>
      </c>
      <c r="I1590" t="str">
        <f>VLOOKUP(ORDERS[[#This Row],[CustomerID]],customers[],2,FALSE)</f>
        <v>Threads</v>
      </c>
      <c r="J1590" s="2" t="str">
        <f>VLOOKUP(ORDERS[[#This Row],[CustomerID]],customers[],4,FALSE)</f>
        <v>Seattle</v>
      </c>
      <c r="K1590" s="2" t="str">
        <f>VLOOKUP(ORDERS[[#This Row],[ProductID]],Products[],3,FALSE)</f>
        <v>Male</v>
      </c>
      <c r="L1590" s="2">
        <f>DAY(ORDERS[[#This Row],[OrderDate]])</f>
        <v>19</v>
      </c>
      <c r="M1590" s="2">
        <f>YEAR(ORDERS[[#This Row],[OrderDate]])</f>
        <v>2015</v>
      </c>
    </row>
    <row r="1591" spans="1:13" x14ac:dyDescent="0.3">
      <c r="A1591">
        <v>1590</v>
      </c>
      <c r="B1591">
        <v>2</v>
      </c>
      <c r="C1591">
        <v>10</v>
      </c>
      <c r="D1591" s="1">
        <v>42174</v>
      </c>
      <c r="E1591">
        <v>60</v>
      </c>
      <c r="F1591">
        <f>VLOOKUP(ORDERS[[#This Row],[ProductID]],Products[],4,FALSE)</f>
        <v>35</v>
      </c>
      <c r="G1591">
        <v>0.10000000100000001</v>
      </c>
      <c r="H1591">
        <f>(ORDERS[[#This Row],[UnitsOrdered]]*ORDERS[[#This Row],[unit price]])-(ORDERS[[#This Row],[UnitsOrdered]]*ORDERS[[#This Row],[unit price]]*ORDERS[[#This Row],[Discount]])</f>
        <v>1889.9999978999999</v>
      </c>
      <c r="I1591" t="str">
        <f>VLOOKUP(ORDERS[[#This Row],[CustomerID]],customers[],2,FALSE)</f>
        <v>A Shirts Life</v>
      </c>
      <c r="J1591" s="2" t="str">
        <f>VLOOKUP(ORDERS[[#This Row],[CustomerID]],customers[],4,FALSE)</f>
        <v>Portland</v>
      </c>
      <c r="K1591" s="2" t="str">
        <f>VLOOKUP(ORDERS[[#This Row],[ProductID]],Products[],3,FALSE)</f>
        <v>Male</v>
      </c>
      <c r="L1591" s="2">
        <f>DAY(ORDERS[[#This Row],[OrderDate]])</f>
        <v>19</v>
      </c>
      <c r="M1591" s="2">
        <f>YEAR(ORDERS[[#This Row],[OrderDate]])</f>
        <v>2015</v>
      </c>
    </row>
    <row r="1592" spans="1:13" x14ac:dyDescent="0.3">
      <c r="A1592">
        <v>1591</v>
      </c>
      <c r="B1592">
        <v>4</v>
      </c>
      <c r="C1592">
        <v>6</v>
      </c>
      <c r="D1592" s="1">
        <v>42174</v>
      </c>
      <c r="E1592">
        <v>55</v>
      </c>
      <c r="F1592">
        <f>VLOOKUP(ORDERS[[#This Row],[ProductID]],Products[],4,FALSE)</f>
        <v>28</v>
      </c>
      <c r="G1592">
        <v>0</v>
      </c>
      <c r="H1592">
        <f>(ORDERS[[#This Row],[UnitsOrdered]]*ORDERS[[#This Row],[unit price]])-(ORDERS[[#This Row],[UnitsOrdered]]*ORDERS[[#This Row],[unit price]]*ORDERS[[#This Row],[Discount]])</f>
        <v>1540</v>
      </c>
      <c r="I1592" t="str">
        <f>VLOOKUP(ORDERS[[#This Row],[CustomerID]],customers[],2,FALSE)</f>
        <v>Tshirt Unlimited</v>
      </c>
      <c r="J1592" s="2" t="str">
        <f>VLOOKUP(ORDERS[[#This Row],[CustomerID]],customers[],4,FALSE)</f>
        <v>Phoenix</v>
      </c>
      <c r="K1592" s="2" t="str">
        <f>VLOOKUP(ORDERS[[#This Row],[ProductID]],Products[],3,FALSE)</f>
        <v>Female</v>
      </c>
      <c r="L1592" s="2">
        <f>DAY(ORDERS[[#This Row],[OrderDate]])</f>
        <v>19</v>
      </c>
      <c r="M1592" s="2">
        <f>YEAR(ORDERS[[#This Row],[OrderDate]])</f>
        <v>2015</v>
      </c>
    </row>
    <row r="1593" spans="1:13" x14ac:dyDescent="0.3">
      <c r="A1593">
        <v>1592</v>
      </c>
      <c r="B1593">
        <v>4</v>
      </c>
      <c r="C1593">
        <v>10</v>
      </c>
      <c r="D1593" s="1">
        <v>42174</v>
      </c>
      <c r="E1593">
        <v>116</v>
      </c>
      <c r="F1593">
        <f>VLOOKUP(ORDERS[[#This Row],[ProductID]],Products[],4,FALSE)</f>
        <v>35</v>
      </c>
      <c r="G1593">
        <v>5.0000001000000002E-2</v>
      </c>
      <c r="H1593">
        <f>(ORDERS[[#This Row],[UnitsOrdered]]*ORDERS[[#This Row],[unit price]])-(ORDERS[[#This Row],[UnitsOrdered]]*ORDERS[[#This Row],[unit price]]*ORDERS[[#This Row],[Discount]])</f>
        <v>3856.9999959400002</v>
      </c>
      <c r="I1593" t="str">
        <f>VLOOKUP(ORDERS[[#This Row],[CustomerID]],customers[],2,FALSE)</f>
        <v>Tshirt Unlimited</v>
      </c>
      <c r="J1593" s="2" t="str">
        <f>VLOOKUP(ORDERS[[#This Row],[CustomerID]],customers[],4,FALSE)</f>
        <v>Phoenix</v>
      </c>
      <c r="K1593" s="2" t="str">
        <f>VLOOKUP(ORDERS[[#This Row],[ProductID]],Products[],3,FALSE)</f>
        <v>Male</v>
      </c>
      <c r="L1593" s="2">
        <f>DAY(ORDERS[[#This Row],[OrderDate]])</f>
        <v>19</v>
      </c>
      <c r="M1593" s="2">
        <f>YEAR(ORDERS[[#This Row],[OrderDate]])</f>
        <v>2015</v>
      </c>
    </row>
    <row r="1594" spans="1:13" x14ac:dyDescent="0.3">
      <c r="A1594">
        <v>1593</v>
      </c>
      <c r="B1594">
        <v>2</v>
      </c>
      <c r="C1594">
        <v>3</v>
      </c>
      <c r="D1594" s="1">
        <v>42175</v>
      </c>
      <c r="E1594">
        <v>127</v>
      </c>
      <c r="F1594">
        <f>VLOOKUP(ORDERS[[#This Row],[ProductID]],Products[],4,FALSE)</f>
        <v>22</v>
      </c>
      <c r="G1594">
        <v>0.15000000599999999</v>
      </c>
      <c r="H1594">
        <f>(ORDERS[[#This Row],[UnitsOrdered]]*ORDERS[[#This Row],[unit price]])-(ORDERS[[#This Row],[UnitsOrdered]]*ORDERS[[#This Row],[unit price]]*ORDERS[[#This Row],[Discount]])</f>
        <v>2374.899983236</v>
      </c>
      <c r="I1594" t="str">
        <f>VLOOKUP(ORDERS[[#This Row],[CustomerID]],customers[],2,FALSE)</f>
        <v>A Shirts Life</v>
      </c>
      <c r="J1594" s="2" t="str">
        <f>VLOOKUP(ORDERS[[#This Row],[CustomerID]],customers[],4,FALSE)</f>
        <v>Portland</v>
      </c>
      <c r="K1594" s="2" t="str">
        <f>VLOOKUP(ORDERS[[#This Row],[ProductID]],Products[],3,FALSE)</f>
        <v>Both</v>
      </c>
      <c r="L1594" s="2">
        <f>DAY(ORDERS[[#This Row],[OrderDate]])</f>
        <v>20</v>
      </c>
      <c r="M1594" s="2">
        <f>YEAR(ORDERS[[#This Row],[OrderDate]])</f>
        <v>2015</v>
      </c>
    </row>
    <row r="1595" spans="1:13" x14ac:dyDescent="0.3">
      <c r="A1595">
        <v>1594</v>
      </c>
      <c r="B1595">
        <v>5</v>
      </c>
      <c r="C1595">
        <v>5</v>
      </c>
      <c r="D1595" s="1">
        <v>42176</v>
      </c>
      <c r="E1595">
        <v>28</v>
      </c>
      <c r="F1595">
        <f>VLOOKUP(ORDERS[[#This Row],[ProductID]],Products[],4,FALSE)</f>
        <v>16</v>
      </c>
      <c r="G1595">
        <v>5.0000001000000002E-2</v>
      </c>
      <c r="H1595">
        <f>(ORDERS[[#This Row],[UnitsOrdered]]*ORDERS[[#This Row],[unit price]])-(ORDERS[[#This Row],[UnitsOrdered]]*ORDERS[[#This Row],[unit price]]*ORDERS[[#This Row],[Discount]])</f>
        <v>425.59999955199999</v>
      </c>
      <c r="I1595" t="str">
        <f>VLOOKUP(ORDERS[[#This Row],[CustomerID]],customers[],2,FALSE)</f>
        <v>Rags to Riches</v>
      </c>
      <c r="J1595" s="2" t="str">
        <f>VLOOKUP(ORDERS[[#This Row],[CustomerID]],customers[],4,FALSE)</f>
        <v>Las Vegas</v>
      </c>
      <c r="K1595" s="2" t="str">
        <f>VLOOKUP(ORDERS[[#This Row],[ProductID]],Products[],3,FALSE)</f>
        <v>Female</v>
      </c>
      <c r="L1595" s="2">
        <f>DAY(ORDERS[[#This Row],[OrderDate]])</f>
        <v>21</v>
      </c>
      <c r="M1595" s="2">
        <f>YEAR(ORDERS[[#This Row],[OrderDate]])</f>
        <v>2015</v>
      </c>
    </row>
    <row r="1596" spans="1:13" x14ac:dyDescent="0.3">
      <c r="A1596">
        <v>1595</v>
      </c>
      <c r="B1596">
        <v>2</v>
      </c>
      <c r="C1596">
        <v>3</v>
      </c>
      <c r="D1596" s="1">
        <v>42177</v>
      </c>
      <c r="E1596">
        <v>101</v>
      </c>
      <c r="F1596">
        <f>VLOOKUP(ORDERS[[#This Row],[ProductID]],Products[],4,FALSE)</f>
        <v>22</v>
      </c>
      <c r="G1596">
        <v>0</v>
      </c>
      <c r="H1596">
        <f>(ORDERS[[#This Row],[UnitsOrdered]]*ORDERS[[#This Row],[unit price]])-(ORDERS[[#This Row],[UnitsOrdered]]*ORDERS[[#This Row],[unit price]]*ORDERS[[#This Row],[Discount]])</f>
        <v>2222</v>
      </c>
      <c r="I1596" t="str">
        <f>VLOOKUP(ORDERS[[#This Row],[CustomerID]],customers[],2,FALSE)</f>
        <v>A Shirts Life</v>
      </c>
      <c r="J1596" s="2" t="str">
        <f>VLOOKUP(ORDERS[[#This Row],[CustomerID]],customers[],4,FALSE)</f>
        <v>Portland</v>
      </c>
      <c r="K1596" s="2" t="str">
        <f>VLOOKUP(ORDERS[[#This Row],[ProductID]],Products[],3,FALSE)</f>
        <v>Both</v>
      </c>
      <c r="L1596" s="2">
        <f>DAY(ORDERS[[#This Row],[OrderDate]])</f>
        <v>22</v>
      </c>
      <c r="M1596" s="2">
        <f>YEAR(ORDERS[[#This Row],[OrderDate]])</f>
        <v>2015</v>
      </c>
    </row>
    <row r="1597" spans="1:13" x14ac:dyDescent="0.3">
      <c r="A1597">
        <v>1596</v>
      </c>
      <c r="B1597">
        <v>2</v>
      </c>
      <c r="C1597">
        <v>9</v>
      </c>
      <c r="D1597" s="1">
        <v>42177</v>
      </c>
      <c r="E1597">
        <v>63</v>
      </c>
      <c r="F1597">
        <f>VLOOKUP(ORDERS[[#This Row],[ProductID]],Products[],4,FALSE)</f>
        <v>25</v>
      </c>
      <c r="G1597">
        <v>5.0000001000000002E-2</v>
      </c>
      <c r="H1597">
        <f>(ORDERS[[#This Row],[UnitsOrdered]]*ORDERS[[#This Row],[unit price]])-(ORDERS[[#This Row],[UnitsOrdered]]*ORDERS[[#This Row],[unit price]]*ORDERS[[#This Row],[Discount]])</f>
        <v>1496.2499984250001</v>
      </c>
      <c r="I1597" t="str">
        <f>VLOOKUP(ORDERS[[#This Row],[CustomerID]],customers[],2,FALSE)</f>
        <v>A Shirts Life</v>
      </c>
      <c r="J1597" s="2" t="str">
        <f>VLOOKUP(ORDERS[[#This Row],[CustomerID]],customers[],4,FALSE)</f>
        <v>Portland</v>
      </c>
      <c r="K1597" s="2" t="str">
        <f>VLOOKUP(ORDERS[[#This Row],[ProductID]],Products[],3,FALSE)</f>
        <v>Male</v>
      </c>
      <c r="L1597" s="2">
        <f>DAY(ORDERS[[#This Row],[OrderDate]])</f>
        <v>22</v>
      </c>
      <c r="M1597" s="2">
        <f>YEAR(ORDERS[[#This Row],[OrderDate]])</f>
        <v>2015</v>
      </c>
    </row>
    <row r="1598" spans="1:13" x14ac:dyDescent="0.3">
      <c r="A1598">
        <v>1597</v>
      </c>
      <c r="B1598">
        <v>4</v>
      </c>
      <c r="C1598">
        <v>7</v>
      </c>
      <c r="D1598" s="1">
        <v>42178</v>
      </c>
      <c r="E1598">
        <v>108</v>
      </c>
      <c r="F1598">
        <f>VLOOKUP(ORDERS[[#This Row],[ProductID]],Products[],4,FALSE)</f>
        <v>38</v>
      </c>
      <c r="G1598">
        <v>0</v>
      </c>
      <c r="H1598">
        <f>(ORDERS[[#This Row],[UnitsOrdered]]*ORDERS[[#This Row],[unit price]])-(ORDERS[[#This Row],[UnitsOrdered]]*ORDERS[[#This Row],[unit price]]*ORDERS[[#This Row],[Discount]])</f>
        <v>4104</v>
      </c>
      <c r="I1598" t="str">
        <f>VLOOKUP(ORDERS[[#This Row],[CustomerID]],customers[],2,FALSE)</f>
        <v>Tshirt Unlimited</v>
      </c>
      <c r="J1598" s="2" t="str">
        <f>VLOOKUP(ORDERS[[#This Row],[CustomerID]],customers[],4,FALSE)</f>
        <v>Phoenix</v>
      </c>
      <c r="K1598" s="2" t="str">
        <f>VLOOKUP(ORDERS[[#This Row],[ProductID]],Products[],3,FALSE)</f>
        <v>Female</v>
      </c>
      <c r="L1598" s="2">
        <f>DAY(ORDERS[[#This Row],[OrderDate]])</f>
        <v>23</v>
      </c>
      <c r="M1598" s="2">
        <f>YEAR(ORDERS[[#This Row],[OrderDate]])</f>
        <v>2015</v>
      </c>
    </row>
    <row r="1599" spans="1:13" x14ac:dyDescent="0.3">
      <c r="A1599">
        <v>1598</v>
      </c>
      <c r="B1599">
        <v>6</v>
      </c>
      <c r="C1599">
        <v>4</v>
      </c>
      <c r="D1599" s="1">
        <v>42179</v>
      </c>
      <c r="E1599">
        <v>122</v>
      </c>
      <c r="F1599">
        <f>VLOOKUP(ORDERS[[#This Row],[ProductID]],Products[],4,FALSE)</f>
        <v>30</v>
      </c>
      <c r="G1599">
        <v>0</v>
      </c>
      <c r="H1599">
        <f>(ORDERS[[#This Row],[UnitsOrdered]]*ORDERS[[#This Row],[unit price]])-(ORDERS[[#This Row],[UnitsOrdered]]*ORDERS[[#This Row],[unit price]]*ORDERS[[#This Row],[Discount]])</f>
        <v>3660</v>
      </c>
      <c r="I1599" t="str">
        <f>VLOOKUP(ORDERS[[#This Row],[CustomerID]],customers[],2,FALSE)</f>
        <v>Abracadaba Ink</v>
      </c>
      <c r="J1599" s="2" t="str">
        <f>VLOOKUP(ORDERS[[#This Row],[CustomerID]],customers[],4,FALSE)</f>
        <v>Salt Lake City</v>
      </c>
      <c r="K1599" s="2" t="str">
        <f>VLOOKUP(ORDERS[[#This Row],[ProductID]],Products[],3,FALSE)</f>
        <v>Both</v>
      </c>
      <c r="L1599" s="2">
        <f>DAY(ORDERS[[#This Row],[OrderDate]])</f>
        <v>24</v>
      </c>
      <c r="M1599" s="2">
        <f>YEAR(ORDERS[[#This Row],[OrderDate]])</f>
        <v>2015</v>
      </c>
    </row>
    <row r="1600" spans="1:13" x14ac:dyDescent="0.3">
      <c r="A1600">
        <v>1599</v>
      </c>
      <c r="B1600">
        <v>5</v>
      </c>
      <c r="C1600">
        <v>8</v>
      </c>
      <c r="D1600" s="1">
        <v>42180</v>
      </c>
      <c r="E1600">
        <v>95</v>
      </c>
      <c r="F1600">
        <f>VLOOKUP(ORDERS[[#This Row],[ProductID]],Products[],4,FALSE)</f>
        <v>27</v>
      </c>
      <c r="G1600">
        <v>5.0000001000000002E-2</v>
      </c>
      <c r="H1600">
        <f>(ORDERS[[#This Row],[UnitsOrdered]]*ORDERS[[#This Row],[unit price]])-(ORDERS[[#This Row],[UnitsOrdered]]*ORDERS[[#This Row],[unit price]]*ORDERS[[#This Row],[Discount]])</f>
        <v>2436.7499974349998</v>
      </c>
      <c r="I1600" t="str">
        <f>VLOOKUP(ORDERS[[#This Row],[CustomerID]],customers[],2,FALSE)</f>
        <v>Rags to Riches</v>
      </c>
      <c r="J1600" s="2" t="str">
        <f>VLOOKUP(ORDERS[[#This Row],[CustomerID]],customers[],4,FALSE)</f>
        <v>Las Vegas</v>
      </c>
      <c r="K1600" s="2" t="str">
        <f>VLOOKUP(ORDERS[[#This Row],[ProductID]],Products[],3,FALSE)</f>
        <v>Female</v>
      </c>
      <c r="L1600" s="2">
        <f>DAY(ORDERS[[#This Row],[OrderDate]])</f>
        <v>25</v>
      </c>
      <c r="M1600" s="2">
        <f>YEAR(ORDERS[[#This Row],[OrderDate]])</f>
        <v>2015</v>
      </c>
    </row>
    <row r="1601" spans="1:13" x14ac:dyDescent="0.3">
      <c r="A1601">
        <v>1600</v>
      </c>
      <c r="B1601">
        <v>7</v>
      </c>
      <c r="C1601">
        <v>3</v>
      </c>
      <c r="D1601" s="1">
        <v>42180</v>
      </c>
      <c r="E1601">
        <v>145</v>
      </c>
      <c r="F1601">
        <f>VLOOKUP(ORDERS[[#This Row],[ProductID]],Products[],4,FALSE)</f>
        <v>22</v>
      </c>
      <c r="G1601">
        <v>0</v>
      </c>
      <c r="H1601">
        <f>(ORDERS[[#This Row],[UnitsOrdered]]*ORDERS[[#This Row],[unit price]])-(ORDERS[[#This Row],[UnitsOrdered]]*ORDERS[[#This Row],[unit price]]*ORDERS[[#This Row],[Discount]])</f>
        <v>3190</v>
      </c>
      <c r="I1601" t="str">
        <f>VLOOKUP(ORDERS[[#This Row],[CustomerID]],customers[],2,FALSE)</f>
        <v>The Shirt on Your Back</v>
      </c>
      <c r="J1601" s="2" t="str">
        <f>VLOOKUP(ORDERS[[#This Row],[CustomerID]],customers[],4,FALSE)</f>
        <v>Bonners Ferry</v>
      </c>
      <c r="K1601" s="2" t="str">
        <f>VLOOKUP(ORDERS[[#This Row],[ProductID]],Products[],3,FALSE)</f>
        <v>Both</v>
      </c>
      <c r="L1601" s="2">
        <f>DAY(ORDERS[[#This Row],[OrderDate]])</f>
        <v>25</v>
      </c>
      <c r="M1601" s="2">
        <f>YEAR(ORDERS[[#This Row],[OrderDate]])</f>
        <v>2015</v>
      </c>
    </row>
    <row r="1602" spans="1:13" x14ac:dyDescent="0.3">
      <c r="A1602">
        <v>1601</v>
      </c>
      <c r="B1602">
        <v>2</v>
      </c>
      <c r="C1602">
        <v>4</v>
      </c>
      <c r="D1602" s="1">
        <v>42182</v>
      </c>
      <c r="E1602">
        <v>113</v>
      </c>
      <c r="F1602">
        <f>VLOOKUP(ORDERS[[#This Row],[ProductID]],Products[],4,FALSE)</f>
        <v>30</v>
      </c>
      <c r="G1602">
        <v>0</v>
      </c>
      <c r="H1602">
        <f>(ORDERS[[#This Row],[UnitsOrdered]]*ORDERS[[#This Row],[unit price]])-(ORDERS[[#This Row],[UnitsOrdered]]*ORDERS[[#This Row],[unit price]]*ORDERS[[#This Row],[Discount]])</f>
        <v>3390</v>
      </c>
      <c r="I1602" t="str">
        <f>VLOOKUP(ORDERS[[#This Row],[CustomerID]],customers[],2,FALSE)</f>
        <v>A Shirts Life</v>
      </c>
      <c r="J1602" s="2" t="str">
        <f>VLOOKUP(ORDERS[[#This Row],[CustomerID]],customers[],4,FALSE)</f>
        <v>Portland</v>
      </c>
      <c r="K1602" s="2" t="str">
        <f>VLOOKUP(ORDERS[[#This Row],[ProductID]],Products[],3,FALSE)</f>
        <v>Both</v>
      </c>
      <c r="L1602" s="2">
        <f>DAY(ORDERS[[#This Row],[OrderDate]])</f>
        <v>27</v>
      </c>
      <c r="M1602" s="2">
        <f>YEAR(ORDERS[[#This Row],[OrderDate]])</f>
        <v>2015</v>
      </c>
    </row>
    <row r="1603" spans="1:13" x14ac:dyDescent="0.3">
      <c r="A1603">
        <v>1602</v>
      </c>
      <c r="B1603">
        <v>3</v>
      </c>
      <c r="C1603">
        <v>3</v>
      </c>
      <c r="D1603" s="1">
        <v>42183</v>
      </c>
      <c r="E1603">
        <v>44</v>
      </c>
      <c r="F1603">
        <f>VLOOKUP(ORDERS[[#This Row],[ProductID]],Products[],4,FALSE)</f>
        <v>22</v>
      </c>
      <c r="G1603">
        <v>0</v>
      </c>
      <c r="H1603">
        <f>(ORDERS[[#This Row],[UnitsOrdered]]*ORDERS[[#This Row],[unit price]])-(ORDERS[[#This Row],[UnitsOrdered]]*ORDERS[[#This Row],[unit price]]*ORDERS[[#This Row],[Discount]])</f>
        <v>968</v>
      </c>
      <c r="I1603" t="str">
        <f>VLOOKUP(ORDERS[[#This Row],[CustomerID]],customers[],2,FALSE)</f>
        <v>Shirts R Us</v>
      </c>
      <c r="J1603" s="2" t="str">
        <f>VLOOKUP(ORDERS[[#This Row],[CustomerID]],customers[],4,FALSE)</f>
        <v>Los Angeles</v>
      </c>
      <c r="K1603" s="2" t="str">
        <f>VLOOKUP(ORDERS[[#This Row],[ProductID]],Products[],3,FALSE)</f>
        <v>Both</v>
      </c>
      <c r="L1603" s="2">
        <f>DAY(ORDERS[[#This Row],[OrderDate]])</f>
        <v>28</v>
      </c>
      <c r="M1603" s="2">
        <f>YEAR(ORDERS[[#This Row],[OrderDate]])</f>
        <v>2015</v>
      </c>
    </row>
    <row r="1604" spans="1:13" x14ac:dyDescent="0.3">
      <c r="A1604">
        <v>1603</v>
      </c>
      <c r="B1604">
        <v>3</v>
      </c>
      <c r="C1604">
        <v>7</v>
      </c>
      <c r="D1604" s="1">
        <v>42184</v>
      </c>
      <c r="E1604">
        <v>98</v>
      </c>
      <c r="F1604">
        <f>VLOOKUP(ORDERS[[#This Row],[ProductID]],Products[],4,FALSE)</f>
        <v>38</v>
      </c>
      <c r="G1604">
        <v>5.0000001000000002E-2</v>
      </c>
      <c r="H1604">
        <f>(ORDERS[[#This Row],[UnitsOrdered]]*ORDERS[[#This Row],[unit price]])-(ORDERS[[#This Row],[UnitsOrdered]]*ORDERS[[#This Row],[unit price]]*ORDERS[[#This Row],[Discount]])</f>
        <v>3537.799996276</v>
      </c>
      <c r="I1604" t="str">
        <f>VLOOKUP(ORDERS[[#This Row],[CustomerID]],customers[],2,FALSE)</f>
        <v>Shirts R Us</v>
      </c>
      <c r="J1604" s="2" t="str">
        <f>VLOOKUP(ORDERS[[#This Row],[CustomerID]],customers[],4,FALSE)</f>
        <v>Los Angeles</v>
      </c>
      <c r="K1604" s="2" t="str">
        <f>VLOOKUP(ORDERS[[#This Row],[ProductID]],Products[],3,FALSE)</f>
        <v>Female</v>
      </c>
      <c r="L1604" s="2">
        <f>DAY(ORDERS[[#This Row],[OrderDate]])</f>
        <v>29</v>
      </c>
      <c r="M1604" s="2">
        <f>YEAR(ORDERS[[#This Row],[OrderDate]])</f>
        <v>2015</v>
      </c>
    </row>
    <row r="1605" spans="1:13" x14ac:dyDescent="0.3">
      <c r="A1605">
        <v>1604</v>
      </c>
      <c r="B1605">
        <v>2</v>
      </c>
      <c r="C1605">
        <v>7</v>
      </c>
      <c r="D1605" s="1">
        <v>42185</v>
      </c>
      <c r="E1605">
        <v>52</v>
      </c>
      <c r="F1605">
        <f>VLOOKUP(ORDERS[[#This Row],[ProductID]],Products[],4,FALSE)</f>
        <v>38</v>
      </c>
      <c r="G1605">
        <v>0</v>
      </c>
      <c r="H1605">
        <f>(ORDERS[[#This Row],[UnitsOrdered]]*ORDERS[[#This Row],[unit price]])-(ORDERS[[#This Row],[UnitsOrdered]]*ORDERS[[#This Row],[unit price]]*ORDERS[[#This Row],[Discount]])</f>
        <v>1976</v>
      </c>
      <c r="I1605" t="str">
        <f>VLOOKUP(ORDERS[[#This Row],[CustomerID]],customers[],2,FALSE)</f>
        <v>A Shirts Life</v>
      </c>
      <c r="J1605" s="2" t="str">
        <f>VLOOKUP(ORDERS[[#This Row],[CustomerID]],customers[],4,FALSE)</f>
        <v>Portland</v>
      </c>
      <c r="K1605" s="2" t="str">
        <f>VLOOKUP(ORDERS[[#This Row],[ProductID]],Products[],3,FALSE)</f>
        <v>Female</v>
      </c>
      <c r="L1605" s="2">
        <f>DAY(ORDERS[[#This Row],[OrderDate]])</f>
        <v>30</v>
      </c>
      <c r="M1605" s="2">
        <f>YEAR(ORDERS[[#This Row],[OrderDate]])</f>
        <v>2015</v>
      </c>
    </row>
    <row r="1606" spans="1:13" x14ac:dyDescent="0.3">
      <c r="A1606">
        <v>1605</v>
      </c>
      <c r="B1606">
        <v>7</v>
      </c>
      <c r="C1606">
        <v>5</v>
      </c>
      <c r="D1606" s="1">
        <v>42185</v>
      </c>
      <c r="E1606">
        <v>90</v>
      </c>
      <c r="F1606">
        <f>VLOOKUP(ORDERS[[#This Row],[ProductID]],Products[],4,FALSE)</f>
        <v>16</v>
      </c>
      <c r="G1606">
        <v>0</v>
      </c>
      <c r="H1606">
        <f>(ORDERS[[#This Row],[UnitsOrdered]]*ORDERS[[#This Row],[unit price]])-(ORDERS[[#This Row],[UnitsOrdered]]*ORDERS[[#This Row],[unit price]]*ORDERS[[#This Row],[Discount]])</f>
        <v>1440</v>
      </c>
      <c r="I1606" t="str">
        <f>VLOOKUP(ORDERS[[#This Row],[CustomerID]],customers[],2,FALSE)</f>
        <v>The Shirt on Your Back</v>
      </c>
      <c r="J1606" s="2" t="str">
        <f>VLOOKUP(ORDERS[[#This Row],[CustomerID]],customers[],4,FALSE)</f>
        <v>Bonners Ferry</v>
      </c>
      <c r="K1606" s="2" t="str">
        <f>VLOOKUP(ORDERS[[#This Row],[ProductID]],Products[],3,FALSE)</f>
        <v>Female</v>
      </c>
      <c r="L1606" s="2">
        <f>DAY(ORDERS[[#This Row],[OrderDate]])</f>
        <v>30</v>
      </c>
      <c r="M1606" s="2">
        <f>YEAR(ORDERS[[#This Row],[OrderDate]])</f>
        <v>2015</v>
      </c>
    </row>
    <row r="1607" spans="1:13" x14ac:dyDescent="0.3">
      <c r="A1607">
        <v>1606</v>
      </c>
      <c r="B1607">
        <v>7</v>
      </c>
      <c r="C1607">
        <v>8</v>
      </c>
      <c r="D1607" s="1">
        <v>42185</v>
      </c>
      <c r="E1607">
        <v>70</v>
      </c>
      <c r="F1607">
        <f>VLOOKUP(ORDERS[[#This Row],[ProductID]],Products[],4,FALSE)</f>
        <v>27</v>
      </c>
      <c r="G1607">
        <v>0</v>
      </c>
      <c r="H1607">
        <f>(ORDERS[[#This Row],[UnitsOrdered]]*ORDERS[[#This Row],[unit price]])-(ORDERS[[#This Row],[UnitsOrdered]]*ORDERS[[#This Row],[unit price]]*ORDERS[[#This Row],[Discount]])</f>
        <v>1890</v>
      </c>
      <c r="I1607" t="str">
        <f>VLOOKUP(ORDERS[[#This Row],[CustomerID]],customers[],2,FALSE)</f>
        <v>The Shirt on Your Back</v>
      </c>
      <c r="J1607" s="2" t="str">
        <f>VLOOKUP(ORDERS[[#This Row],[CustomerID]],customers[],4,FALSE)</f>
        <v>Bonners Ferry</v>
      </c>
      <c r="K1607" s="2" t="str">
        <f>VLOOKUP(ORDERS[[#This Row],[ProductID]],Products[],3,FALSE)</f>
        <v>Female</v>
      </c>
      <c r="L1607" s="2">
        <f>DAY(ORDERS[[#This Row],[OrderDate]])</f>
        <v>30</v>
      </c>
      <c r="M1607" s="2">
        <f>YEAR(ORDERS[[#This Row],[OrderDate]])</f>
        <v>2015</v>
      </c>
    </row>
    <row r="1608" spans="1:13" x14ac:dyDescent="0.3">
      <c r="A1608">
        <v>1607</v>
      </c>
      <c r="B1608">
        <v>1</v>
      </c>
      <c r="C1608">
        <v>2</v>
      </c>
      <c r="D1608" s="1">
        <v>42186</v>
      </c>
      <c r="E1608">
        <v>33</v>
      </c>
      <c r="F1608">
        <f>VLOOKUP(ORDERS[[#This Row],[ProductID]],Products[],4,FALSE)</f>
        <v>30</v>
      </c>
      <c r="G1608">
        <v>0</v>
      </c>
      <c r="H1608">
        <f>(ORDERS[[#This Row],[UnitsOrdered]]*ORDERS[[#This Row],[unit price]])-(ORDERS[[#This Row],[UnitsOrdered]]*ORDERS[[#This Row],[unit price]]*ORDERS[[#This Row],[Discount]])</f>
        <v>990</v>
      </c>
      <c r="I1608" t="str">
        <f>VLOOKUP(ORDERS[[#This Row],[CustomerID]],customers[],2,FALSE)</f>
        <v>Threads</v>
      </c>
      <c r="J1608" s="2" t="str">
        <f>VLOOKUP(ORDERS[[#This Row],[CustomerID]],customers[],4,FALSE)</f>
        <v>Seattle</v>
      </c>
      <c r="K1608" s="2" t="str">
        <f>VLOOKUP(ORDERS[[#This Row],[ProductID]],Products[],3,FALSE)</f>
        <v>Both</v>
      </c>
      <c r="L1608" s="2">
        <f>DAY(ORDERS[[#This Row],[OrderDate]])</f>
        <v>1</v>
      </c>
      <c r="M1608" s="2">
        <f>YEAR(ORDERS[[#This Row],[OrderDate]])</f>
        <v>2015</v>
      </c>
    </row>
    <row r="1609" spans="1:13" x14ac:dyDescent="0.3">
      <c r="A1609">
        <v>1608</v>
      </c>
      <c r="B1609">
        <v>6</v>
      </c>
      <c r="C1609">
        <v>10</v>
      </c>
      <c r="D1609" s="1">
        <v>42186</v>
      </c>
      <c r="E1609">
        <v>46</v>
      </c>
      <c r="F1609">
        <f>VLOOKUP(ORDERS[[#This Row],[ProductID]],Products[],4,FALSE)</f>
        <v>35</v>
      </c>
      <c r="G1609">
        <v>0</v>
      </c>
      <c r="H1609">
        <f>(ORDERS[[#This Row],[UnitsOrdered]]*ORDERS[[#This Row],[unit price]])-(ORDERS[[#This Row],[UnitsOrdered]]*ORDERS[[#This Row],[unit price]]*ORDERS[[#This Row],[Discount]])</f>
        <v>1610</v>
      </c>
      <c r="I1609" t="str">
        <f>VLOOKUP(ORDERS[[#This Row],[CustomerID]],customers[],2,FALSE)</f>
        <v>Abracadaba Ink</v>
      </c>
      <c r="J1609" s="2" t="str">
        <f>VLOOKUP(ORDERS[[#This Row],[CustomerID]],customers[],4,FALSE)</f>
        <v>Salt Lake City</v>
      </c>
      <c r="K1609" s="2" t="str">
        <f>VLOOKUP(ORDERS[[#This Row],[ProductID]],Products[],3,FALSE)</f>
        <v>Male</v>
      </c>
      <c r="L1609" s="2">
        <f>DAY(ORDERS[[#This Row],[OrderDate]])</f>
        <v>1</v>
      </c>
      <c r="M1609" s="2">
        <f>YEAR(ORDERS[[#This Row],[OrderDate]])</f>
        <v>2015</v>
      </c>
    </row>
    <row r="1610" spans="1:13" x14ac:dyDescent="0.3">
      <c r="A1610">
        <v>1609</v>
      </c>
      <c r="B1610">
        <v>7</v>
      </c>
      <c r="C1610">
        <v>1</v>
      </c>
      <c r="D1610" s="1">
        <v>42187</v>
      </c>
      <c r="E1610">
        <v>134</v>
      </c>
      <c r="F1610">
        <f>VLOOKUP(ORDERS[[#This Row],[ProductID]],Products[],4,FALSE)</f>
        <v>20</v>
      </c>
      <c r="G1610">
        <v>0</v>
      </c>
      <c r="H1610">
        <f>(ORDERS[[#This Row],[UnitsOrdered]]*ORDERS[[#This Row],[unit price]])-(ORDERS[[#This Row],[UnitsOrdered]]*ORDERS[[#This Row],[unit price]]*ORDERS[[#This Row],[Discount]])</f>
        <v>2680</v>
      </c>
      <c r="I1610" t="str">
        <f>VLOOKUP(ORDERS[[#This Row],[CustomerID]],customers[],2,FALSE)</f>
        <v>The Shirt on Your Back</v>
      </c>
      <c r="J1610" s="2" t="str">
        <f>VLOOKUP(ORDERS[[#This Row],[CustomerID]],customers[],4,FALSE)</f>
        <v>Bonners Ferry</v>
      </c>
      <c r="K1610" s="2" t="str">
        <f>VLOOKUP(ORDERS[[#This Row],[ProductID]],Products[],3,FALSE)</f>
        <v>Both</v>
      </c>
      <c r="L1610" s="2">
        <f>DAY(ORDERS[[#This Row],[OrderDate]])</f>
        <v>2</v>
      </c>
      <c r="M1610" s="2">
        <f>YEAR(ORDERS[[#This Row],[OrderDate]])</f>
        <v>2015</v>
      </c>
    </row>
    <row r="1611" spans="1:13" x14ac:dyDescent="0.3">
      <c r="A1611">
        <v>1610</v>
      </c>
      <c r="B1611">
        <v>3</v>
      </c>
      <c r="C1611">
        <v>8</v>
      </c>
      <c r="D1611" s="1">
        <v>42189</v>
      </c>
      <c r="E1611">
        <v>145</v>
      </c>
      <c r="F1611">
        <f>VLOOKUP(ORDERS[[#This Row],[ProductID]],Products[],4,FALSE)</f>
        <v>27</v>
      </c>
      <c r="G1611">
        <v>0</v>
      </c>
      <c r="H1611">
        <f>(ORDERS[[#This Row],[UnitsOrdered]]*ORDERS[[#This Row],[unit price]])-(ORDERS[[#This Row],[UnitsOrdered]]*ORDERS[[#This Row],[unit price]]*ORDERS[[#This Row],[Discount]])</f>
        <v>3915</v>
      </c>
      <c r="I1611" t="str">
        <f>VLOOKUP(ORDERS[[#This Row],[CustomerID]],customers[],2,FALSE)</f>
        <v>Shirts R Us</v>
      </c>
      <c r="J1611" s="2" t="str">
        <f>VLOOKUP(ORDERS[[#This Row],[CustomerID]],customers[],4,FALSE)</f>
        <v>Los Angeles</v>
      </c>
      <c r="K1611" s="2" t="str">
        <f>VLOOKUP(ORDERS[[#This Row],[ProductID]],Products[],3,FALSE)</f>
        <v>Female</v>
      </c>
      <c r="L1611" s="2">
        <f>DAY(ORDERS[[#This Row],[OrderDate]])</f>
        <v>4</v>
      </c>
      <c r="M1611" s="2">
        <f>YEAR(ORDERS[[#This Row],[OrderDate]])</f>
        <v>2015</v>
      </c>
    </row>
    <row r="1612" spans="1:13" x14ac:dyDescent="0.3">
      <c r="A1612">
        <v>1611</v>
      </c>
      <c r="B1612">
        <v>7</v>
      </c>
      <c r="C1612">
        <v>1</v>
      </c>
      <c r="D1612" s="1">
        <v>42189</v>
      </c>
      <c r="E1612">
        <v>121</v>
      </c>
      <c r="F1612">
        <f>VLOOKUP(ORDERS[[#This Row],[ProductID]],Products[],4,FALSE)</f>
        <v>20</v>
      </c>
      <c r="G1612">
        <v>0</v>
      </c>
      <c r="H1612">
        <f>(ORDERS[[#This Row],[UnitsOrdered]]*ORDERS[[#This Row],[unit price]])-(ORDERS[[#This Row],[UnitsOrdered]]*ORDERS[[#This Row],[unit price]]*ORDERS[[#This Row],[Discount]])</f>
        <v>2420</v>
      </c>
      <c r="I1612" t="str">
        <f>VLOOKUP(ORDERS[[#This Row],[CustomerID]],customers[],2,FALSE)</f>
        <v>The Shirt on Your Back</v>
      </c>
      <c r="J1612" s="2" t="str">
        <f>VLOOKUP(ORDERS[[#This Row],[CustomerID]],customers[],4,FALSE)</f>
        <v>Bonners Ferry</v>
      </c>
      <c r="K1612" s="2" t="str">
        <f>VLOOKUP(ORDERS[[#This Row],[ProductID]],Products[],3,FALSE)</f>
        <v>Both</v>
      </c>
      <c r="L1612" s="2">
        <f>DAY(ORDERS[[#This Row],[OrderDate]])</f>
        <v>4</v>
      </c>
      <c r="M1612" s="2">
        <f>YEAR(ORDERS[[#This Row],[OrderDate]])</f>
        <v>2015</v>
      </c>
    </row>
    <row r="1613" spans="1:13" x14ac:dyDescent="0.3">
      <c r="A1613">
        <v>1612</v>
      </c>
      <c r="B1613">
        <v>3</v>
      </c>
      <c r="C1613">
        <v>8</v>
      </c>
      <c r="D1613" s="1">
        <v>42190</v>
      </c>
      <c r="E1613">
        <v>121</v>
      </c>
      <c r="F1613">
        <f>VLOOKUP(ORDERS[[#This Row],[ProductID]],Products[],4,FALSE)</f>
        <v>27</v>
      </c>
      <c r="G1613">
        <v>0.10000000100000001</v>
      </c>
      <c r="H1613">
        <f>(ORDERS[[#This Row],[UnitsOrdered]]*ORDERS[[#This Row],[unit price]])-(ORDERS[[#This Row],[UnitsOrdered]]*ORDERS[[#This Row],[unit price]]*ORDERS[[#This Row],[Discount]])</f>
        <v>2940.2999967330002</v>
      </c>
      <c r="I1613" t="str">
        <f>VLOOKUP(ORDERS[[#This Row],[CustomerID]],customers[],2,FALSE)</f>
        <v>Shirts R Us</v>
      </c>
      <c r="J1613" s="2" t="str">
        <f>VLOOKUP(ORDERS[[#This Row],[CustomerID]],customers[],4,FALSE)</f>
        <v>Los Angeles</v>
      </c>
      <c r="K1613" s="2" t="str">
        <f>VLOOKUP(ORDERS[[#This Row],[ProductID]],Products[],3,FALSE)</f>
        <v>Female</v>
      </c>
      <c r="L1613" s="2">
        <f>DAY(ORDERS[[#This Row],[OrderDate]])</f>
        <v>5</v>
      </c>
      <c r="M1613" s="2">
        <f>YEAR(ORDERS[[#This Row],[OrderDate]])</f>
        <v>2015</v>
      </c>
    </row>
    <row r="1614" spans="1:13" x14ac:dyDescent="0.3">
      <c r="A1614">
        <v>1613</v>
      </c>
      <c r="B1614">
        <v>3</v>
      </c>
      <c r="C1614">
        <v>5</v>
      </c>
      <c r="D1614" s="1">
        <v>42191</v>
      </c>
      <c r="E1614">
        <v>62</v>
      </c>
      <c r="F1614">
        <f>VLOOKUP(ORDERS[[#This Row],[ProductID]],Products[],4,FALSE)</f>
        <v>16</v>
      </c>
      <c r="G1614">
        <v>0</v>
      </c>
      <c r="H1614">
        <f>(ORDERS[[#This Row],[UnitsOrdered]]*ORDERS[[#This Row],[unit price]])-(ORDERS[[#This Row],[UnitsOrdered]]*ORDERS[[#This Row],[unit price]]*ORDERS[[#This Row],[Discount]])</f>
        <v>992</v>
      </c>
      <c r="I1614" t="str">
        <f>VLOOKUP(ORDERS[[#This Row],[CustomerID]],customers[],2,FALSE)</f>
        <v>Shirts R Us</v>
      </c>
      <c r="J1614" s="2" t="str">
        <f>VLOOKUP(ORDERS[[#This Row],[CustomerID]],customers[],4,FALSE)</f>
        <v>Los Angeles</v>
      </c>
      <c r="K1614" s="2" t="str">
        <f>VLOOKUP(ORDERS[[#This Row],[ProductID]],Products[],3,FALSE)</f>
        <v>Female</v>
      </c>
      <c r="L1614" s="2">
        <f>DAY(ORDERS[[#This Row],[OrderDate]])</f>
        <v>6</v>
      </c>
      <c r="M1614" s="2">
        <f>YEAR(ORDERS[[#This Row],[OrderDate]])</f>
        <v>2015</v>
      </c>
    </row>
    <row r="1615" spans="1:13" x14ac:dyDescent="0.3">
      <c r="A1615">
        <v>1614</v>
      </c>
      <c r="B1615">
        <v>3</v>
      </c>
      <c r="C1615">
        <v>9</v>
      </c>
      <c r="D1615" s="1">
        <v>42191</v>
      </c>
      <c r="E1615">
        <v>58</v>
      </c>
      <c r="F1615">
        <f>VLOOKUP(ORDERS[[#This Row],[ProductID]],Products[],4,FALSE)</f>
        <v>25</v>
      </c>
      <c r="G1615">
        <v>5.0000001000000002E-2</v>
      </c>
      <c r="H1615">
        <f>(ORDERS[[#This Row],[UnitsOrdered]]*ORDERS[[#This Row],[unit price]])-(ORDERS[[#This Row],[UnitsOrdered]]*ORDERS[[#This Row],[unit price]]*ORDERS[[#This Row],[Discount]])</f>
        <v>1377.4999985500001</v>
      </c>
      <c r="I1615" t="str">
        <f>VLOOKUP(ORDERS[[#This Row],[CustomerID]],customers[],2,FALSE)</f>
        <v>Shirts R Us</v>
      </c>
      <c r="J1615" s="2" t="str">
        <f>VLOOKUP(ORDERS[[#This Row],[CustomerID]],customers[],4,FALSE)</f>
        <v>Los Angeles</v>
      </c>
      <c r="K1615" s="2" t="str">
        <f>VLOOKUP(ORDERS[[#This Row],[ProductID]],Products[],3,FALSE)</f>
        <v>Male</v>
      </c>
      <c r="L1615" s="2">
        <f>DAY(ORDERS[[#This Row],[OrderDate]])</f>
        <v>6</v>
      </c>
      <c r="M1615" s="2">
        <f>YEAR(ORDERS[[#This Row],[OrderDate]])</f>
        <v>2015</v>
      </c>
    </row>
    <row r="1616" spans="1:13" x14ac:dyDescent="0.3">
      <c r="A1616">
        <v>1615</v>
      </c>
      <c r="B1616">
        <v>2</v>
      </c>
      <c r="C1616">
        <v>8</v>
      </c>
      <c r="D1616" s="1">
        <v>42192</v>
      </c>
      <c r="E1616">
        <v>96</v>
      </c>
      <c r="F1616">
        <f>VLOOKUP(ORDERS[[#This Row],[ProductID]],Products[],4,FALSE)</f>
        <v>27</v>
      </c>
      <c r="G1616">
        <v>0</v>
      </c>
      <c r="H1616">
        <f>(ORDERS[[#This Row],[UnitsOrdered]]*ORDERS[[#This Row],[unit price]])-(ORDERS[[#This Row],[UnitsOrdered]]*ORDERS[[#This Row],[unit price]]*ORDERS[[#This Row],[Discount]])</f>
        <v>2592</v>
      </c>
      <c r="I1616" t="str">
        <f>VLOOKUP(ORDERS[[#This Row],[CustomerID]],customers[],2,FALSE)</f>
        <v>A Shirts Life</v>
      </c>
      <c r="J1616" s="2" t="str">
        <f>VLOOKUP(ORDERS[[#This Row],[CustomerID]],customers[],4,FALSE)</f>
        <v>Portland</v>
      </c>
      <c r="K1616" s="2" t="str">
        <f>VLOOKUP(ORDERS[[#This Row],[ProductID]],Products[],3,FALSE)</f>
        <v>Female</v>
      </c>
      <c r="L1616" s="2">
        <f>DAY(ORDERS[[#This Row],[OrderDate]])</f>
        <v>7</v>
      </c>
      <c r="M1616" s="2">
        <f>YEAR(ORDERS[[#This Row],[OrderDate]])</f>
        <v>2015</v>
      </c>
    </row>
    <row r="1617" spans="1:13" x14ac:dyDescent="0.3">
      <c r="A1617">
        <v>1616</v>
      </c>
      <c r="B1617">
        <v>4</v>
      </c>
      <c r="C1617">
        <v>9</v>
      </c>
      <c r="D1617" s="1">
        <v>42192</v>
      </c>
      <c r="E1617">
        <v>28</v>
      </c>
      <c r="F1617">
        <f>VLOOKUP(ORDERS[[#This Row],[ProductID]],Products[],4,FALSE)</f>
        <v>25</v>
      </c>
      <c r="G1617">
        <v>0.10000000100000001</v>
      </c>
      <c r="H1617">
        <f>(ORDERS[[#This Row],[UnitsOrdered]]*ORDERS[[#This Row],[unit price]])-(ORDERS[[#This Row],[UnitsOrdered]]*ORDERS[[#This Row],[unit price]]*ORDERS[[#This Row],[Discount]])</f>
        <v>629.99999930000001</v>
      </c>
      <c r="I1617" t="str">
        <f>VLOOKUP(ORDERS[[#This Row],[CustomerID]],customers[],2,FALSE)</f>
        <v>Tshirt Unlimited</v>
      </c>
      <c r="J1617" s="2" t="str">
        <f>VLOOKUP(ORDERS[[#This Row],[CustomerID]],customers[],4,FALSE)</f>
        <v>Phoenix</v>
      </c>
      <c r="K1617" s="2" t="str">
        <f>VLOOKUP(ORDERS[[#This Row],[ProductID]],Products[],3,FALSE)</f>
        <v>Male</v>
      </c>
      <c r="L1617" s="2">
        <f>DAY(ORDERS[[#This Row],[OrderDate]])</f>
        <v>7</v>
      </c>
      <c r="M1617" s="2">
        <f>YEAR(ORDERS[[#This Row],[OrderDate]])</f>
        <v>2015</v>
      </c>
    </row>
    <row r="1618" spans="1:13" x14ac:dyDescent="0.3">
      <c r="A1618">
        <v>1617</v>
      </c>
      <c r="B1618">
        <v>5</v>
      </c>
      <c r="C1618">
        <v>1</v>
      </c>
      <c r="D1618" s="1">
        <v>42193</v>
      </c>
      <c r="E1618">
        <v>123</v>
      </c>
      <c r="F1618">
        <f>VLOOKUP(ORDERS[[#This Row],[ProductID]],Products[],4,FALSE)</f>
        <v>20</v>
      </c>
      <c r="G1618">
        <v>0</v>
      </c>
      <c r="H1618">
        <f>(ORDERS[[#This Row],[UnitsOrdered]]*ORDERS[[#This Row],[unit price]])-(ORDERS[[#This Row],[UnitsOrdered]]*ORDERS[[#This Row],[unit price]]*ORDERS[[#This Row],[Discount]])</f>
        <v>2460</v>
      </c>
      <c r="I1618" t="str">
        <f>VLOOKUP(ORDERS[[#This Row],[CustomerID]],customers[],2,FALSE)</f>
        <v>Rags to Riches</v>
      </c>
      <c r="J1618" s="2" t="str">
        <f>VLOOKUP(ORDERS[[#This Row],[CustomerID]],customers[],4,FALSE)</f>
        <v>Las Vegas</v>
      </c>
      <c r="K1618" s="2" t="str">
        <f>VLOOKUP(ORDERS[[#This Row],[ProductID]],Products[],3,FALSE)</f>
        <v>Both</v>
      </c>
      <c r="L1618" s="2">
        <f>DAY(ORDERS[[#This Row],[OrderDate]])</f>
        <v>8</v>
      </c>
      <c r="M1618" s="2">
        <f>YEAR(ORDERS[[#This Row],[OrderDate]])</f>
        <v>2015</v>
      </c>
    </row>
    <row r="1619" spans="1:13" x14ac:dyDescent="0.3">
      <c r="A1619">
        <v>1618</v>
      </c>
      <c r="B1619">
        <v>6</v>
      </c>
      <c r="C1619">
        <v>2</v>
      </c>
      <c r="D1619" s="1">
        <v>42193</v>
      </c>
      <c r="E1619">
        <v>90</v>
      </c>
      <c r="F1619">
        <f>VLOOKUP(ORDERS[[#This Row],[ProductID]],Products[],4,FALSE)</f>
        <v>30</v>
      </c>
      <c r="G1619">
        <v>0</v>
      </c>
      <c r="H1619">
        <f>(ORDERS[[#This Row],[UnitsOrdered]]*ORDERS[[#This Row],[unit price]])-(ORDERS[[#This Row],[UnitsOrdered]]*ORDERS[[#This Row],[unit price]]*ORDERS[[#This Row],[Discount]])</f>
        <v>2700</v>
      </c>
      <c r="I1619" t="str">
        <f>VLOOKUP(ORDERS[[#This Row],[CustomerID]],customers[],2,FALSE)</f>
        <v>Abracadaba Ink</v>
      </c>
      <c r="J1619" s="2" t="str">
        <f>VLOOKUP(ORDERS[[#This Row],[CustomerID]],customers[],4,FALSE)</f>
        <v>Salt Lake City</v>
      </c>
      <c r="K1619" s="2" t="str">
        <f>VLOOKUP(ORDERS[[#This Row],[ProductID]],Products[],3,FALSE)</f>
        <v>Both</v>
      </c>
      <c r="L1619" s="2">
        <f>DAY(ORDERS[[#This Row],[OrderDate]])</f>
        <v>8</v>
      </c>
      <c r="M1619" s="2">
        <f>YEAR(ORDERS[[#This Row],[OrderDate]])</f>
        <v>2015</v>
      </c>
    </row>
    <row r="1620" spans="1:13" x14ac:dyDescent="0.3">
      <c r="A1620">
        <v>1619</v>
      </c>
      <c r="B1620">
        <v>1</v>
      </c>
      <c r="C1620">
        <v>2</v>
      </c>
      <c r="D1620" s="1">
        <v>42194</v>
      </c>
      <c r="E1620">
        <v>62</v>
      </c>
      <c r="F1620">
        <f>VLOOKUP(ORDERS[[#This Row],[ProductID]],Products[],4,FALSE)</f>
        <v>30</v>
      </c>
      <c r="G1620">
        <v>0</v>
      </c>
      <c r="H1620">
        <f>(ORDERS[[#This Row],[UnitsOrdered]]*ORDERS[[#This Row],[unit price]])-(ORDERS[[#This Row],[UnitsOrdered]]*ORDERS[[#This Row],[unit price]]*ORDERS[[#This Row],[Discount]])</f>
        <v>1860</v>
      </c>
      <c r="I1620" t="str">
        <f>VLOOKUP(ORDERS[[#This Row],[CustomerID]],customers[],2,FALSE)</f>
        <v>Threads</v>
      </c>
      <c r="J1620" s="2" t="str">
        <f>VLOOKUP(ORDERS[[#This Row],[CustomerID]],customers[],4,FALSE)</f>
        <v>Seattle</v>
      </c>
      <c r="K1620" s="2" t="str">
        <f>VLOOKUP(ORDERS[[#This Row],[ProductID]],Products[],3,FALSE)</f>
        <v>Both</v>
      </c>
      <c r="L1620" s="2">
        <f>DAY(ORDERS[[#This Row],[OrderDate]])</f>
        <v>9</v>
      </c>
      <c r="M1620" s="2">
        <f>YEAR(ORDERS[[#This Row],[OrderDate]])</f>
        <v>2015</v>
      </c>
    </row>
    <row r="1621" spans="1:13" x14ac:dyDescent="0.3">
      <c r="A1621">
        <v>1620</v>
      </c>
      <c r="B1621">
        <v>4</v>
      </c>
      <c r="C1621">
        <v>2</v>
      </c>
      <c r="D1621" s="1">
        <v>42194</v>
      </c>
      <c r="E1621">
        <v>41</v>
      </c>
      <c r="F1621">
        <f>VLOOKUP(ORDERS[[#This Row],[ProductID]],Products[],4,FALSE)</f>
        <v>30</v>
      </c>
      <c r="G1621">
        <v>0</v>
      </c>
      <c r="H1621">
        <f>(ORDERS[[#This Row],[UnitsOrdered]]*ORDERS[[#This Row],[unit price]])-(ORDERS[[#This Row],[UnitsOrdered]]*ORDERS[[#This Row],[unit price]]*ORDERS[[#This Row],[Discount]])</f>
        <v>1230</v>
      </c>
      <c r="I1621" t="str">
        <f>VLOOKUP(ORDERS[[#This Row],[CustomerID]],customers[],2,FALSE)</f>
        <v>Tshirt Unlimited</v>
      </c>
      <c r="J1621" s="2" t="str">
        <f>VLOOKUP(ORDERS[[#This Row],[CustomerID]],customers[],4,FALSE)</f>
        <v>Phoenix</v>
      </c>
      <c r="K1621" s="2" t="str">
        <f>VLOOKUP(ORDERS[[#This Row],[ProductID]],Products[],3,FALSE)</f>
        <v>Both</v>
      </c>
      <c r="L1621" s="2">
        <f>DAY(ORDERS[[#This Row],[OrderDate]])</f>
        <v>9</v>
      </c>
      <c r="M1621" s="2">
        <f>YEAR(ORDERS[[#This Row],[OrderDate]])</f>
        <v>2015</v>
      </c>
    </row>
    <row r="1622" spans="1:13" x14ac:dyDescent="0.3">
      <c r="A1622">
        <v>1621</v>
      </c>
      <c r="B1622">
        <v>4</v>
      </c>
      <c r="C1622">
        <v>10</v>
      </c>
      <c r="D1622" s="1">
        <v>42195</v>
      </c>
      <c r="E1622">
        <v>37</v>
      </c>
      <c r="F1622">
        <f>VLOOKUP(ORDERS[[#This Row],[ProductID]],Products[],4,FALSE)</f>
        <v>35</v>
      </c>
      <c r="G1622">
        <v>0</v>
      </c>
      <c r="H1622">
        <f>(ORDERS[[#This Row],[UnitsOrdered]]*ORDERS[[#This Row],[unit price]])-(ORDERS[[#This Row],[UnitsOrdered]]*ORDERS[[#This Row],[unit price]]*ORDERS[[#This Row],[Discount]])</f>
        <v>1295</v>
      </c>
      <c r="I1622" t="str">
        <f>VLOOKUP(ORDERS[[#This Row],[CustomerID]],customers[],2,FALSE)</f>
        <v>Tshirt Unlimited</v>
      </c>
      <c r="J1622" s="2" t="str">
        <f>VLOOKUP(ORDERS[[#This Row],[CustomerID]],customers[],4,FALSE)</f>
        <v>Phoenix</v>
      </c>
      <c r="K1622" s="2" t="str">
        <f>VLOOKUP(ORDERS[[#This Row],[ProductID]],Products[],3,FALSE)</f>
        <v>Male</v>
      </c>
      <c r="L1622" s="2">
        <f>DAY(ORDERS[[#This Row],[OrderDate]])</f>
        <v>10</v>
      </c>
      <c r="M1622" s="2">
        <f>YEAR(ORDERS[[#This Row],[OrderDate]])</f>
        <v>2015</v>
      </c>
    </row>
    <row r="1623" spans="1:13" x14ac:dyDescent="0.3">
      <c r="A1623">
        <v>1622</v>
      </c>
      <c r="B1623">
        <v>4</v>
      </c>
      <c r="C1623">
        <v>4</v>
      </c>
      <c r="D1623" s="1">
        <v>42196</v>
      </c>
      <c r="E1623">
        <v>37</v>
      </c>
      <c r="F1623">
        <f>VLOOKUP(ORDERS[[#This Row],[ProductID]],Products[],4,FALSE)</f>
        <v>30</v>
      </c>
      <c r="G1623">
        <v>0</v>
      </c>
      <c r="H1623">
        <f>(ORDERS[[#This Row],[UnitsOrdered]]*ORDERS[[#This Row],[unit price]])-(ORDERS[[#This Row],[UnitsOrdered]]*ORDERS[[#This Row],[unit price]]*ORDERS[[#This Row],[Discount]])</f>
        <v>1110</v>
      </c>
      <c r="I1623" t="str">
        <f>VLOOKUP(ORDERS[[#This Row],[CustomerID]],customers[],2,FALSE)</f>
        <v>Tshirt Unlimited</v>
      </c>
      <c r="J1623" s="2" t="str">
        <f>VLOOKUP(ORDERS[[#This Row],[CustomerID]],customers[],4,FALSE)</f>
        <v>Phoenix</v>
      </c>
      <c r="K1623" s="2" t="str">
        <f>VLOOKUP(ORDERS[[#This Row],[ProductID]],Products[],3,FALSE)</f>
        <v>Both</v>
      </c>
      <c r="L1623" s="2">
        <f>DAY(ORDERS[[#This Row],[OrderDate]])</f>
        <v>11</v>
      </c>
      <c r="M1623" s="2">
        <f>YEAR(ORDERS[[#This Row],[OrderDate]])</f>
        <v>2015</v>
      </c>
    </row>
    <row r="1624" spans="1:13" x14ac:dyDescent="0.3">
      <c r="A1624">
        <v>1623</v>
      </c>
      <c r="B1624">
        <v>7</v>
      </c>
      <c r="C1624">
        <v>6</v>
      </c>
      <c r="D1624" s="1">
        <v>42198</v>
      </c>
      <c r="E1624">
        <v>114</v>
      </c>
      <c r="F1624">
        <f>VLOOKUP(ORDERS[[#This Row],[ProductID]],Products[],4,FALSE)</f>
        <v>28</v>
      </c>
      <c r="G1624">
        <v>0</v>
      </c>
      <c r="H1624">
        <f>(ORDERS[[#This Row],[UnitsOrdered]]*ORDERS[[#This Row],[unit price]])-(ORDERS[[#This Row],[UnitsOrdered]]*ORDERS[[#This Row],[unit price]]*ORDERS[[#This Row],[Discount]])</f>
        <v>3192</v>
      </c>
      <c r="I1624" t="str">
        <f>VLOOKUP(ORDERS[[#This Row],[CustomerID]],customers[],2,FALSE)</f>
        <v>The Shirt on Your Back</v>
      </c>
      <c r="J1624" s="2" t="str">
        <f>VLOOKUP(ORDERS[[#This Row],[CustomerID]],customers[],4,FALSE)</f>
        <v>Bonners Ferry</v>
      </c>
      <c r="K1624" s="2" t="str">
        <f>VLOOKUP(ORDERS[[#This Row],[ProductID]],Products[],3,FALSE)</f>
        <v>Female</v>
      </c>
      <c r="L1624" s="2">
        <f>DAY(ORDERS[[#This Row],[OrderDate]])</f>
        <v>13</v>
      </c>
      <c r="M1624" s="2">
        <f>YEAR(ORDERS[[#This Row],[OrderDate]])</f>
        <v>2015</v>
      </c>
    </row>
    <row r="1625" spans="1:13" x14ac:dyDescent="0.3">
      <c r="A1625">
        <v>1624</v>
      </c>
      <c r="B1625">
        <v>7</v>
      </c>
      <c r="C1625">
        <v>7</v>
      </c>
      <c r="D1625" s="1">
        <v>42198</v>
      </c>
      <c r="E1625">
        <v>48</v>
      </c>
      <c r="F1625">
        <f>VLOOKUP(ORDERS[[#This Row],[ProductID]],Products[],4,FALSE)</f>
        <v>38</v>
      </c>
      <c r="G1625">
        <v>5.0000001000000002E-2</v>
      </c>
      <c r="H1625">
        <f>(ORDERS[[#This Row],[UnitsOrdered]]*ORDERS[[#This Row],[unit price]])-(ORDERS[[#This Row],[UnitsOrdered]]*ORDERS[[#This Row],[unit price]]*ORDERS[[#This Row],[Discount]])</f>
        <v>1732.7999981759999</v>
      </c>
      <c r="I1625" t="str">
        <f>VLOOKUP(ORDERS[[#This Row],[CustomerID]],customers[],2,FALSE)</f>
        <v>The Shirt on Your Back</v>
      </c>
      <c r="J1625" s="2" t="str">
        <f>VLOOKUP(ORDERS[[#This Row],[CustomerID]],customers[],4,FALSE)</f>
        <v>Bonners Ferry</v>
      </c>
      <c r="K1625" s="2" t="str">
        <f>VLOOKUP(ORDERS[[#This Row],[ProductID]],Products[],3,FALSE)</f>
        <v>Female</v>
      </c>
      <c r="L1625" s="2">
        <f>DAY(ORDERS[[#This Row],[OrderDate]])</f>
        <v>13</v>
      </c>
      <c r="M1625" s="2">
        <f>YEAR(ORDERS[[#This Row],[OrderDate]])</f>
        <v>2015</v>
      </c>
    </row>
    <row r="1626" spans="1:13" x14ac:dyDescent="0.3">
      <c r="A1626">
        <v>1625</v>
      </c>
      <c r="B1626">
        <v>3</v>
      </c>
      <c r="C1626">
        <v>9</v>
      </c>
      <c r="D1626" s="1">
        <v>42200</v>
      </c>
      <c r="E1626">
        <v>135</v>
      </c>
      <c r="F1626">
        <f>VLOOKUP(ORDERS[[#This Row],[ProductID]],Products[],4,FALSE)</f>
        <v>25</v>
      </c>
      <c r="G1626">
        <v>0</v>
      </c>
      <c r="H1626">
        <f>(ORDERS[[#This Row],[UnitsOrdered]]*ORDERS[[#This Row],[unit price]])-(ORDERS[[#This Row],[UnitsOrdered]]*ORDERS[[#This Row],[unit price]]*ORDERS[[#This Row],[Discount]])</f>
        <v>3375</v>
      </c>
      <c r="I1626" t="str">
        <f>VLOOKUP(ORDERS[[#This Row],[CustomerID]],customers[],2,FALSE)</f>
        <v>Shirts R Us</v>
      </c>
      <c r="J1626" s="2" t="str">
        <f>VLOOKUP(ORDERS[[#This Row],[CustomerID]],customers[],4,FALSE)</f>
        <v>Los Angeles</v>
      </c>
      <c r="K1626" s="2" t="str">
        <f>VLOOKUP(ORDERS[[#This Row],[ProductID]],Products[],3,FALSE)</f>
        <v>Male</v>
      </c>
      <c r="L1626" s="2">
        <f>DAY(ORDERS[[#This Row],[OrderDate]])</f>
        <v>15</v>
      </c>
      <c r="M1626" s="2">
        <f>YEAR(ORDERS[[#This Row],[OrderDate]])</f>
        <v>2015</v>
      </c>
    </row>
    <row r="1627" spans="1:13" x14ac:dyDescent="0.3">
      <c r="A1627">
        <v>1626</v>
      </c>
      <c r="B1627">
        <v>4</v>
      </c>
      <c r="C1627">
        <v>3</v>
      </c>
      <c r="D1627" s="1">
        <v>42200</v>
      </c>
      <c r="E1627">
        <v>137</v>
      </c>
      <c r="F1627">
        <f>VLOOKUP(ORDERS[[#This Row],[ProductID]],Products[],4,FALSE)</f>
        <v>22</v>
      </c>
      <c r="G1627">
        <v>0</v>
      </c>
      <c r="H1627">
        <f>(ORDERS[[#This Row],[UnitsOrdered]]*ORDERS[[#This Row],[unit price]])-(ORDERS[[#This Row],[UnitsOrdered]]*ORDERS[[#This Row],[unit price]]*ORDERS[[#This Row],[Discount]])</f>
        <v>3014</v>
      </c>
      <c r="I1627" t="str">
        <f>VLOOKUP(ORDERS[[#This Row],[CustomerID]],customers[],2,FALSE)</f>
        <v>Tshirt Unlimited</v>
      </c>
      <c r="J1627" s="2" t="str">
        <f>VLOOKUP(ORDERS[[#This Row],[CustomerID]],customers[],4,FALSE)</f>
        <v>Phoenix</v>
      </c>
      <c r="K1627" s="2" t="str">
        <f>VLOOKUP(ORDERS[[#This Row],[ProductID]],Products[],3,FALSE)</f>
        <v>Both</v>
      </c>
      <c r="L1627" s="2">
        <f>DAY(ORDERS[[#This Row],[OrderDate]])</f>
        <v>15</v>
      </c>
      <c r="M1627" s="2">
        <f>YEAR(ORDERS[[#This Row],[OrderDate]])</f>
        <v>2015</v>
      </c>
    </row>
    <row r="1628" spans="1:13" x14ac:dyDescent="0.3">
      <c r="A1628">
        <v>1627</v>
      </c>
      <c r="B1628">
        <v>5</v>
      </c>
      <c r="C1628">
        <v>6</v>
      </c>
      <c r="D1628" s="1">
        <v>42203</v>
      </c>
      <c r="E1628">
        <v>69</v>
      </c>
      <c r="F1628">
        <f>VLOOKUP(ORDERS[[#This Row],[ProductID]],Products[],4,FALSE)</f>
        <v>28</v>
      </c>
      <c r="G1628">
        <v>5.0000001000000002E-2</v>
      </c>
      <c r="H1628">
        <f>(ORDERS[[#This Row],[UnitsOrdered]]*ORDERS[[#This Row],[unit price]])-(ORDERS[[#This Row],[UnitsOrdered]]*ORDERS[[#This Row],[unit price]]*ORDERS[[#This Row],[Discount]])</f>
        <v>1835.3999980680001</v>
      </c>
      <c r="I1628" t="str">
        <f>VLOOKUP(ORDERS[[#This Row],[CustomerID]],customers[],2,FALSE)</f>
        <v>Rags to Riches</v>
      </c>
      <c r="J1628" s="2" t="str">
        <f>VLOOKUP(ORDERS[[#This Row],[CustomerID]],customers[],4,FALSE)</f>
        <v>Las Vegas</v>
      </c>
      <c r="K1628" s="2" t="str">
        <f>VLOOKUP(ORDERS[[#This Row],[ProductID]],Products[],3,FALSE)</f>
        <v>Female</v>
      </c>
      <c r="L1628" s="2">
        <f>DAY(ORDERS[[#This Row],[OrderDate]])</f>
        <v>18</v>
      </c>
      <c r="M1628" s="2">
        <f>YEAR(ORDERS[[#This Row],[OrderDate]])</f>
        <v>2015</v>
      </c>
    </row>
    <row r="1629" spans="1:13" x14ac:dyDescent="0.3">
      <c r="A1629">
        <v>1628</v>
      </c>
      <c r="B1629">
        <v>2</v>
      </c>
      <c r="C1629">
        <v>3</v>
      </c>
      <c r="D1629" s="1">
        <v>42204</v>
      </c>
      <c r="E1629">
        <v>124</v>
      </c>
      <c r="F1629">
        <f>VLOOKUP(ORDERS[[#This Row],[ProductID]],Products[],4,FALSE)</f>
        <v>22</v>
      </c>
      <c r="G1629">
        <v>0</v>
      </c>
      <c r="H1629">
        <f>(ORDERS[[#This Row],[UnitsOrdered]]*ORDERS[[#This Row],[unit price]])-(ORDERS[[#This Row],[UnitsOrdered]]*ORDERS[[#This Row],[unit price]]*ORDERS[[#This Row],[Discount]])</f>
        <v>2728</v>
      </c>
      <c r="I1629" t="str">
        <f>VLOOKUP(ORDERS[[#This Row],[CustomerID]],customers[],2,FALSE)</f>
        <v>A Shirts Life</v>
      </c>
      <c r="J1629" s="2" t="str">
        <f>VLOOKUP(ORDERS[[#This Row],[CustomerID]],customers[],4,FALSE)</f>
        <v>Portland</v>
      </c>
      <c r="K1629" s="2" t="str">
        <f>VLOOKUP(ORDERS[[#This Row],[ProductID]],Products[],3,FALSE)</f>
        <v>Both</v>
      </c>
      <c r="L1629" s="2">
        <f>DAY(ORDERS[[#This Row],[OrderDate]])</f>
        <v>19</v>
      </c>
      <c r="M1629" s="2">
        <f>YEAR(ORDERS[[#This Row],[OrderDate]])</f>
        <v>2015</v>
      </c>
    </row>
    <row r="1630" spans="1:13" x14ac:dyDescent="0.3">
      <c r="A1630">
        <v>1629</v>
      </c>
      <c r="B1630">
        <v>4</v>
      </c>
      <c r="C1630">
        <v>8</v>
      </c>
      <c r="D1630" s="1">
        <v>42207</v>
      </c>
      <c r="E1630">
        <v>67</v>
      </c>
      <c r="F1630">
        <f>VLOOKUP(ORDERS[[#This Row],[ProductID]],Products[],4,FALSE)</f>
        <v>27</v>
      </c>
      <c r="G1630">
        <v>0</v>
      </c>
      <c r="H1630">
        <f>(ORDERS[[#This Row],[UnitsOrdered]]*ORDERS[[#This Row],[unit price]])-(ORDERS[[#This Row],[UnitsOrdered]]*ORDERS[[#This Row],[unit price]]*ORDERS[[#This Row],[Discount]])</f>
        <v>1809</v>
      </c>
      <c r="I1630" t="str">
        <f>VLOOKUP(ORDERS[[#This Row],[CustomerID]],customers[],2,FALSE)</f>
        <v>Tshirt Unlimited</v>
      </c>
      <c r="J1630" s="2" t="str">
        <f>VLOOKUP(ORDERS[[#This Row],[CustomerID]],customers[],4,FALSE)</f>
        <v>Phoenix</v>
      </c>
      <c r="K1630" s="2" t="str">
        <f>VLOOKUP(ORDERS[[#This Row],[ProductID]],Products[],3,FALSE)</f>
        <v>Female</v>
      </c>
      <c r="L1630" s="2">
        <f>DAY(ORDERS[[#This Row],[OrderDate]])</f>
        <v>22</v>
      </c>
      <c r="M1630" s="2">
        <f>YEAR(ORDERS[[#This Row],[OrderDate]])</f>
        <v>2015</v>
      </c>
    </row>
    <row r="1631" spans="1:13" x14ac:dyDescent="0.3">
      <c r="A1631">
        <v>1630</v>
      </c>
      <c r="B1631">
        <v>7</v>
      </c>
      <c r="C1631">
        <v>7</v>
      </c>
      <c r="D1631" s="1">
        <v>42207</v>
      </c>
      <c r="E1631">
        <v>120</v>
      </c>
      <c r="F1631">
        <f>VLOOKUP(ORDERS[[#This Row],[ProductID]],Products[],4,FALSE)</f>
        <v>38</v>
      </c>
      <c r="G1631">
        <v>0.15000000599999999</v>
      </c>
      <c r="H1631">
        <f>(ORDERS[[#This Row],[UnitsOrdered]]*ORDERS[[#This Row],[unit price]])-(ORDERS[[#This Row],[UnitsOrdered]]*ORDERS[[#This Row],[unit price]]*ORDERS[[#This Row],[Discount]])</f>
        <v>3875.9999726400001</v>
      </c>
      <c r="I1631" t="str">
        <f>VLOOKUP(ORDERS[[#This Row],[CustomerID]],customers[],2,FALSE)</f>
        <v>The Shirt on Your Back</v>
      </c>
      <c r="J1631" s="2" t="str">
        <f>VLOOKUP(ORDERS[[#This Row],[CustomerID]],customers[],4,FALSE)</f>
        <v>Bonners Ferry</v>
      </c>
      <c r="K1631" s="2" t="str">
        <f>VLOOKUP(ORDERS[[#This Row],[ProductID]],Products[],3,FALSE)</f>
        <v>Female</v>
      </c>
      <c r="L1631" s="2">
        <f>DAY(ORDERS[[#This Row],[OrderDate]])</f>
        <v>22</v>
      </c>
      <c r="M1631" s="2">
        <f>YEAR(ORDERS[[#This Row],[OrderDate]])</f>
        <v>2015</v>
      </c>
    </row>
    <row r="1632" spans="1:13" x14ac:dyDescent="0.3">
      <c r="A1632">
        <v>1631</v>
      </c>
      <c r="B1632">
        <v>3</v>
      </c>
      <c r="C1632">
        <v>6</v>
      </c>
      <c r="D1632" s="1">
        <v>42208</v>
      </c>
      <c r="E1632">
        <v>146</v>
      </c>
      <c r="F1632">
        <f>VLOOKUP(ORDERS[[#This Row],[ProductID]],Products[],4,FALSE)</f>
        <v>28</v>
      </c>
      <c r="G1632">
        <v>0</v>
      </c>
      <c r="H1632">
        <f>(ORDERS[[#This Row],[UnitsOrdered]]*ORDERS[[#This Row],[unit price]])-(ORDERS[[#This Row],[UnitsOrdered]]*ORDERS[[#This Row],[unit price]]*ORDERS[[#This Row],[Discount]])</f>
        <v>4088</v>
      </c>
      <c r="I1632" t="str">
        <f>VLOOKUP(ORDERS[[#This Row],[CustomerID]],customers[],2,FALSE)</f>
        <v>Shirts R Us</v>
      </c>
      <c r="J1632" s="2" t="str">
        <f>VLOOKUP(ORDERS[[#This Row],[CustomerID]],customers[],4,FALSE)</f>
        <v>Los Angeles</v>
      </c>
      <c r="K1632" s="2" t="str">
        <f>VLOOKUP(ORDERS[[#This Row],[ProductID]],Products[],3,FALSE)</f>
        <v>Female</v>
      </c>
      <c r="L1632" s="2">
        <f>DAY(ORDERS[[#This Row],[OrderDate]])</f>
        <v>23</v>
      </c>
      <c r="M1632" s="2">
        <f>YEAR(ORDERS[[#This Row],[OrderDate]])</f>
        <v>2015</v>
      </c>
    </row>
    <row r="1633" spans="1:13" x14ac:dyDescent="0.3">
      <c r="A1633">
        <v>1632</v>
      </c>
      <c r="B1633">
        <v>1</v>
      </c>
      <c r="C1633">
        <v>10</v>
      </c>
      <c r="D1633" s="1">
        <v>42209</v>
      </c>
      <c r="E1633">
        <v>43</v>
      </c>
      <c r="F1633">
        <f>VLOOKUP(ORDERS[[#This Row],[ProductID]],Products[],4,FALSE)</f>
        <v>35</v>
      </c>
      <c r="G1633">
        <v>0.10000000100000001</v>
      </c>
      <c r="H1633">
        <f>(ORDERS[[#This Row],[UnitsOrdered]]*ORDERS[[#This Row],[unit price]])-(ORDERS[[#This Row],[UnitsOrdered]]*ORDERS[[#This Row],[unit price]]*ORDERS[[#This Row],[Discount]])</f>
        <v>1354.499998495</v>
      </c>
      <c r="I1633" t="str">
        <f>VLOOKUP(ORDERS[[#This Row],[CustomerID]],customers[],2,FALSE)</f>
        <v>Threads</v>
      </c>
      <c r="J1633" s="2" t="str">
        <f>VLOOKUP(ORDERS[[#This Row],[CustomerID]],customers[],4,FALSE)</f>
        <v>Seattle</v>
      </c>
      <c r="K1633" s="2" t="str">
        <f>VLOOKUP(ORDERS[[#This Row],[ProductID]],Products[],3,FALSE)</f>
        <v>Male</v>
      </c>
      <c r="L1633" s="2">
        <f>DAY(ORDERS[[#This Row],[OrderDate]])</f>
        <v>24</v>
      </c>
      <c r="M1633" s="2">
        <f>YEAR(ORDERS[[#This Row],[OrderDate]])</f>
        <v>2015</v>
      </c>
    </row>
    <row r="1634" spans="1:13" x14ac:dyDescent="0.3">
      <c r="A1634">
        <v>1633</v>
      </c>
      <c r="B1634">
        <v>3</v>
      </c>
      <c r="C1634">
        <v>4</v>
      </c>
      <c r="D1634" s="1">
        <v>42209</v>
      </c>
      <c r="E1634">
        <v>73</v>
      </c>
      <c r="F1634">
        <f>VLOOKUP(ORDERS[[#This Row],[ProductID]],Products[],4,FALSE)</f>
        <v>30</v>
      </c>
      <c r="G1634">
        <v>0</v>
      </c>
      <c r="H1634">
        <f>(ORDERS[[#This Row],[UnitsOrdered]]*ORDERS[[#This Row],[unit price]])-(ORDERS[[#This Row],[UnitsOrdered]]*ORDERS[[#This Row],[unit price]]*ORDERS[[#This Row],[Discount]])</f>
        <v>2190</v>
      </c>
      <c r="I1634" t="str">
        <f>VLOOKUP(ORDERS[[#This Row],[CustomerID]],customers[],2,FALSE)</f>
        <v>Shirts R Us</v>
      </c>
      <c r="J1634" s="2" t="str">
        <f>VLOOKUP(ORDERS[[#This Row],[CustomerID]],customers[],4,FALSE)</f>
        <v>Los Angeles</v>
      </c>
      <c r="K1634" s="2" t="str">
        <f>VLOOKUP(ORDERS[[#This Row],[ProductID]],Products[],3,FALSE)</f>
        <v>Both</v>
      </c>
      <c r="L1634" s="2">
        <f>DAY(ORDERS[[#This Row],[OrderDate]])</f>
        <v>24</v>
      </c>
      <c r="M1634" s="2">
        <f>YEAR(ORDERS[[#This Row],[OrderDate]])</f>
        <v>2015</v>
      </c>
    </row>
    <row r="1635" spans="1:13" x14ac:dyDescent="0.3">
      <c r="A1635">
        <v>1634</v>
      </c>
      <c r="B1635">
        <v>4</v>
      </c>
      <c r="C1635">
        <v>4</v>
      </c>
      <c r="D1635" s="1">
        <v>42209</v>
      </c>
      <c r="E1635">
        <v>74</v>
      </c>
      <c r="F1635">
        <f>VLOOKUP(ORDERS[[#This Row],[ProductID]],Products[],4,FALSE)</f>
        <v>30</v>
      </c>
      <c r="G1635">
        <v>0</v>
      </c>
      <c r="H1635">
        <f>(ORDERS[[#This Row],[UnitsOrdered]]*ORDERS[[#This Row],[unit price]])-(ORDERS[[#This Row],[UnitsOrdered]]*ORDERS[[#This Row],[unit price]]*ORDERS[[#This Row],[Discount]])</f>
        <v>2220</v>
      </c>
      <c r="I1635" t="str">
        <f>VLOOKUP(ORDERS[[#This Row],[CustomerID]],customers[],2,FALSE)</f>
        <v>Tshirt Unlimited</v>
      </c>
      <c r="J1635" s="2" t="str">
        <f>VLOOKUP(ORDERS[[#This Row],[CustomerID]],customers[],4,FALSE)</f>
        <v>Phoenix</v>
      </c>
      <c r="K1635" s="2" t="str">
        <f>VLOOKUP(ORDERS[[#This Row],[ProductID]],Products[],3,FALSE)</f>
        <v>Both</v>
      </c>
      <c r="L1635" s="2">
        <f>DAY(ORDERS[[#This Row],[OrderDate]])</f>
        <v>24</v>
      </c>
      <c r="M1635" s="2">
        <f>YEAR(ORDERS[[#This Row],[OrderDate]])</f>
        <v>2015</v>
      </c>
    </row>
    <row r="1636" spans="1:13" x14ac:dyDescent="0.3">
      <c r="A1636">
        <v>1635</v>
      </c>
      <c r="B1636">
        <v>5</v>
      </c>
      <c r="C1636">
        <v>7</v>
      </c>
      <c r="D1636" s="1">
        <v>42209</v>
      </c>
      <c r="E1636">
        <v>30</v>
      </c>
      <c r="F1636">
        <f>VLOOKUP(ORDERS[[#This Row],[ProductID]],Products[],4,FALSE)</f>
        <v>38</v>
      </c>
      <c r="G1636">
        <v>0</v>
      </c>
      <c r="H1636">
        <f>(ORDERS[[#This Row],[UnitsOrdered]]*ORDERS[[#This Row],[unit price]])-(ORDERS[[#This Row],[UnitsOrdered]]*ORDERS[[#This Row],[unit price]]*ORDERS[[#This Row],[Discount]])</f>
        <v>1140</v>
      </c>
      <c r="I1636" t="str">
        <f>VLOOKUP(ORDERS[[#This Row],[CustomerID]],customers[],2,FALSE)</f>
        <v>Rags to Riches</v>
      </c>
      <c r="J1636" s="2" t="str">
        <f>VLOOKUP(ORDERS[[#This Row],[CustomerID]],customers[],4,FALSE)</f>
        <v>Las Vegas</v>
      </c>
      <c r="K1636" s="2" t="str">
        <f>VLOOKUP(ORDERS[[#This Row],[ProductID]],Products[],3,FALSE)</f>
        <v>Female</v>
      </c>
      <c r="L1636" s="2">
        <f>DAY(ORDERS[[#This Row],[OrderDate]])</f>
        <v>24</v>
      </c>
      <c r="M1636" s="2">
        <f>YEAR(ORDERS[[#This Row],[OrderDate]])</f>
        <v>2015</v>
      </c>
    </row>
    <row r="1637" spans="1:13" x14ac:dyDescent="0.3">
      <c r="A1637">
        <v>1636</v>
      </c>
      <c r="B1637">
        <v>2</v>
      </c>
      <c r="C1637">
        <v>6</v>
      </c>
      <c r="D1637" s="1">
        <v>42210</v>
      </c>
      <c r="E1637">
        <v>124</v>
      </c>
      <c r="F1637">
        <f>VLOOKUP(ORDERS[[#This Row],[ProductID]],Products[],4,FALSE)</f>
        <v>28</v>
      </c>
      <c r="G1637">
        <v>0</v>
      </c>
      <c r="H1637">
        <f>(ORDERS[[#This Row],[UnitsOrdered]]*ORDERS[[#This Row],[unit price]])-(ORDERS[[#This Row],[UnitsOrdered]]*ORDERS[[#This Row],[unit price]]*ORDERS[[#This Row],[Discount]])</f>
        <v>3472</v>
      </c>
      <c r="I1637" t="str">
        <f>VLOOKUP(ORDERS[[#This Row],[CustomerID]],customers[],2,FALSE)</f>
        <v>A Shirts Life</v>
      </c>
      <c r="J1637" s="2" t="str">
        <f>VLOOKUP(ORDERS[[#This Row],[CustomerID]],customers[],4,FALSE)</f>
        <v>Portland</v>
      </c>
      <c r="K1637" s="2" t="str">
        <f>VLOOKUP(ORDERS[[#This Row],[ProductID]],Products[],3,FALSE)</f>
        <v>Female</v>
      </c>
      <c r="L1637" s="2">
        <f>DAY(ORDERS[[#This Row],[OrderDate]])</f>
        <v>25</v>
      </c>
      <c r="M1637" s="2">
        <f>YEAR(ORDERS[[#This Row],[OrderDate]])</f>
        <v>2015</v>
      </c>
    </row>
    <row r="1638" spans="1:13" x14ac:dyDescent="0.3">
      <c r="A1638">
        <v>1637</v>
      </c>
      <c r="B1638">
        <v>3</v>
      </c>
      <c r="C1638">
        <v>4</v>
      </c>
      <c r="D1638" s="1">
        <v>42210</v>
      </c>
      <c r="E1638">
        <v>134</v>
      </c>
      <c r="F1638">
        <f>VLOOKUP(ORDERS[[#This Row],[ProductID]],Products[],4,FALSE)</f>
        <v>30</v>
      </c>
      <c r="G1638">
        <v>0</v>
      </c>
      <c r="H1638">
        <f>(ORDERS[[#This Row],[UnitsOrdered]]*ORDERS[[#This Row],[unit price]])-(ORDERS[[#This Row],[UnitsOrdered]]*ORDERS[[#This Row],[unit price]]*ORDERS[[#This Row],[Discount]])</f>
        <v>4020</v>
      </c>
      <c r="I1638" t="str">
        <f>VLOOKUP(ORDERS[[#This Row],[CustomerID]],customers[],2,FALSE)</f>
        <v>Shirts R Us</v>
      </c>
      <c r="J1638" s="2" t="str">
        <f>VLOOKUP(ORDERS[[#This Row],[CustomerID]],customers[],4,FALSE)</f>
        <v>Los Angeles</v>
      </c>
      <c r="K1638" s="2" t="str">
        <f>VLOOKUP(ORDERS[[#This Row],[ProductID]],Products[],3,FALSE)</f>
        <v>Both</v>
      </c>
      <c r="L1638" s="2">
        <f>DAY(ORDERS[[#This Row],[OrderDate]])</f>
        <v>25</v>
      </c>
      <c r="M1638" s="2">
        <f>YEAR(ORDERS[[#This Row],[OrderDate]])</f>
        <v>2015</v>
      </c>
    </row>
    <row r="1639" spans="1:13" x14ac:dyDescent="0.3">
      <c r="A1639">
        <v>1638</v>
      </c>
      <c r="B1639">
        <v>7</v>
      </c>
      <c r="C1639">
        <v>5</v>
      </c>
      <c r="D1639" s="1">
        <v>42212</v>
      </c>
      <c r="E1639">
        <v>122</v>
      </c>
      <c r="F1639">
        <f>VLOOKUP(ORDERS[[#This Row],[ProductID]],Products[],4,FALSE)</f>
        <v>16</v>
      </c>
      <c r="G1639">
        <v>0.10000000100000001</v>
      </c>
      <c r="H1639">
        <f>(ORDERS[[#This Row],[UnitsOrdered]]*ORDERS[[#This Row],[unit price]])-(ORDERS[[#This Row],[UnitsOrdered]]*ORDERS[[#This Row],[unit price]]*ORDERS[[#This Row],[Discount]])</f>
        <v>1756.7999980479999</v>
      </c>
      <c r="I1639" t="str">
        <f>VLOOKUP(ORDERS[[#This Row],[CustomerID]],customers[],2,FALSE)</f>
        <v>The Shirt on Your Back</v>
      </c>
      <c r="J1639" s="2" t="str">
        <f>VLOOKUP(ORDERS[[#This Row],[CustomerID]],customers[],4,FALSE)</f>
        <v>Bonners Ferry</v>
      </c>
      <c r="K1639" s="2" t="str">
        <f>VLOOKUP(ORDERS[[#This Row],[ProductID]],Products[],3,FALSE)</f>
        <v>Female</v>
      </c>
      <c r="L1639" s="2">
        <f>DAY(ORDERS[[#This Row],[OrderDate]])</f>
        <v>27</v>
      </c>
      <c r="M1639" s="2">
        <f>YEAR(ORDERS[[#This Row],[OrderDate]])</f>
        <v>2015</v>
      </c>
    </row>
    <row r="1640" spans="1:13" x14ac:dyDescent="0.3">
      <c r="A1640">
        <v>1639</v>
      </c>
      <c r="B1640">
        <v>1</v>
      </c>
      <c r="C1640">
        <v>4</v>
      </c>
      <c r="D1640" s="1">
        <v>42215</v>
      </c>
      <c r="E1640">
        <v>94</v>
      </c>
      <c r="F1640">
        <f>VLOOKUP(ORDERS[[#This Row],[ProductID]],Products[],4,FALSE)</f>
        <v>30</v>
      </c>
      <c r="G1640">
        <v>0</v>
      </c>
      <c r="H1640">
        <f>(ORDERS[[#This Row],[UnitsOrdered]]*ORDERS[[#This Row],[unit price]])-(ORDERS[[#This Row],[UnitsOrdered]]*ORDERS[[#This Row],[unit price]]*ORDERS[[#This Row],[Discount]])</f>
        <v>2820</v>
      </c>
      <c r="I1640" t="str">
        <f>VLOOKUP(ORDERS[[#This Row],[CustomerID]],customers[],2,FALSE)</f>
        <v>Threads</v>
      </c>
      <c r="J1640" s="2" t="str">
        <f>VLOOKUP(ORDERS[[#This Row],[CustomerID]],customers[],4,FALSE)</f>
        <v>Seattle</v>
      </c>
      <c r="K1640" s="2" t="str">
        <f>VLOOKUP(ORDERS[[#This Row],[ProductID]],Products[],3,FALSE)</f>
        <v>Both</v>
      </c>
      <c r="L1640" s="2">
        <f>DAY(ORDERS[[#This Row],[OrderDate]])</f>
        <v>30</v>
      </c>
      <c r="M1640" s="2">
        <f>YEAR(ORDERS[[#This Row],[OrderDate]])</f>
        <v>2015</v>
      </c>
    </row>
    <row r="1641" spans="1:13" x14ac:dyDescent="0.3">
      <c r="A1641">
        <v>1640</v>
      </c>
      <c r="B1641">
        <v>6</v>
      </c>
      <c r="C1641">
        <v>9</v>
      </c>
      <c r="D1641" s="1">
        <v>42216</v>
      </c>
      <c r="E1641">
        <v>114</v>
      </c>
      <c r="F1641">
        <f>VLOOKUP(ORDERS[[#This Row],[ProductID]],Products[],4,FALSE)</f>
        <v>25</v>
      </c>
      <c r="G1641">
        <v>0</v>
      </c>
      <c r="H1641">
        <f>(ORDERS[[#This Row],[UnitsOrdered]]*ORDERS[[#This Row],[unit price]])-(ORDERS[[#This Row],[UnitsOrdered]]*ORDERS[[#This Row],[unit price]]*ORDERS[[#This Row],[Discount]])</f>
        <v>2850</v>
      </c>
      <c r="I1641" t="str">
        <f>VLOOKUP(ORDERS[[#This Row],[CustomerID]],customers[],2,FALSE)</f>
        <v>Abracadaba Ink</v>
      </c>
      <c r="J1641" s="2" t="str">
        <f>VLOOKUP(ORDERS[[#This Row],[CustomerID]],customers[],4,FALSE)</f>
        <v>Salt Lake City</v>
      </c>
      <c r="K1641" s="2" t="str">
        <f>VLOOKUP(ORDERS[[#This Row],[ProductID]],Products[],3,FALSE)</f>
        <v>Male</v>
      </c>
      <c r="L1641" s="2">
        <f>DAY(ORDERS[[#This Row],[OrderDate]])</f>
        <v>31</v>
      </c>
      <c r="M1641" s="2">
        <f>YEAR(ORDERS[[#This Row],[OrderDate]])</f>
        <v>2015</v>
      </c>
    </row>
    <row r="1642" spans="1:13" x14ac:dyDescent="0.3">
      <c r="A1642">
        <v>1641</v>
      </c>
      <c r="B1642">
        <v>1</v>
      </c>
      <c r="C1642">
        <v>5</v>
      </c>
      <c r="D1642" s="1">
        <v>42218</v>
      </c>
      <c r="E1642">
        <v>67</v>
      </c>
      <c r="F1642">
        <f>VLOOKUP(ORDERS[[#This Row],[ProductID]],Products[],4,FALSE)</f>
        <v>16</v>
      </c>
      <c r="G1642">
        <v>0</v>
      </c>
      <c r="H1642">
        <f>(ORDERS[[#This Row],[UnitsOrdered]]*ORDERS[[#This Row],[unit price]])-(ORDERS[[#This Row],[UnitsOrdered]]*ORDERS[[#This Row],[unit price]]*ORDERS[[#This Row],[Discount]])</f>
        <v>1072</v>
      </c>
      <c r="I1642" t="str">
        <f>VLOOKUP(ORDERS[[#This Row],[CustomerID]],customers[],2,FALSE)</f>
        <v>Threads</v>
      </c>
      <c r="J1642" s="2" t="str">
        <f>VLOOKUP(ORDERS[[#This Row],[CustomerID]],customers[],4,FALSE)</f>
        <v>Seattle</v>
      </c>
      <c r="K1642" s="2" t="str">
        <f>VLOOKUP(ORDERS[[#This Row],[ProductID]],Products[],3,FALSE)</f>
        <v>Female</v>
      </c>
      <c r="L1642" s="2">
        <f>DAY(ORDERS[[#This Row],[OrderDate]])</f>
        <v>2</v>
      </c>
      <c r="M1642" s="2">
        <f>YEAR(ORDERS[[#This Row],[OrderDate]])</f>
        <v>2015</v>
      </c>
    </row>
    <row r="1643" spans="1:13" x14ac:dyDescent="0.3">
      <c r="A1643">
        <v>1642</v>
      </c>
      <c r="B1643">
        <v>4</v>
      </c>
      <c r="C1643">
        <v>1</v>
      </c>
      <c r="D1643" s="1">
        <v>42219</v>
      </c>
      <c r="E1643">
        <v>147</v>
      </c>
      <c r="F1643">
        <f>VLOOKUP(ORDERS[[#This Row],[ProductID]],Products[],4,FALSE)</f>
        <v>20</v>
      </c>
      <c r="G1643">
        <v>0.15000000599999999</v>
      </c>
      <c r="H1643">
        <f>(ORDERS[[#This Row],[UnitsOrdered]]*ORDERS[[#This Row],[unit price]])-(ORDERS[[#This Row],[UnitsOrdered]]*ORDERS[[#This Row],[unit price]]*ORDERS[[#This Row],[Discount]])</f>
        <v>2498.9999823600001</v>
      </c>
      <c r="I1643" t="str">
        <f>VLOOKUP(ORDERS[[#This Row],[CustomerID]],customers[],2,FALSE)</f>
        <v>Tshirt Unlimited</v>
      </c>
      <c r="J1643" s="2" t="str">
        <f>VLOOKUP(ORDERS[[#This Row],[CustomerID]],customers[],4,FALSE)</f>
        <v>Phoenix</v>
      </c>
      <c r="K1643" s="2" t="str">
        <f>VLOOKUP(ORDERS[[#This Row],[ProductID]],Products[],3,FALSE)</f>
        <v>Both</v>
      </c>
      <c r="L1643" s="2">
        <f>DAY(ORDERS[[#This Row],[OrderDate]])</f>
        <v>3</v>
      </c>
      <c r="M1643" s="2">
        <f>YEAR(ORDERS[[#This Row],[OrderDate]])</f>
        <v>2015</v>
      </c>
    </row>
    <row r="1644" spans="1:13" x14ac:dyDescent="0.3">
      <c r="A1644">
        <v>1643</v>
      </c>
      <c r="B1644">
        <v>4</v>
      </c>
      <c r="C1644">
        <v>10</v>
      </c>
      <c r="D1644" s="1">
        <v>42219</v>
      </c>
      <c r="E1644">
        <v>103</v>
      </c>
      <c r="F1644">
        <f>VLOOKUP(ORDERS[[#This Row],[ProductID]],Products[],4,FALSE)</f>
        <v>35</v>
      </c>
      <c r="G1644">
        <v>0</v>
      </c>
      <c r="H1644">
        <f>(ORDERS[[#This Row],[UnitsOrdered]]*ORDERS[[#This Row],[unit price]])-(ORDERS[[#This Row],[UnitsOrdered]]*ORDERS[[#This Row],[unit price]]*ORDERS[[#This Row],[Discount]])</f>
        <v>3605</v>
      </c>
      <c r="I1644" t="str">
        <f>VLOOKUP(ORDERS[[#This Row],[CustomerID]],customers[],2,FALSE)</f>
        <v>Tshirt Unlimited</v>
      </c>
      <c r="J1644" s="2" t="str">
        <f>VLOOKUP(ORDERS[[#This Row],[CustomerID]],customers[],4,FALSE)</f>
        <v>Phoenix</v>
      </c>
      <c r="K1644" s="2" t="str">
        <f>VLOOKUP(ORDERS[[#This Row],[ProductID]],Products[],3,FALSE)</f>
        <v>Male</v>
      </c>
      <c r="L1644" s="2">
        <f>DAY(ORDERS[[#This Row],[OrderDate]])</f>
        <v>3</v>
      </c>
      <c r="M1644" s="2">
        <f>YEAR(ORDERS[[#This Row],[OrderDate]])</f>
        <v>2015</v>
      </c>
    </row>
    <row r="1645" spans="1:13" x14ac:dyDescent="0.3">
      <c r="A1645">
        <v>1644</v>
      </c>
      <c r="B1645">
        <v>3</v>
      </c>
      <c r="C1645">
        <v>9</v>
      </c>
      <c r="D1645" s="1">
        <v>42223</v>
      </c>
      <c r="E1645">
        <v>130</v>
      </c>
      <c r="F1645">
        <f>VLOOKUP(ORDERS[[#This Row],[ProductID]],Products[],4,FALSE)</f>
        <v>25</v>
      </c>
      <c r="G1645">
        <v>0</v>
      </c>
      <c r="H1645">
        <f>(ORDERS[[#This Row],[UnitsOrdered]]*ORDERS[[#This Row],[unit price]])-(ORDERS[[#This Row],[UnitsOrdered]]*ORDERS[[#This Row],[unit price]]*ORDERS[[#This Row],[Discount]])</f>
        <v>3250</v>
      </c>
      <c r="I1645" t="str">
        <f>VLOOKUP(ORDERS[[#This Row],[CustomerID]],customers[],2,FALSE)</f>
        <v>Shirts R Us</v>
      </c>
      <c r="J1645" s="2" t="str">
        <f>VLOOKUP(ORDERS[[#This Row],[CustomerID]],customers[],4,FALSE)</f>
        <v>Los Angeles</v>
      </c>
      <c r="K1645" s="2" t="str">
        <f>VLOOKUP(ORDERS[[#This Row],[ProductID]],Products[],3,FALSE)</f>
        <v>Male</v>
      </c>
      <c r="L1645" s="2">
        <f>DAY(ORDERS[[#This Row],[OrderDate]])</f>
        <v>7</v>
      </c>
      <c r="M1645" s="2">
        <f>YEAR(ORDERS[[#This Row],[OrderDate]])</f>
        <v>2015</v>
      </c>
    </row>
    <row r="1646" spans="1:13" x14ac:dyDescent="0.3">
      <c r="A1646">
        <v>1645</v>
      </c>
      <c r="B1646">
        <v>5</v>
      </c>
      <c r="C1646">
        <v>8</v>
      </c>
      <c r="D1646" s="1">
        <v>42223</v>
      </c>
      <c r="E1646">
        <v>128</v>
      </c>
      <c r="F1646">
        <f>VLOOKUP(ORDERS[[#This Row],[ProductID]],Products[],4,FALSE)</f>
        <v>27</v>
      </c>
      <c r="G1646">
        <v>0</v>
      </c>
      <c r="H1646">
        <f>(ORDERS[[#This Row],[UnitsOrdered]]*ORDERS[[#This Row],[unit price]])-(ORDERS[[#This Row],[UnitsOrdered]]*ORDERS[[#This Row],[unit price]]*ORDERS[[#This Row],[Discount]])</f>
        <v>3456</v>
      </c>
      <c r="I1646" t="str">
        <f>VLOOKUP(ORDERS[[#This Row],[CustomerID]],customers[],2,FALSE)</f>
        <v>Rags to Riches</v>
      </c>
      <c r="J1646" s="2" t="str">
        <f>VLOOKUP(ORDERS[[#This Row],[CustomerID]],customers[],4,FALSE)</f>
        <v>Las Vegas</v>
      </c>
      <c r="K1646" s="2" t="str">
        <f>VLOOKUP(ORDERS[[#This Row],[ProductID]],Products[],3,FALSE)</f>
        <v>Female</v>
      </c>
      <c r="L1646" s="2">
        <f>DAY(ORDERS[[#This Row],[OrderDate]])</f>
        <v>7</v>
      </c>
      <c r="M1646" s="2">
        <f>YEAR(ORDERS[[#This Row],[OrderDate]])</f>
        <v>2015</v>
      </c>
    </row>
    <row r="1647" spans="1:13" x14ac:dyDescent="0.3">
      <c r="A1647">
        <v>1646</v>
      </c>
      <c r="B1647">
        <v>2</v>
      </c>
      <c r="C1647">
        <v>1</v>
      </c>
      <c r="D1647" s="1">
        <v>42224</v>
      </c>
      <c r="E1647">
        <v>35</v>
      </c>
      <c r="F1647">
        <f>VLOOKUP(ORDERS[[#This Row],[ProductID]],Products[],4,FALSE)</f>
        <v>20</v>
      </c>
      <c r="G1647">
        <v>0</v>
      </c>
      <c r="H1647">
        <f>(ORDERS[[#This Row],[UnitsOrdered]]*ORDERS[[#This Row],[unit price]])-(ORDERS[[#This Row],[UnitsOrdered]]*ORDERS[[#This Row],[unit price]]*ORDERS[[#This Row],[Discount]])</f>
        <v>700</v>
      </c>
      <c r="I1647" t="str">
        <f>VLOOKUP(ORDERS[[#This Row],[CustomerID]],customers[],2,FALSE)</f>
        <v>A Shirts Life</v>
      </c>
      <c r="J1647" s="2" t="str">
        <f>VLOOKUP(ORDERS[[#This Row],[CustomerID]],customers[],4,FALSE)</f>
        <v>Portland</v>
      </c>
      <c r="K1647" s="2" t="str">
        <f>VLOOKUP(ORDERS[[#This Row],[ProductID]],Products[],3,FALSE)</f>
        <v>Both</v>
      </c>
      <c r="L1647" s="2">
        <f>DAY(ORDERS[[#This Row],[OrderDate]])</f>
        <v>8</v>
      </c>
      <c r="M1647" s="2">
        <f>YEAR(ORDERS[[#This Row],[OrderDate]])</f>
        <v>2015</v>
      </c>
    </row>
    <row r="1648" spans="1:13" x14ac:dyDescent="0.3">
      <c r="A1648">
        <v>1647</v>
      </c>
      <c r="B1648">
        <v>6</v>
      </c>
      <c r="C1648">
        <v>9</v>
      </c>
      <c r="D1648" s="1">
        <v>42224</v>
      </c>
      <c r="E1648">
        <v>139</v>
      </c>
      <c r="F1648">
        <f>VLOOKUP(ORDERS[[#This Row],[ProductID]],Products[],4,FALSE)</f>
        <v>25</v>
      </c>
      <c r="G1648">
        <v>0</v>
      </c>
      <c r="H1648">
        <f>(ORDERS[[#This Row],[UnitsOrdered]]*ORDERS[[#This Row],[unit price]])-(ORDERS[[#This Row],[UnitsOrdered]]*ORDERS[[#This Row],[unit price]]*ORDERS[[#This Row],[Discount]])</f>
        <v>3475</v>
      </c>
      <c r="I1648" t="str">
        <f>VLOOKUP(ORDERS[[#This Row],[CustomerID]],customers[],2,FALSE)</f>
        <v>Abracadaba Ink</v>
      </c>
      <c r="J1648" s="2" t="str">
        <f>VLOOKUP(ORDERS[[#This Row],[CustomerID]],customers[],4,FALSE)</f>
        <v>Salt Lake City</v>
      </c>
      <c r="K1648" s="2" t="str">
        <f>VLOOKUP(ORDERS[[#This Row],[ProductID]],Products[],3,FALSE)</f>
        <v>Male</v>
      </c>
      <c r="L1648" s="2">
        <f>DAY(ORDERS[[#This Row],[OrderDate]])</f>
        <v>8</v>
      </c>
      <c r="M1648" s="2">
        <f>YEAR(ORDERS[[#This Row],[OrderDate]])</f>
        <v>2015</v>
      </c>
    </row>
    <row r="1649" spans="1:13" x14ac:dyDescent="0.3">
      <c r="A1649">
        <v>1648</v>
      </c>
      <c r="B1649">
        <v>2</v>
      </c>
      <c r="C1649">
        <v>7</v>
      </c>
      <c r="D1649" s="1">
        <v>42225</v>
      </c>
      <c r="E1649">
        <v>100</v>
      </c>
      <c r="F1649">
        <f>VLOOKUP(ORDERS[[#This Row],[ProductID]],Products[],4,FALSE)</f>
        <v>38</v>
      </c>
      <c r="G1649">
        <v>0</v>
      </c>
      <c r="H1649">
        <f>(ORDERS[[#This Row],[UnitsOrdered]]*ORDERS[[#This Row],[unit price]])-(ORDERS[[#This Row],[UnitsOrdered]]*ORDERS[[#This Row],[unit price]]*ORDERS[[#This Row],[Discount]])</f>
        <v>3800</v>
      </c>
      <c r="I1649" t="str">
        <f>VLOOKUP(ORDERS[[#This Row],[CustomerID]],customers[],2,FALSE)</f>
        <v>A Shirts Life</v>
      </c>
      <c r="J1649" s="2" t="str">
        <f>VLOOKUP(ORDERS[[#This Row],[CustomerID]],customers[],4,FALSE)</f>
        <v>Portland</v>
      </c>
      <c r="K1649" s="2" t="str">
        <f>VLOOKUP(ORDERS[[#This Row],[ProductID]],Products[],3,FALSE)</f>
        <v>Female</v>
      </c>
      <c r="L1649" s="2">
        <f>DAY(ORDERS[[#This Row],[OrderDate]])</f>
        <v>9</v>
      </c>
      <c r="M1649" s="2">
        <f>YEAR(ORDERS[[#This Row],[OrderDate]])</f>
        <v>2015</v>
      </c>
    </row>
    <row r="1650" spans="1:13" x14ac:dyDescent="0.3">
      <c r="A1650">
        <v>1649</v>
      </c>
      <c r="B1650">
        <v>6</v>
      </c>
      <c r="C1650">
        <v>6</v>
      </c>
      <c r="D1650" s="1">
        <v>42227</v>
      </c>
      <c r="E1650">
        <v>118</v>
      </c>
      <c r="F1650">
        <f>VLOOKUP(ORDERS[[#This Row],[ProductID]],Products[],4,FALSE)</f>
        <v>28</v>
      </c>
      <c r="G1650">
        <v>0</v>
      </c>
      <c r="H1650">
        <f>(ORDERS[[#This Row],[UnitsOrdered]]*ORDERS[[#This Row],[unit price]])-(ORDERS[[#This Row],[UnitsOrdered]]*ORDERS[[#This Row],[unit price]]*ORDERS[[#This Row],[Discount]])</f>
        <v>3304</v>
      </c>
      <c r="I1650" t="str">
        <f>VLOOKUP(ORDERS[[#This Row],[CustomerID]],customers[],2,FALSE)</f>
        <v>Abracadaba Ink</v>
      </c>
      <c r="J1650" s="2" t="str">
        <f>VLOOKUP(ORDERS[[#This Row],[CustomerID]],customers[],4,FALSE)</f>
        <v>Salt Lake City</v>
      </c>
      <c r="K1650" s="2" t="str">
        <f>VLOOKUP(ORDERS[[#This Row],[ProductID]],Products[],3,FALSE)</f>
        <v>Female</v>
      </c>
      <c r="L1650" s="2">
        <f>DAY(ORDERS[[#This Row],[OrderDate]])</f>
        <v>11</v>
      </c>
      <c r="M1650" s="2">
        <f>YEAR(ORDERS[[#This Row],[OrderDate]])</f>
        <v>2015</v>
      </c>
    </row>
    <row r="1651" spans="1:13" x14ac:dyDescent="0.3">
      <c r="A1651">
        <v>1650</v>
      </c>
      <c r="B1651">
        <v>2</v>
      </c>
      <c r="C1651">
        <v>8</v>
      </c>
      <c r="D1651" s="1">
        <v>42228</v>
      </c>
      <c r="E1651">
        <v>79</v>
      </c>
      <c r="F1651">
        <f>VLOOKUP(ORDERS[[#This Row],[ProductID]],Products[],4,FALSE)</f>
        <v>27</v>
      </c>
      <c r="G1651">
        <v>0</v>
      </c>
      <c r="H1651">
        <f>(ORDERS[[#This Row],[UnitsOrdered]]*ORDERS[[#This Row],[unit price]])-(ORDERS[[#This Row],[UnitsOrdered]]*ORDERS[[#This Row],[unit price]]*ORDERS[[#This Row],[Discount]])</f>
        <v>2133</v>
      </c>
      <c r="I1651" t="str">
        <f>VLOOKUP(ORDERS[[#This Row],[CustomerID]],customers[],2,FALSE)</f>
        <v>A Shirts Life</v>
      </c>
      <c r="J1651" s="2" t="str">
        <f>VLOOKUP(ORDERS[[#This Row],[CustomerID]],customers[],4,FALSE)</f>
        <v>Portland</v>
      </c>
      <c r="K1651" s="2" t="str">
        <f>VLOOKUP(ORDERS[[#This Row],[ProductID]],Products[],3,FALSE)</f>
        <v>Female</v>
      </c>
      <c r="L1651" s="2">
        <f>DAY(ORDERS[[#This Row],[OrderDate]])</f>
        <v>12</v>
      </c>
      <c r="M1651" s="2">
        <f>YEAR(ORDERS[[#This Row],[OrderDate]])</f>
        <v>2015</v>
      </c>
    </row>
    <row r="1652" spans="1:13" x14ac:dyDescent="0.3">
      <c r="A1652">
        <v>1651</v>
      </c>
      <c r="B1652">
        <v>4</v>
      </c>
      <c r="C1652">
        <v>5</v>
      </c>
      <c r="D1652" s="1">
        <v>42229</v>
      </c>
      <c r="E1652">
        <v>100</v>
      </c>
      <c r="F1652">
        <f>VLOOKUP(ORDERS[[#This Row],[ProductID]],Products[],4,FALSE)</f>
        <v>16</v>
      </c>
      <c r="G1652">
        <v>0</v>
      </c>
      <c r="H1652">
        <f>(ORDERS[[#This Row],[UnitsOrdered]]*ORDERS[[#This Row],[unit price]])-(ORDERS[[#This Row],[UnitsOrdered]]*ORDERS[[#This Row],[unit price]]*ORDERS[[#This Row],[Discount]])</f>
        <v>1600</v>
      </c>
      <c r="I1652" t="str">
        <f>VLOOKUP(ORDERS[[#This Row],[CustomerID]],customers[],2,FALSE)</f>
        <v>Tshirt Unlimited</v>
      </c>
      <c r="J1652" s="2" t="str">
        <f>VLOOKUP(ORDERS[[#This Row],[CustomerID]],customers[],4,FALSE)</f>
        <v>Phoenix</v>
      </c>
      <c r="K1652" s="2" t="str">
        <f>VLOOKUP(ORDERS[[#This Row],[ProductID]],Products[],3,FALSE)</f>
        <v>Female</v>
      </c>
      <c r="L1652" s="2">
        <f>DAY(ORDERS[[#This Row],[OrderDate]])</f>
        <v>13</v>
      </c>
      <c r="M1652" s="2">
        <f>YEAR(ORDERS[[#This Row],[OrderDate]])</f>
        <v>2015</v>
      </c>
    </row>
    <row r="1653" spans="1:13" x14ac:dyDescent="0.3">
      <c r="A1653">
        <v>1652</v>
      </c>
      <c r="B1653">
        <v>6</v>
      </c>
      <c r="C1653">
        <v>9</v>
      </c>
      <c r="D1653" s="1">
        <v>42229</v>
      </c>
      <c r="E1653">
        <v>77</v>
      </c>
      <c r="F1653">
        <f>VLOOKUP(ORDERS[[#This Row],[ProductID]],Products[],4,FALSE)</f>
        <v>25</v>
      </c>
      <c r="G1653">
        <v>0.10000000100000001</v>
      </c>
      <c r="H1653">
        <f>(ORDERS[[#This Row],[UnitsOrdered]]*ORDERS[[#This Row],[unit price]])-(ORDERS[[#This Row],[UnitsOrdered]]*ORDERS[[#This Row],[unit price]]*ORDERS[[#This Row],[Discount]])</f>
        <v>1732.4999980749999</v>
      </c>
      <c r="I1653" t="str">
        <f>VLOOKUP(ORDERS[[#This Row],[CustomerID]],customers[],2,FALSE)</f>
        <v>Abracadaba Ink</v>
      </c>
      <c r="J1653" s="2" t="str">
        <f>VLOOKUP(ORDERS[[#This Row],[CustomerID]],customers[],4,FALSE)</f>
        <v>Salt Lake City</v>
      </c>
      <c r="K1653" s="2" t="str">
        <f>VLOOKUP(ORDERS[[#This Row],[ProductID]],Products[],3,FALSE)</f>
        <v>Male</v>
      </c>
      <c r="L1653" s="2">
        <f>DAY(ORDERS[[#This Row],[OrderDate]])</f>
        <v>13</v>
      </c>
      <c r="M1653" s="2">
        <f>YEAR(ORDERS[[#This Row],[OrderDate]])</f>
        <v>2015</v>
      </c>
    </row>
    <row r="1654" spans="1:13" x14ac:dyDescent="0.3">
      <c r="A1654">
        <v>1653</v>
      </c>
      <c r="B1654">
        <v>1</v>
      </c>
      <c r="C1654">
        <v>4</v>
      </c>
      <c r="D1654" s="1">
        <v>42230</v>
      </c>
      <c r="E1654">
        <v>105</v>
      </c>
      <c r="F1654">
        <f>VLOOKUP(ORDERS[[#This Row],[ProductID]],Products[],4,FALSE)</f>
        <v>30</v>
      </c>
      <c r="G1654">
        <v>0</v>
      </c>
      <c r="H1654">
        <f>(ORDERS[[#This Row],[UnitsOrdered]]*ORDERS[[#This Row],[unit price]])-(ORDERS[[#This Row],[UnitsOrdered]]*ORDERS[[#This Row],[unit price]]*ORDERS[[#This Row],[Discount]])</f>
        <v>3150</v>
      </c>
      <c r="I1654" t="str">
        <f>VLOOKUP(ORDERS[[#This Row],[CustomerID]],customers[],2,FALSE)</f>
        <v>Threads</v>
      </c>
      <c r="J1654" s="2" t="str">
        <f>VLOOKUP(ORDERS[[#This Row],[CustomerID]],customers[],4,FALSE)</f>
        <v>Seattle</v>
      </c>
      <c r="K1654" s="2" t="str">
        <f>VLOOKUP(ORDERS[[#This Row],[ProductID]],Products[],3,FALSE)</f>
        <v>Both</v>
      </c>
      <c r="L1654" s="2">
        <f>DAY(ORDERS[[#This Row],[OrderDate]])</f>
        <v>14</v>
      </c>
      <c r="M1654" s="2">
        <f>YEAR(ORDERS[[#This Row],[OrderDate]])</f>
        <v>2015</v>
      </c>
    </row>
    <row r="1655" spans="1:13" x14ac:dyDescent="0.3">
      <c r="A1655">
        <v>1654</v>
      </c>
      <c r="B1655">
        <v>4</v>
      </c>
      <c r="C1655">
        <v>6</v>
      </c>
      <c r="D1655" s="1">
        <v>42230</v>
      </c>
      <c r="E1655">
        <v>69</v>
      </c>
      <c r="F1655">
        <f>VLOOKUP(ORDERS[[#This Row],[ProductID]],Products[],4,FALSE)</f>
        <v>28</v>
      </c>
      <c r="G1655">
        <v>0</v>
      </c>
      <c r="H1655">
        <f>(ORDERS[[#This Row],[UnitsOrdered]]*ORDERS[[#This Row],[unit price]])-(ORDERS[[#This Row],[UnitsOrdered]]*ORDERS[[#This Row],[unit price]]*ORDERS[[#This Row],[Discount]])</f>
        <v>1932</v>
      </c>
      <c r="I1655" t="str">
        <f>VLOOKUP(ORDERS[[#This Row],[CustomerID]],customers[],2,FALSE)</f>
        <v>Tshirt Unlimited</v>
      </c>
      <c r="J1655" s="2" t="str">
        <f>VLOOKUP(ORDERS[[#This Row],[CustomerID]],customers[],4,FALSE)</f>
        <v>Phoenix</v>
      </c>
      <c r="K1655" s="2" t="str">
        <f>VLOOKUP(ORDERS[[#This Row],[ProductID]],Products[],3,FALSE)</f>
        <v>Female</v>
      </c>
      <c r="L1655" s="2">
        <f>DAY(ORDERS[[#This Row],[OrderDate]])</f>
        <v>14</v>
      </c>
      <c r="M1655" s="2">
        <f>YEAR(ORDERS[[#This Row],[OrderDate]])</f>
        <v>2015</v>
      </c>
    </row>
    <row r="1656" spans="1:13" x14ac:dyDescent="0.3">
      <c r="A1656">
        <v>1655</v>
      </c>
      <c r="B1656">
        <v>7</v>
      </c>
      <c r="C1656">
        <v>9</v>
      </c>
      <c r="D1656" s="1">
        <v>42230</v>
      </c>
      <c r="E1656">
        <v>64</v>
      </c>
      <c r="F1656">
        <f>VLOOKUP(ORDERS[[#This Row],[ProductID]],Products[],4,FALSE)</f>
        <v>25</v>
      </c>
      <c r="G1656">
        <v>0</v>
      </c>
      <c r="H1656">
        <f>(ORDERS[[#This Row],[UnitsOrdered]]*ORDERS[[#This Row],[unit price]])-(ORDERS[[#This Row],[UnitsOrdered]]*ORDERS[[#This Row],[unit price]]*ORDERS[[#This Row],[Discount]])</f>
        <v>1600</v>
      </c>
      <c r="I1656" t="str">
        <f>VLOOKUP(ORDERS[[#This Row],[CustomerID]],customers[],2,FALSE)</f>
        <v>The Shirt on Your Back</v>
      </c>
      <c r="J1656" s="2" t="str">
        <f>VLOOKUP(ORDERS[[#This Row],[CustomerID]],customers[],4,FALSE)</f>
        <v>Bonners Ferry</v>
      </c>
      <c r="K1656" s="2" t="str">
        <f>VLOOKUP(ORDERS[[#This Row],[ProductID]],Products[],3,FALSE)</f>
        <v>Male</v>
      </c>
      <c r="L1656" s="2">
        <f>DAY(ORDERS[[#This Row],[OrderDate]])</f>
        <v>14</v>
      </c>
      <c r="M1656" s="2">
        <f>YEAR(ORDERS[[#This Row],[OrderDate]])</f>
        <v>2015</v>
      </c>
    </row>
    <row r="1657" spans="1:13" x14ac:dyDescent="0.3">
      <c r="A1657">
        <v>1656</v>
      </c>
      <c r="B1657">
        <v>4</v>
      </c>
      <c r="C1657">
        <v>7</v>
      </c>
      <c r="D1657" s="1">
        <v>42231</v>
      </c>
      <c r="E1657">
        <v>125</v>
      </c>
      <c r="F1657">
        <f>VLOOKUP(ORDERS[[#This Row],[ProductID]],Products[],4,FALSE)</f>
        <v>38</v>
      </c>
      <c r="G1657">
        <v>0</v>
      </c>
      <c r="H1657">
        <f>(ORDERS[[#This Row],[UnitsOrdered]]*ORDERS[[#This Row],[unit price]])-(ORDERS[[#This Row],[UnitsOrdered]]*ORDERS[[#This Row],[unit price]]*ORDERS[[#This Row],[Discount]])</f>
        <v>4750</v>
      </c>
      <c r="I1657" t="str">
        <f>VLOOKUP(ORDERS[[#This Row],[CustomerID]],customers[],2,FALSE)</f>
        <v>Tshirt Unlimited</v>
      </c>
      <c r="J1657" s="2" t="str">
        <f>VLOOKUP(ORDERS[[#This Row],[CustomerID]],customers[],4,FALSE)</f>
        <v>Phoenix</v>
      </c>
      <c r="K1657" s="2" t="str">
        <f>VLOOKUP(ORDERS[[#This Row],[ProductID]],Products[],3,FALSE)</f>
        <v>Female</v>
      </c>
      <c r="L1657" s="2">
        <f>DAY(ORDERS[[#This Row],[OrderDate]])</f>
        <v>15</v>
      </c>
      <c r="M1657" s="2">
        <f>YEAR(ORDERS[[#This Row],[OrderDate]])</f>
        <v>2015</v>
      </c>
    </row>
    <row r="1658" spans="1:13" x14ac:dyDescent="0.3">
      <c r="A1658">
        <v>1657</v>
      </c>
      <c r="B1658">
        <v>5</v>
      </c>
      <c r="C1658">
        <v>4</v>
      </c>
      <c r="D1658" s="1">
        <v>42231</v>
      </c>
      <c r="E1658">
        <v>88</v>
      </c>
      <c r="F1658">
        <f>VLOOKUP(ORDERS[[#This Row],[ProductID]],Products[],4,FALSE)</f>
        <v>30</v>
      </c>
      <c r="G1658">
        <v>0</v>
      </c>
      <c r="H1658">
        <f>(ORDERS[[#This Row],[UnitsOrdered]]*ORDERS[[#This Row],[unit price]])-(ORDERS[[#This Row],[UnitsOrdered]]*ORDERS[[#This Row],[unit price]]*ORDERS[[#This Row],[Discount]])</f>
        <v>2640</v>
      </c>
      <c r="I1658" t="str">
        <f>VLOOKUP(ORDERS[[#This Row],[CustomerID]],customers[],2,FALSE)</f>
        <v>Rags to Riches</v>
      </c>
      <c r="J1658" s="2" t="str">
        <f>VLOOKUP(ORDERS[[#This Row],[CustomerID]],customers[],4,FALSE)</f>
        <v>Las Vegas</v>
      </c>
      <c r="K1658" s="2" t="str">
        <f>VLOOKUP(ORDERS[[#This Row],[ProductID]],Products[],3,FALSE)</f>
        <v>Both</v>
      </c>
      <c r="L1658" s="2">
        <f>DAY(ORDERS[[#This Row],[OrderDate]])</f>
        <v>15</v>
      </c>
      <c r="M1658" s="2">
        <f>YEAR(ORDERS[[#This Row],[OrderDate]])</f>
        <v>2015</v>
      </c>
    </row>
    <row r="1659" spans="1:13" x14ac:dyDescent="0.3">
      <c r="A1659">
        <v>1658</v>
      </c>
      <c r="B1659">
        <v>7</v>
      </c>
      <c r="C1659">
        <v>9</v>
      </c>
      <c r="D1659" s="1">
        <v>42231</v>
      </c>
      <c r="E1659">
        <v>83</v>
      </c>
      <c r="F1659">
        <f>VLOOKUP(ORDERS[[#This Row],[ProductID]],Products[],4,FALSE)</f>
        <v>25</v>
      </c>
      <c r="G1659">
        <v>0</v>
      </c>
      <c r="H1659">
        <f>(ORDERS[[#This Row],[UnitsOrdered]]*ORDERS[[#This Row],[unit price]])-(ORDERS[[#This Row],[UnitsOrdered]]*ORDERS[[#This Row],[unit price]]*ORDERS[[#This Row],[Discount]])</f>
        <v>2075</v>
      </c>
      <c r="I1659" t="str">
        <f>VLOOKUP(ORDERS[[#This Row],[CustomerID]],customers[],2,FALSE)</f>
        <v>The Shirt on Your Back</v>
      </c>
      <c r="J1659" s="2" t="str">
        <f>VLOOKUP(ORDERS[[#This Row],[CustomerID]],customers[],4,FALSE)</f>
        <v>Bonners Ferry</v>
      </c>
      <c r="K1659" s="2" t="str">
        <f>VLOOKUP(ORDERS[[#This Row],[ProductID]],Products[],3,FALSE)</f>
        <v>Male</v>
      </c>
      <c r="L1659" s="2">
        <f>DAY(ORDERS[[#This Row],[OrderDate]])</f>
        <v>15</v>
      </c>
      <c r="M1659" s="2">
        <f>YEAR(ORDERS[[#This Row],[OrderDate]])</f>
        <v>2015</v>
      </c>
    </row>
    <row r="1660" spans="1:13" x14ac:dyDescent="0.3">
      <c r="A1660">
        <v>1659</v>
      </c>
      <c r="B1660">
        <v>2</v>
      </c>
      <c r="C1660">
        <v>8</v>
      </c>
      <c r="D1660" s="1">
        <v>42232</v>
      </c>
      <c r="E1660">
        <v>95</v>
      </c>
      <c r="F1660">
        <f>VLOOKUP(ORDERS[[#This Row],[ProductID]],Products[],4,FALSE)</f>
        <v>27</v>
      </c>
      <c r="G1660">
        <v>0</v>
      </c>
      <c r="H1660">
        <f>(ORDERS[[#This Row],[UnitsOrdered]]*ORDERS[[#This Row],[unit price]])-(ORDERS[[#This Row],[UnitsOrdered]]*ORDERS[[#This Row],[unit price]]*ORDERS[[#This Row],[Discount]])</f>
        <v>2565</v>
      </c>
      <c r="I1660" t="str">
        <f>VLOOKUP(ORDERS[[#This Row],[CustomerID]],customers[],2,FALSE)</f>
        <v>A Shirts Life</v>
      </c>
      <c r="J1660" s="2" t="str">
        <f>VLOOKUP(ORDERS[[#This Row],[CustomerID]],customers[],4,FALSE)</f>
        <v>Portland</v>
      </c>
      <c r="K1660" s="2" t="str">
        <f>VLOOKUP(ORDERS[[#This Row],[ProductID]],Products[],3,FALSE)</f>
        <v>Female</v>
      </c>
      <c r="L1660" s="2">
        <f>DAY(ORDERS[[#This Row],[OrderDate]])</f>
        <v>16</v>
      </c>
      <c r="M1660" s="2">
        <f>YEAR(ORDERS[[#This Row],[OrderDate]])</f>
        <v>2015</v>
      </c>
    </row>
    <row r="1661" spans="1:13" x14ac:dyDescent="0.3">
      <c r="A1661">
        <v>1660</v>
      </c>
      <c r="B1661">
        <v>4</v>
      </c>
      <c r="C1661">
        <v>3</v>
      </c>
      <c r="D1661" s="1">
        <v>42232</v>
      </c>
      <c r="E1661">
        <v>113</v>
      </c>
      <c r="F1661">
        <f>VLOOKUP(ORDERS[[#This Row],[ProductID]],Products[],4,FALSE)</f>
        <v>22</v>
      </c>
      <c r="G1661">
        <v>0</v>
      </c>
      <c r="H1661">
        <f>(ORDERS[[#This Row],[UnitsOrdered]]*ORDERS[[#This Row],[unit price]])-(ORDERS[[#This Row],[UnitsOrdered]]*ORDERS[[#This Row],[unit price]]*ORDERS[[#This Row],[Discount]])</f>
        <v>2486</v>
      </c>
      <c r="I1661" t="str">
        <f>VLOOKUP(ORDERS[[#This Row],[CustomerID]],customers[],2,FALSE)</f>
        <v>Tshirt Unlimited</v>
      </c>
      <c r="J1661" s="2" t="str">
        <f>VLOOKUP(ORDERS[[#This Row],[CustomerID]],customers[],4,FALSE)</f>
        <v>Phoenix</v>
      </c>
      <c r="K1661" s="2" t="str">
        <f>VLOOKUP(ORDERS[[#This Row],[ProductID]],Products[],3,FALSE)</f>
        <v>Both</v>
      </c>
      <c r="L1661" s="2">
        <f>DAY(ORDERS[[#This Row],[OrderDate]])</f>
        <v>16</v>
      </c>
      <c r="M1661" s="2">
        <f>YEAR(ORDERS[[#This Row],[OrderDate]])</f>
        <v>2015</v>
      </c>
    </row>
    <row r="1662" spans="1:13" x14ac:dyDescent="0.3">
      <c r="A1662">
        <v>1661</v>
      </c>
      <c r="B1662">
        <v>5</v>
      </c>
      <c r="C1662">
        <v>9</v>
      </c>
      <c r="D1662" s="1">
        <v>42232</v>
      </c>
      <c r="E1662">
        <v>68</v>
      </c>
      <c r="F1662">
        <f>VLOOKUP(ORDERS[[#This Row],[ProductID]],Products[],4,FALSE)</f>
        <v>25</v>
      </c>
      <c r="G1662">
        <v>0.10000000100000001</v>
      </c>
      <c r="H1662">
        <f>(ORDERS[[#This Row],[UnitsOrdered]]*ORDERS[[#This Row],[unit price]])-(ORDERS[[#This Row],[UnitsOrdered]]*ORDERS[[#This Row],[unit price]]*ORDERS[[#This Row],[Discount]])</f>
        <v>1529.9999983</v>
      </c>
      <c r="I1662" t="str">
        <f>VLOOKUP(ORDERS[[#This Row],[CustomerID]],customers[],2,FALSE)</f>
        <v>Rags to Riches</v>
      </c>
      <c r="J1662" s="2" t="str">
        <f>VLOOKUP(ORDERS[[#This Row],[CustomerID]],customers[],4,FALSE)</f>
        <v>Las Vegas</v>
      </c>
      <c r="K1662" s="2" t="str">
        <f>VLOOKUP(ORDERS[[#This Row],[ProductID]],Products[],3,FALSE)</f>
        <v>Male</v>
      </c>
      <c r="L1662" s="2">
        <f>DAY(ORDERS[[#This Row],[OrderDate]])</f>
        <v>16</v>
      </c>
      <c r="M1662" s="2">
        <f>YEAR(ORDERS[[#This Row],[OrderDate]])</f>
        <v>2015</v>
      </c>
    </row>
    <row r="1663" spans="1:13" x14ac:dyDescent="0.3">
      <c r="A1663">
        <v>1662</v>
      </c>
      <c r="B1663">
        <v>7</v>
      </c>
      <c r="C1663">
        <v>1</v>
      </c>
      <c r="D1663" s="1">
        <v>42232</v>
      </c>
      <c r="E1663">
        <v>47</v>
      </c>
      <c r="F1663">
        <f>VLOOKUP(ORDERS[[#This Row],[ProductID]],Products[],4,FALSE)</f>
        <v>20</v>
      </c>
      <c r="G1663">
        <v>0</v>
      </c>
      <c r="H1663">
        <f>(ORDERS[[#This Row],[UnitsOrdered]]*ORDERS[[#This Row],[unit price]])-(ORDERS[[#This Row],[UnitsOrdered]]*ORDERS[[#This Row],[unit price]]*ORDERS[[#This Row],[Discount]])</f>
        <v>940</v>
      </c>
      <c r="I1663" t="str">
        <f>VLOOKUP(ORDERS[[#This Row],[CustomerID]],customers[],2,FALSE)</f>
        <v>The Shirt on Your Back</v>
      </c>
      <c r="J1663" s="2" t="str">
        <f>VLOOKUP(ORDERS[[#This Row],[CustomerID]],customers[],4,FALSE)</f>
        <v>Bonners Ferry</v>
      </c>
      <c r="K1663" s="2" t="str">
        <f>VLOOKUP(ORDERS[[#This Row],[ProductID]],Products[],3,FALSE)</f>
        <v>Both</v>
      </c>
      <c r="L1663" s="2">
        <f>DAY(ORDERS[[#This Row],[OrderDate]])</f>
        <v>16</v>
      </c>
      <c r="M1663" s="2">
        <f>YEAR(ORDERS[[#This Row],[OrderDate]])</f>
        <v>2015</v>
      </c>
    </row>
    <row r="1664" spans="1:13" x14ac:dyDescent="0.3">
      <c r="A1664">
        <v>1663</v>
      </c>
      <c r="B1664">
        <v>1</v>
      </c>
      <c r="C1664">
        <v>2</v>
      </c>
      <c r="D1664" s="1">
        <v>42233</v>
      </c>
      <c r="E1664">
        <v>72</v>
      </c>
      <c r="F1664">
        <f>VLOOKUP(ORDERS[[#This Row],[ProductID]],Products[],4,FALSE)</f>
        <v>30</v>
      </c>
      <c r="G1664">
        <v>0</v>
      </c>
      <c r="H1664">
        <f>(ORDERS[[#This Row],[UnitsOrdered]]*ORDERS[[#This Row],[unit price]])-(ORDERS[[#This Row],[UnitsOrdered]]*ORDERS[[#This Row],[unit price]]*ORDERS[[#This Row],[Discount]])</f>
        <v>2160</v>
      </c>
      <c r="I1664" t="str">
        <f>VLOOKUP(ORDERS[[#This Row],[CustomerID]],customers[],2,FALSE)</f>
        <v>Threads</v>
      </c>
      <c r="J1664" s="2" t="str">
        <f>VLOOKUP(ORDERS[[#This Row],[CustomerID]],customers[],4,FALSE)</f>
        <v>Seattle</v>
      </c>
      <c r="K1664" s="2" t="str">
        <f>VLOOKUP(ORDERS[[#This Row],[ProductID]],Products[],3,FALSE)</f>
        <v>Both</v>
      </c>
      <c r="L1664" s="2">
        <f>DAY(ORDERS[[#This Row],[OrderDate]])</f>
        <v>17</v>
      </c>
      <c r="M1664" s="2">
        <f>YEAR(ORDERS[[#This Row],[OrderDate]])</f>
        <v>2015</v>
      </c>
    </row>
    <row r="1665" spans="1:13" x14ac:dyDescent="0.3">
      <c r="A1665">
        <v>1664</v>
      </c>
      <c r="B1665">
        <v>3</v>
      </c>
      <c r="C1665">
        <v>10</v>
      </c>
      <c r="D1665" s="1">
        <v>42233</v>
      </c>
      <c r="E1665">
        <v>45</v>
      </c>
      <c r="F1665">
        <f>VLOOKUP(ORDERS[[#This Row],[ProductID]],Products[],4,FALSE)</f>
        <v>35</v>
      </c>
      <c r="G1665">
        <v>0</v>
      </c>
      <c r="H1665">
        <f>(ORDERS[[#This Row],[UnitsOrdered]]*ORDERS[[#This Row],[unit price]])-(ORDERS[[#This Row],[UnitsOrdered]]*ORDERS[[#This Row],[unit price]]*ORDERS[[#This Row],[Discount]])</f>
        <v>1575</v>
      </c>
      <c r="I1665" t="str">
        <f>VLOOKUP(ORDERS[[#This Row],[CustomerID]],customers[],2,FALSE)</f>
        <v>Shirts R Us</v>
      </c>
      <c r="J1665" s="2" t="str">
        <f>VLOOKUP(ORDERS[[#This Row],[CustomerID]],customers[],4,FALSE)</f>
        <v>Los Angeles</v>
      </c>
      <c r="K1665" s="2" t="str">
        <f>VLOOKUP(ORDERS[[#This Row],[ProductID]],Products[],3,FALSE)</f>
        <v>Male</v>
      </c>
      <c r="L1665" s="2">
        <f>DAY(ORDERS[[#This Row],[OrderDate]])</f>
        <v>17</v>
      </c>
      <c r="M1665" s="2">
        <f>YEAR(ORDERS[[#This Row],[OrderDate]])</f>
        <v>2015</v>
      </c>
    </row>
    <row r="1666" spans="1:13" x14ac:dyDescent="0.3">
      <c r="A1666">
        <v>1665</v>
      </c>
      <c r="B1666">
        <v>5</v>
      </c>
      <c r="C1666">
        <v>8</v>
      </c>
      <c r="D1666" s="1">
        <v>42235</v>
      </c>
      <c r="E1666">
        <v>45</v>
      </c>
      <c r="F1666">
        <f>VLOOKUP(ORDERS[[#This Row],[ProductID]],Products[],4,FALSE)</f>
        <v>27</v>
      </c>
      <c r="G1666">
        <v>5.0000001000000002E-2</v>
      </c>
      <c r="H1666">
        <f>(ORDERS[[#This Row],[UnitsOrdered]]*ORDERS[[#This Row],[unit price]])-(ORDERS[[#This Row],[UnitsOrdered]]*ORDERS[[#This Row],[unit price]]*ORDERS[[#This Row],[Discount]])</f>
        <v>1154.2499987849999</v>
      </c>
      <c r="I1666" t="str">
        <f>VLOOKUP(ORDERS[[#This Row],[CustomerID]],customers[],2,FALSE)</f>
        <v>Rags to Riches</v>
      </c>
      <c r="J1666" s="2" t="str">
        <f>VLOOKUP(ORDERS[[#This Row],[CustomerID]],customers[],4,FALSE)</f>
        <v>Las Vegas</v>
      </c>
      <c r="K1666" s="2" t="str">
        <f>VLOOKUP(ORDERS[[#This Row],[ProductID]],Products[],3,FALSE)</f>
        <v>Female</v>
      </c>
      <c r="L1666" s="2">
        <f>DAY(ORDERS[[#This Row],[OrderDate]])</f>
        <v>19</v>
      </c>
      <c r="M1666" s="2">
        <f>YEAR(ORDERS[[#This Row],[OrderDate]])</f>
        <v>2015</v>
      </c>
    </row>
    <row r="1667" spans="1:13" x14ac:dyDescent="0.3">
      <c r="A1667">
        <v>1666</v>
      </c>
      <c r="B1667">
        <v>6</v>
      </c>
      <c r="C1667">
        <v>10</v>
      </c>
      <c r="D1667" s="1">
        <v>42236</v>
      </c>
      <c r="E1667">
        <v>133</v>
      </c>
      <c r="F1667">
        <f>VLOOKUP(ORDERS[[#This Row],[ProductID]],Products[],4,FALSE)</f>
        <v>35</v>
      </c>
      <c r="G1667">
        <v>0</v>
      </c>
      <c r="H1667">
        <f>(ORDERS[[#This Row],[UnitsOrdered]]*ORDERS[[#This Row],[unit price]])-(ORDERS[[#This Row],[UnitsOrdered]]*ORDERS[[#This Row],[unit price]]*ORDERS[[#This Row],[Discount]])</f>
        <v>4655</v>
      </c>
      <c r="I1667" t="str">
        <f>VLOOKUP(ORDERS[[#This Row],[CustomerID]],customers[],2,FALSE)</f>
        <v>Abracadaba Ink</v>
      </c>
      <c r="J1667" s="2" t="str">
        <f>VLOOKUP(ORDERS[[#This Row],[CustomerID]],customers[],4,FALSE)</f>
        <v>Salt Lake City</v>
      </c>
      <c r="K1667" s="2" t="str">
        <f>VLOOKUP(ORDERS[[#This Row],[ProductID]],Products[],3,FALSE)</f>
        <v>Male</v>
      </c>
      <c r="L1667" s="2">
        <f>DAY(ORDERS[[#This Row],[OrderDate]])</f>
        <v>20</v>
      </c>
      <c r="M1667" s="2">
        <f>YEAR(ORDERS[[#This Row],[OrderDate]])</f>
        <v>2015</v>
      </c>
    </row>
    <row r="1668" spans="1:13" x14ac:dyDescent="0.3">
      <c r="A1668">
        <v>1667</v>
      </c>
      <c r="B1668">
        <v>5</v>
      </c>
      <c r="C1668">
        <v>1</v>
      </c>
      <c r="D1668" s="1">
        <v>42238</v>
      </c>
      <c r="E1668">
        <v>56</v>
      </c>
      <c r="F1668">
        <f>VLOOKUP(ORDERS[[#This Row],[ProductID]],Products[],4,FALSE)</f>
        <v>20</v>
      </c>
      <c r="G1668">
        <v>0</v>
      </c>
      <c r="H1668">
        <f>(ORDERS[[#This Row],[UnitsOrdered]]*ORDERS[[#This Row],[unit price]])-(ORDERS[[#This Row],[UnitsOrdered]]*ORDERS[[#This Row],[unit price]]*ORDERS[[#This Row],[Discount]])</f>
        <v>1120</v>
      </c>
      <c r="I1668" t="str">
        <f>VLOOKUP(ORDERS[[#This Row],[CustomerID]],customers[],2,FALSE)</f>
        <v>Rags to Riches</v>
      </c>
      <c r="J1668" s="2" t="str">
        <f>VLOOKUP(ORDERS[[#This Row],[CustomerID]],customers[],4,FALSE)</f>
        <v>Las Vegas</v>
      </c>
      <c r="K1668" s="2" t="str">
        <f>VLOOKUP(ORDERS[[#This Row],[ProductID]],Products[],3,FALSE)</f>
        <v>Both</v>
      </c>
      <c r="L1668" s="2">
        <f>DAY(ORDERS[[#This Row],[OrderDate]])</f>
        <v>22</v>
      </c>
      <c r="M1668" s="2">
        <f>YEAR(ORDERS[[#This Row],[OrderDate]])</f>
        <v>2015</v>
      </c>
    </row>
    <row r="1669" spans="1:13" x14ac:dyDescent="0.3">
      <c r="A1669">
        <v>1668</v>
      </c>
      <c r="B1669">
        <v>5</v>
      </c>
      <c r="C1669">
        <v>4</v>
      </c>
      <c r="D1669" s="1">
        <v>42238</v>
      </c>
      <c r="E1669">
        <v>67</v>
      </c>
      <c r="F1669">
        <f>VLOOKUP(ORDERS[[#This Row],[ProductID]],Products[],4,FALSE)</f>
        <v>30</v>
      </c>
      <c r="G1669">
        <v>0</v>
      </c>
      <c r="H1669">
        <f>(ORDERS[[#This Row],[UnitsOrdered]]*ORDERS[[#This Row],[unit price]])-(ORDERS[[#This Row],[UnitsOrdered]]*ORDERS[[#This Row],[unit price]]*ORDERS[[#This Row],[Discount]])</f>
        <v>2010</v>
      </c>
      <c r="I1669" t="str">
        <f>VLOOKUP(ORDERS[[#This Row],[CustomerID]],customers[],2,FALSE)</f>
        <v>Rags to Riches</v>
      </c>
      <c r="J1669" s="2" t="str">
        <f>VLOOKUP(ORDERS[[#This Row],[CustomerID]],customers[],4,FALSE)</f>
        <v>Las Vegas</v>
      </c>
      <c r="K1669" s="2" t="str">
        <f>VLOOKUP(ORDERS[[#This Row],[ProductID]],Products[],3,FALSE)</f>
        <v>Both</v>
      </c>
      <c r="L1669" s="2">
        <f>DAY(ORDERS[[#This Row],[OrderDate]])</f>
        <v>22</v>
      </c>
      <c r="M1669" s="2">
        <f>YEAR(ORDERS[[#This Row],[OrderDate]])</f>
        <v>2015</v>
      </c>
    </row>
    <row r="1670" spans="1:13" x14ac:dyDescent="0.3">
      <c r="A1670">
        <v>1669</v>
      </c>
      <c r="B1670">
        <v>3</v>
      </c>
      <c r="C1670">
        <v>8</v>
      </c>
      <c r="D1670" s="1">
        <v>42239</v>
      </c>
      <c r="E1670">
        <v>63</v>
      </c>
      <c r="F1670">
        <f>VLOOKUP(ORDERS[[#This Row],[ProductID]],Products[],4,FALSE)</f>
        <v>27</v>
      </c>
      <c r="G1670">
        <v>0.15000000599999999</v>
      </c>
      <c r="H1670">
        <f>(ORDERS[[#This Row],[UnitsOrdered]]*ORDERS[[#This Row],[unit price]])-(ORDERS[[#This Row],[UnitsOrdered]]*ORDERS[[#This Row],[unit price]]*ORDERS[[#This Row],[Discount]])</f>
        <v>1445.8499897940001</v>
      </c>
      <c r="I1670" t="str">
        <f>VLOOKUP(ORDERS[[#This Row],[CustomerID]],customers[],2,FALSE)</f>
        <v>Shirts R Us</v>
      </c>
      <c r="J1670" s="2" t="str">
        <f>VLOOKUP(ORDERS[[#This Row],[CustomerID]],customers[],4,FALSE)</f>
        <v>Los Angeles</v>
      </c>
      <c r="K1670" s="2" t="str">
        <f>VLOOKUP(ORDERS[[#This Row],[ProductID]],Products[],3,FALSE)</f>
        <v>Female</v>
      </c>
      <c r="L1670" s="2">
        <f>DAY(ORDERS[[#This Row],[OrderDate]])</f>
        <v>23</v>
      </c>
      <c r="M1670" s="2">
        <f>YEAR(ORDERS[[#This Row],[OrderDate]])</f>
        <v>2015</v>
      </c>
    </row>
    <row r="1671" spans="1:13" x14ac:dyDescent="0.3">
      <c r="A1671">
        <v>1670</v>
      </c>
      <c r="B1671">
        <v>1</v>
      </c>
      <c r="C1671">
        <v>7</v>
      </c>
      <c r="D1671" s="1">
        <v>42240</v>
      </c>
      <c r="E1671">
        <v>122</v>
      </c>
      <c r="F1671">
        <f>VLOOKUP(ORDERS[[#This Row],[ProductID]],Products[],4,FALSE)</f>
        <v>38</v>
      </c>
      <c r="G1671">
        <v>0</v>
      </c>
      <c r="H1671">
        <f>(ORDERS[[#This Row],[UnitsOrdered]]*ORDERS[[#This Row],[unit price]])-(ORDERS[[#This Row],[UnitsOrdered]]*ORDERS[[#This Row],[unit price]]*ORDERS[[#This Row],[Discount]])</f>
        <v>4636</v>
      </c>
      <c r="I1671" t="str">
        <f>VLOOKUP(ORDERS[[#This Row],[CustomerID]],customers[],2,FALSE)</f>
        <v>Threads</v>
      </c>
      <c r="J1671" s="2" t="str">
        <f>VLOOKUP(ORDERS[[#This Row],[CustomerID]],customers[],4,FALSE)</f>
        <v>Seattle</v>
      </c>
      <c r="K1671" s="2" t="str">
        <f>VLOOKUP(ORDERS[[#This Row],[ProductID]],Products[],3,FALSE)</f>
        <v>Female</v>
      </c>
      <c r="L1671" s="2">
        <f>DAY(ORDERS[[#This Row],[OrderDate]])</f>
        <v>24</v>
      </c>
      <c r="M1671" s="2">
        <f>YEAR(ORDERS[[#This Row],[OrderDate]])</f>
        <v>2015</v>
      </c>
    </row>
    <row r="1672" spans="1:13" x14ac:dyDescent="0.3">
      <c r="A1672">
        <v>1671</v>
      </c>
      <c r="B1672">
        <v>3</v>
      </c>
      <c r="C1672">
        <v>2</v>
      </c>
      <c r="D1672" s="1">
        <v>42240</v>
      </c>
      <c r="E1672">
        <v>112</v>
      </c>
      <c r="F1672">
        <f>VLOOKUP(ORDERS[[#This Row],[ProductID]],Products[],4,FALSE)</f>
        <v>30</v>
      </c>
      <c r="G1672">
        <v>0</v>
      </c>
      <c r="H1672">
        <f>(ORDERS[[#This Row],[UnitsOrdered]]*ORDERS[[#This Row],[unit price]])-(ORDERS[[#This Row],[UnitsOrdered]]*ORDERS[[#This Row],[unit price]]*ORDERS[[#This Row],[Discount]])</f>
        <v>3360</v>
      </c>
      <c r="I1672" t="str">
        <f>VLOOKUP(ORDERS[[#This Row],[CustomerID]],customers[],2,FALSE)</f>
        <v>Shirts R Us</v>
      </c>
      <c r="J1672" s="2" t="str">
        <f>VLOOKUP(ORDERS[[#This Row],[CustomerID]],customers[],4,FALSE)</f>
        <v>Los Angeles</v>
      </c>
      <c r="K1672" s="2" t="str">
        <f>VLOOKUP(ORDERS[[#This Row],[ProductID]],Products[],3,FALSE)</f>
        <v>Both</v>
      </c>
      <c r="L1672" s="2">
        <f>DAY(ORDERS[[#This Row],[OrderDate]])</f>
        <v>24</v>
      </c>
      <c r="M1672" s="2">
        <f>YEAR(ORDERS[[#This Row],[OrderDate]])</f>
        <v>2015</v>
      </c>
    </row>
    <row r="1673" spans="1:13" x14ac:dyDescent="0.3">
      <c r="A1673">
        <v>1672</v>
      </c>
      <c r="B1673">
        <v>4</v>
      </c>
      <c r="C1673">
        <v>9</v>
      </c>
      <c r="D1673" s="1">
        <v>42240</v>
      </c>
      <c r="E1673">
        <v>138</v>
      </c>
      <c r="F1673">
        <f>VLOOKUP(ORDERS[[#This Row],[ProductID]],Products[],4,FALSE)</f>
        <v>25</v>
      </c>
      <c r="G1673">
        <v>0</v>
      </c>
      <c r="H1673">
        <f>(ORDERS[[#This Row],[UnitsOrdered]]*ORDERS[[#This Row],[unit price]])-(ORDERS[[#This Row],[UnitsOrdered]]*ORDERS[[#This Row],[unit price]]*ORDERS[[#This Row],[Discount]])</f>
        <v>3450</v>
      </c>
      <c r="I1673" t="str">
        <f>VLOOKUP(ORDERS[[#This Row],[CustomerID]],customers[],2,FALSE)</f>
        <v>Tshirt Unlimited</v>
      </c>
      <c r="J1673" s="2" t="str">
        <f>VLOOKUP(ORDERS[[#This Row],[CustomerID]],customers[],4,FALSE)</f>
        <v>Phoenix</v>
      </c>
      <c r="K1673" s="2" t="str">
        <f>VLOOKUP(ORDERS[[#This Row],[ProductID]],Products[],3,FALSE)</f>
        <v>Male</v>
      </c>
      <c r="L1673" s="2">
        <f>DAY(ORDERS[[#This Row],[OrderDate]])</f>
        <v>24</v>
      </c>
      <c r="M1673" s="2">
        <f>YEAR(ORDERS[[#This Row],[OrderDate]])</f>
        <v>2015</v>
      </c>
    </row>
    <row r="1674" spans="1:13" x14ac:dyDescent="0.3">
      <c r="A1674">
        <v>1673</v>
      </c>
      <c r="B1674">
        <v>3</v>
      </c>
      <c r="C1674">
        <v>8</v>
      </c>
      <c r="D1674" s="1">
        <v>42241</v>
      </c>
      <c r="E1674">
        <v>101</v>
      </c>
      <c r="F1674">
        <f>VLOOKUP(ORDERS[[#This Row],[ProductID]],Products[],4,FALSE)</f>
        <v>27</v>
      </c>
      <c r="G1674">
        <v>0</v>
      </c>
      <c r="H1674">
        <f>(ORDERS[[#This Row],[UnitsOrdered]]*ORDERS[[#This Row],[unit price]])-(ORDERS[[#This Row],[UnitsOrdered]]*ORDERS[[#This Row],[unit price]]*ORDERS[[#This Row],[Discount]])</f>
        <v>2727</v>
      </c>
      <c r="I1674" t="str">
        <f>VLOOKUP(ORDERS[[#This Row],[CustomerID]],customers[],2,FALSE)</f>
        <v>Shirts R Us</v>
      </c>
      <c r="J1674" s="2" t="str">
        <f>VLOOKUP(ORDERS[[#This Row],[CustomerID]],customers[],4,FALSE)</f>
        <v>Los Angeles</v>
      </c>
      <c r="K1674" s="2" t="str">
        <f>VLOOKUP(ORDERS[[#This Row],[ProductID]],Products[],3,FALSE)</f>
        <v>Female</v>
      </c>
      <c r="L1674" s="2">
        <f>DAY(ORDERS[[#This Row],[OrderDate]])</f>
        <v>25</v>
      </c>
      <c r="M1674" s="2">
        <f>YEAR(ORDERS[[#This Row],[OrderDate]])</f>
        <v>2015</v>
      </c>
    </row>
    <row r="1675" spans="1:13" x14ac:dyDescent="0.3">
      <c r="A1675">
        <v>1674</v>
      </c>
      <c r="B1675">
        <v>4</v>
      </c>
      <c r="C1675">
        <v>8</v>
      </c>
      <c r="D1675" s="1">
        <v>42244</v>
      </c>
      <c r="E1675">
        <v>42</v>
      </c>
      <c r="F1675">
        <f>VLOOKUP(ORDERS[[#This Row],[ProductID]],Products[],4,FALSE)</f>
        <v>27</v>
      </c>
      <c r="G1675">
        <v>0</v>
      </c>
      <c r="H1675">
        <f>(ORDERS[[#This Row],[UnitsOrdered]]*ORDERS[[#This Row],[unit price]])-(ORDERS[[#This Row],[UnitsOrdered]]*ORDERS[[#This Row],[unit price]]*ORDERS[[#This Row],[Discount]])</f>
        <v>1134</v>
      </c>
      <c r="I1675" t="str">
        <f>VLOOKUP(ORDERS[[#This Row],[CustomerID]],customers[],2,FALSE)</f>
        <v>Tshirt Unlimited</v>
      </c>
      <c r="J1675" s="2" t="str">
        <f>VLOOKUP(ORDERS[[#This Row],[CustomerID]],customers[],4,FALSE)</f>
        <v>Phoenix</v>
      </c>
      <c r="K1675" s="2" t="str">
        <f>VLOOKUP(ORDERS[[#This Row],[ProductID]],Products[],3,FALSE)</f>
        <v>Female</v>
      </c>
      <c r="L1675" s="2">
        <f>DAY(ORDERS[[#This Row],[OrderDate]])</f>
        <v>28</v>
      </c>
      <c r="M1675" s="2">
        <f>YEAR(ORDERS[[#This Row],[OrderDate]])</f>
        <v>2015</v>
      </c>
    </row>
    <row r="1676" spans="1:13" x14ac:dyDescent="0.3">
      <c r="A1676">
        <v>1675</v>
      </c>
      <c r="B1676">
        <v>5</v>
      </c>
      <c r="C1676">
        <v>7</v>
      </c>
      <c r="D1676" s="1">
        <v>42245</v>
      </c>
      <c r="E1676">
        <v>119</v>
      </c>
      <c r="F1676">
        <f>VLOOKUP(ORDERS[[#This Row],[ProductID]],Products[],4,FALSE)</f>
        <v>38</v>
      </c>
      <c r="G1676">
        <v>0</v>
      </c>
      <c r="H1676">
        <f>(ORDERS[[#This Row],[UnitsOrdered]]*ORDERS[[#This Row],[unit price]])-(ORDERS[[#This Row],[UnitsOrdered]]*ORDERS[[#This Row],[unit price]]*ORDERS[[#This Row],[Discount]])</f>
        <v>4522</v>
      </c>
      <c r="I1676" t="str">
        <f>VLOOKUP(ORDERS[[#This Row],[CustomerID]],customers[],2,FALSE)</f>
        <v>Rags to Riches</v>
      </c>
      <c r="J1676" s="2" t="str">
        <f>VLOOKUP(ORDERS[[#This Row],[CustomerID]],customers[],4,FALSE)</f>
        <v>Las Vegas</v>
      </c>
      <c r="K1676" s="2" t="str">
        <f>VLOOKUP(ORDERS[[#This Row],[ProductID]],Products[],3,FALSE)</f>
        <v>Female</v>
      </c>
      <c r="L1676" s="2">
        <f>DAY(ORDERS[[#This Row],[OrderDate]])</f>
        <v>29</v>
      </c>
      <c r="M1676" s="2">
        <f>YEAR(ORDERS[[#This Row],[OrderDate]])</f>
        <v>2015</v>
      </c>
    </row>
    <row r="1677" spans="1:13" x14ac:dyDescent="0.3">
      <c r="A1677">
        <v>1676</v>
      </c>
      <c r="B1677">
        <v>6</v>
      </c>
      <c r="C1677">
        <v>5</v>
      </c>
      <c r="D1677" s="1">
        <v>42245</v>
      </c>
      <c r="E1677">
        <v>65</v>
      </c>
      <c r="F1677">
        <f>VLOOKUP(ORDERS[[#This Row],[ProductID]],Products[],4,FALSE)</f>
        <v>16</v>
      </c>
      <c r="G1677">
        <v>0</v>
      </c>
      <c r="H1677">
        <f>(ORDERS[[#This Row],[UnitsOrdered]]*ORDERS[[#This Row],[unit price]])-(ORDERS[[#This Row],[UnitsOrdered]]*ORDERS[[#This Row],[unit price]]*ORDERS[[#This Row],[Discount]])</f>
        <v>1040</v>
      </c>
      <c r="I1677" t="str">
        <f>VLOOKUP(ORDERS[[#This Row],[CustomerID]],customers[],2,FALSE)</f>
        <v>Abracadaba Ink</v>
      </c>
      <c r="J1677" s="2" t="str">
        <f>VLOOKUP(ORDERS[[#This Row],[CustomerID]],customers[],4,FALSE)</f>
        <v>Salt Lake City</v>
      </c>
      <c r="K1677" s="2" t="str">
        <f>VLOOKUP(ORDERS[[#This Row],[ProductID]],Products[],3,FALSE)</f>
        <v>Female</v>
      </c>
      <c r="L1677" s="2">
        <f>DAY(ORDERS[[#This Row],[OrderDate]])</f>
        <v>29</v>
      </c>
      <c r="M1677" s="2">
        <f>YEAR(ORDERS[[#This Row],[OrderDate]])</f>
        <v>2015</v>
      </c>
    </row>
    <row r="1678" spans="1:13" x14ac:dyDescent="0.3">
      <c r="A1678">
        <v>1677</v>
      </c>
      <c r="B1678">
        <v>5</v>
      </c>
      <c r="C1678">
        <v>2</v>
      </c>
      <c r="D1678" s="1">
        <v>42248</v>
      </c>
      <c r="E1678">
        <v>125</v>
      </c>
      <c r="F1678">
        <f>VLOOKUP(ORDERS[[#This Row],[ProductID]],Products[],4,FALSE)</f>
        <v>30</v>
      </c>
      <c r="G1678">
        <v>0</v>
      </c>
      <c r="H1678">
        <f>(ORDERS[[#This Row],[UnitsOrdered]]*ORDERS[[#This Row],[unit price]])-(ORDERS[[#This Row],[UnitsOrdered]]*ORDERS[[#This Row],[unit price]]*ORDERS[[#This Row],[Discount]])</f>
        <v>3750</v>
      </c>
      <c r="I1678" t="str">
        <f>VLOOKUP(ORDERS[[#This Row],[CustomerID]],customers[],2,FALSE)</f>
        <v>Rags to Riches</v>
      </c>
      <c r="J1678" s="2" t="str">
        <f>VLOOKUP(ORDERS[[#This Row],[CustomerID]],customers[],4,FALSE)</f>
        <v>Las Vegas</v>
      </c>
      <c r="K1678" s="2" t="str">
        <f>VLOOKUP(ORDERS[[#This Row],[ProductID]],Products[],3,FALSE)</f>
        <v>Both</v>
      </c>
      <c r="L1678" s="2">
        <f>DAY(ORDERS[[#This Row],[OrderDate]])</f>
        <v>1</v>
      </c>
      <c r="M1678" s="2">
        <f>YEAR(ORDERS[[#This Row],[OrderDate]])</f>
        <v>2015</v>
      </c>
    </row>
    <row r="1679" spans="1:13" x14ac:dyDescent="0.3">
      <c r="A1679">
        <v>1678</v>
      </c>
      <c r="B1679">
        <v>4</v>
      </c>
      <c r="C1679">
        <v>5</v>
      </c>
      <c r="D1679" s="1">
        <v>42249</v>
      </c>
      <c r="E1679">
        <v>121</v>
      </c>
      <c r="F1679">
        <f>VLOOKUP(ORDERS[[#This Row],[ProductID]],Products[],4,FALSE)</f>
        <v>16</v>
      </c>
      <c r="G1679">
        <v>0</v>
      </c>
      <c r="H1679">
        <f>(ORDERS[[#This Row],[UnitsOrdered]]*ORDERS[[#This Row],[unit price]])-(ORDERS[[#This Row],[UnitsOrdered]]*ORDERS[[#This Row],[unit price]]*ORDERS[[#This Row],[Discount]])</f>
        <v>1936</v>
      </c>
      <c r="I1679" t="str">
        <f>VLOOKUP(ORDERS[[#This Row],[CustomerID]],customers[],2,FALSE)</f>
        <v>Tshirt Unlimited</v>
      </c>
      <c r="J1679" s="2" t="str">
        <f>VLOOKUP(ORDERS[[#This Row],[CustomerID]],customers[],4,FALSE)</f>
        <v>Phoenix</v>
      </c>
      <c r="K1679" s="2" t="str">
        <f>VLOOKUP(ORDERS[[#This Row],[ProductID]],Products[],3,FALSE)</f>
        <v>Female</v>
      </c>
      <c r="L1679" s="2">
        <f>DAY(ORDERS[[#This Row],[OrderDate]])</f>
        <v>2</v>
      </c>
      <c r="M1679" s="2">
        <f>YEAR(ORDERS[[#This Row],[OrderDate]])</f>
        <v>2015</v>
      </c>
    </row>
    <row r="1680" spans="1:13" x14ac:dyDescent="0.3">
      <c r="A1680">
        <v>1679</v>
      </c>
      <c r="B1680">
        <v>5</v>
      </c>
      <c r="C1680">
        <v>6</v>
      </c>
      <c r="D1680" s="1">
        <v>42249</v>
      </c>
      <c r="E1680">
        <v>32</v>
      </c>
      <c r="F1680">
        <f>VLOOKUP(ORDERS[[#This Row],[ProductID]],Products[],4,FALSE)</f>
        <v>28</v>
      </c>
      <c r="G1680">
        <v>0</v>
      </c>
      <c r="H1680">
        <f>(ORDERS[[#This Row],[UnitsOrdered]]*ORDERS[[#This Row],[unit price]])-(ORDERS[[#This Row],[UnitsOrdered]]*ORDERS[[#This Row],[unit price]]*ORDERS[[#This Row],[Discount]])</f>
        <v>896</v>
      </c>
      <c r="I1680" t="str">
        <f>VLOOKUP(ORDERS[[#This Row],[CustomerID]],customers[],2,FALSE)</f>
        <v>Rags to Riches</v>
      </c>
      <c r="J1680" s="2" t="str">
        <f>VLOOKUP(ORDERS[[#This Row],[CustomerID]],customers[],4,FALSE)</f>
        <v>Las Vegas</v>
      </c>
      <c r="K1680" s="2" t="str">
        <f>VLOOKUP(ORDERS[[#This Row],[ProductID]],Products[],3,FALSE)</f>
        <v>Female</v>
      </c>
      <c r="L1680" s="2">
        <f>DAY(ORDERS[[#This Row],[OrderDate]])</f>
        <v>2</v>
      </c>
      <c r="M1680" s="2">
        <f>YEAR(ORDERS[[#This Row],[OrderDate]])</f>
        <v>2015</v>
      </c>
    </row>
    <row r="1681" spans="1:13" x14ac:dyDescent="0.3">
      <c r="A1681">
        <v>1680</v>
      </c>
      <c r="B1681">
        <v>7</v>
      </c>
      <c r="C1681">
        <v>6</v>
      </c>
      <c r="D1681" s="1">
        <v>42250</v>
      </c>
      <c r="E1681">
        <v>112</v>
      </c>
      <c r="F1681">
        <f>VLOOKUP(ORDERS[[#This Row],[ProductID]],Products[],4,FALSE)</f>
        <v>28</v>
      </c>
      <c r="G1681">
        <v>0</v>
      </c>
      <c r="H1681">
        <f>(ORDERS[[#This Row],[UnitsOrdered]]*ORDERS[[#This Row],[unit price]])-(ORDERS[[#This Row],[UnitsOrdered]]*ORDERS[[#This Row],[unit price]]*ORDERS[[#This Row],[Discount]])</f>
        <v>3136</v>
      </c>
      <c r="I1681" t="str">
        <f>VLOOKUP(ORDERS[[#This Row],[CustomerID]],customers[],2,FALSE)</f>
        <v>The Shirt on Your Back</v>
      </c>
      <c r="J1681" s="2" t="str">
        <f>VLOOKUP(ORDERS[[#This Row],[CustomerID]],customers[],4,FALSE)</f>
        <v>Bonners Ferry</v>
      </c>
      <c r="K1681" s="2" t="str">
        <f>VLOOKUP(ORDERS[[#This Row],[ProductID]],Products[],3,FALSE)</f>
        <v>Female</v>
      </c>
      <c r="L1681" s="2">
        <f>DAY(ORDERS[[#This Row],[OrderDate]])</f>
        <v>3</v>
      </c>
      <c r="M1681" s="2">
        <f>YEAR(ORDERS[[#This Row],[OrderDate]])</f>
        <v>2015</v>
      </c>
    </row>
    <row r="1682" spans="1:13" x14ac:dyDescent="0.3">
      <c r="A1682">
        <v>1681</v>
      </c>
      <c r="B1682">
        <v>1</v>
      </c>
      <c r="C1682">
        <v>9</v>
      </c>
      <c r="D1682" s="1">
        <v>42252</v>
      </c>
      <c r="E1682">
        <v>90</v>
      </c>
      <c r="F1682">
        <f>VLOOKUP(ORDERS[[#This Row],[ProductID]],Products[],4,FALSE)</f>
        <v>25</v>
      </c>
      <c r="G1682">
        <v>0</v>
      </c>
      <c r="H1682">
        <f>(ORDERS[[#This Row],[UnitsOrdered]]*ORDERS[[#This Row],[unit price]])-(ORDERS[[#This Row],[UnitsOrdered]]*ORDERS[[#This Row],[unit price]]*ORDERS[[#This Row],[Discount]])</f>
        <v>2250</v>
      </c>
      <c r="I1682" t="str">
        <f>VLOOKUP(ORDERS[[#This Row],[CustomerID]],customers[],2,FALSE)</f>
        <v>Threads</v>
      </c>
      <c r="J1682" s="2" t="str">
        <f>VLOOKUP(ORDERS[[#This Row],[CustomerID]],customers[],4,FALSE)</f>
        <v>Seattle</v>
      </c>
      <c r="K1682" s="2" t="str">
        <f>VLOOKUP(ORDERS[[#This Row],[ProductID]],Products[],3,FALSE)</f>
        <v>Male</v>
      </c>
      <c r="L1682" s="2">
        <f>DAY(ORDERS[[#This Row],[OrderDate]])</f>
        <v>5</v>
      </c>
      <c r="M1682" s="2">
        <f>YEAR(ORDERS[[#This Row],[OrderDate]])</f>
        <v>2015</v>
      </c>
    </row>
    <row r="1683" spans="1:13" x14ac:dyDescent="0.3">
      <c r="A1683">
        <v>1682</v>
      </c>
      <c r="B1683">
        <v>2</v>
      </c>
      <c r="C1683">
        <v>8</v>
      </c>
      <c r="D1683" s="1">
        <v>42253</v>
      </c>
      <c r="E1683">
        <v>65</v>
      </c>
      <c r="F1683">
        <f>VLOOKUP(ORDERS[[#This Row],[ProductID]],Products[],4,FALSE)</f>
        <v>27</v>
      </c>
      <c r="G1683">
        <v>5.0000001000000002E-2</v>
      </c>
      <c r="H1683">
        <f>(ORDERS[[#This Row],[UnitsOrdered]]*ORDERS[[#This Row],[unit price]])-(ORDERS[[#This Row],[UnitsOrdered]]*ORDERS[[#This Row],[unit price]]*ORDERS[[#This Row],[Discount]])</f>
        <v>1667.2499982449999</v>
      </c>
      <c r="I1683" t="str">
        <f>VLOOKUP(ORDERS[[#This Row],[CustomerID]],customers[],2,FALSE)</f>
        <v>A Shirts Life</v>
      </c>
      <c r="J1683" s="2" t="str">
        <f>VLOOKUP(ORDERS[[#This Row],[CustomerID]],customers[],4,FALSE)</f>
        <v>Portland</v>
      </c>
      <c r="K1683" s="2" t="str">
        <f>VLOOKUP(ORDERS[[#This Row],[ProductID]],Products[],3,FALSE)</f>
        <v>Female</v>
      </c>
      <c r="L1683" s="2">
        <f>DAY(ORDERS[[#This Row],[OrderDate]])</f>
        <v>6</v>
      </c>
      <c r="M1683" s="2">
        <f>YEAR(ORDERS[[#This Row],[OrderDate]])</f>
        <v>2015</v>
      </c>
    </row>
    <row r="1684" spans="1:13" x14ac:dyDescent="0.3">
      <c r="A1684">
        <v>1683</v>
      </c>
      <c r="B1684">
        <v>4</v>
      </c>
      <c r="C1684">
        <v>9</v>
      </c>
      <c r="D1684" s="1">
        <v>42254</v>
      </c>
      <c r="E1684">
        <v>147</v>
      </c>
      <c r="F1684">
        <f>VLOOKUP(ORDERS[[#This Row],[ProductID]],Products[],4,FALSE)</f>
        <v>25</v>
      </c>
      <c r="G1684">
        <v>5.0000001000000002E-2</v>
      </c>
      <c r="H1684">
        <f>(ORDERS[[#This Row],[UnitsOrdered]]*ORDERS[[#This Row],[unit price]])-(ORDERS[[#This Row],[UnitsOrdered]]*ORDERS[[#This Row],[unit price]]*ORDERS[[#This Row],[Discount]])</f>
        <v>3491.2499963250002</v>
      </c>
      <c r="I1684" t="str">
        <f>VLOOKUP(ORDERS[[#This Row],[CustomerID]],customers[],2,FALSE)</f>
        <v>Tshirt Unlimited</v>
      </c>
      <c r="J1684" s="2" t="str">
        <f>VLOOKUP(ORDERS[[#This Row],[CustomerID]],customers[],4,FALSE)</f>
        <v>Phoenix</v>
      </c>
      <c r="K1684" s="2" t="str">
        <f>VLOOKUP(ORDERS[[#This Row],[ProductID]],Products[],3,FALSE)</f>
        <v>Male</v>
      </c>
      <c r="L1684" s="2">
        <f>DAY(ORDERS[[#This Row],[OrderDate]])</f>
        <v>7</v>
      </c>
      <c r="M1684" s="2">
        <f>YEAR(ORDERS[[#This Row],[OrderDate]])</f>
        <v>2015</v>
      </c>
    </row>
    <row r="1685" spans="1:13" x14ac:dyDescent="0.3">
      <c r="A1685">
        <v>1684</v>
      </c>
      <c r="B1685">
        <v>7</v>
      </c>
      <c r="C1685">
        <v>9</v>
      </c>
      <c r="D1685" s="1">
        <v>42254</v>
      </c>
      <c r="E1685">
        <v>111</v>
      </c>
      <c r="F1685">
        <f>VLOOKUP(ORDERS[[#This Row],[ProductID]],Products[],4,FALSE)</f>
        <v>25</v>
      </c>
      <c r="G1685">
        <v>0.10000000100000001</v>
      </c>
      <c r="H1685">
        <f>(ORDERS[[#This Row],[UnitsOrdered]]*ORDERS[[#This Row],[unit price]])-(ORDERS[[#This Row],[UnitsOrdered]]*ORDERS[[#This Row],[unit price]]*ORDERS[[#This Row],[Discount]])</f>
        <v>2497.4999972249998</v>
      </c>
      <c r="I1685" t="str">
        <f>VLOOKUP(ORDERS[[#This Row],[CustomerID]],customers[],2,FALSE)</f>
        <v>The Shirt on Your Back</v>
      </c>
      <c r="J1685" s="2" t="str">
        <f>VLOOKUP(ORDERS[[#This Row],[CustomerID]],customers[],4,FALSE)</f>
        <v>Bonners Ferry</v>
      </c>
      <c r="K1685" s="2" t="str">
        <f>VLOOKUP(ORDERS[[#This Row],[ProductID]],Products[],3,FALSE)</f>
        <v>Male</v>
      </c>
      <c r="L1685" s="2">
        <f>DAY(ORDERS[[#This Row],[OrderDate]])</f>
        <v>7</v>
      </c>
      <c r="M1685" s="2">
        <f>YEAR(ORDERS[[#This Row],[OrderDate]])</f>
        <v>2015</v>
      </c>
    </row>
    <row r="1686" spans="1:13" x14ac:dyDescent="0.3">
      <c r="A1686">
        <v>1685</v>
      </c>
      <c r="B1686">
        <v>1</v>
      </c>
      <c r="C1686">
        <v>9</v>
      </c>
      <c r="D1686" s="1">
        <v>42255</v>
      </c>
      <c r="E1686">
        <v>53</v>
      </c>
      <c r="F1686">
        <f>VLOOKUP(ORDERS[[#This Row],[ProductID]],Products[],4,FALSE)</f>
        <v>25</v>
      </c>
      <c r="G1686">
        <v>0</v>
      </c>
      <c r="H1686">
        <f>(ORDERS[[#This Row],[UnitsOrdered]]*ORDERS[[#This Row],[unit price]])-(ORDERS[[#This Row],[UnitsOrdered]]*ORDERS[[#This Row],[unit price]]*ORDERS[[#This Row],[Discount]])</f>
        <v>1325</v>
      </c>
      <c r="I1686" t="str">
        <f>VLOOKUP(ORDERS[[#This Row],[CustomerID]],customers[],2,FALSE)</f>
        <v>Threads</v>
      </c>
      <c r="J1686" s="2" t="str">
        <f>VLOOKUP(ORDERS[[#This Row],[CustomerID]],customers[],4,FALSE)</f>
        <v>Seattle</v>
      </c>
      <c r="K1686" s="2" t="str">
        <f>VLOOKUP(ORDERS[[#This Row],[ProductID]],Products[],3,FALSE)</f>
        <v>Male</v>
      </c>
      <c r="L1686" s="2">
        <f>DAY(ORDERS[[#This Row],[OrderDate]])</f>
        <v>8</v>
      </c>
      <c r="M1686" s="2">
        <f>YEAR(ORDERS[[#This Row],[OrderDate]])</f>
        <v>2015</v>
      </c>
    </row>
    <row r="1687" spans="1:13" x14ac:dyDescent="0.3">
      <c r="A1687">
        <v>1686</v>
      </c>
      <c r="B1687">
        <v>2</v>
      </c>
      <c r="C1687">
        <v>5</v>
      </c>
      <c r="D1687" s="1">
        <v>42256</v>
      </c>
      <c r="E1687">
        <v>134</v>
      </c>
      <c r="F1687">
        <f>VLOOKUP(ORDERS[[#This Row],[ProductID]],Products[],4,FALSE)</f>
        <v>16</v>
      </c>
      <c r="G1687">
        <v>0</v>
      </c>
      <c r="H1687">
        <f>(ORDERS[[#This Row],[UnitsOrdered]]*ORDERS[[#This Row],[unit price]])-(ORDERS[[#This Row],[UnitsOrdered]]*ORDERS[[#This Row],[unit price]]*ORDERS[[#This Row],[Discount]])</f>
        <v>2144</v>
      </c>
      <c r="I1687" t="str">
        <f>VLOOKUP(ORDERS[[#This Row],[CustomerID]],customers[],2,FALSE)</f>
        <v>A Shirts Life</v>
      </c>
      <c r="J1687" s="2" t="str">
        <f>VLOOKUP(ORDERS[[#This Row],[CustomerID]],customers[],4,FALSE)</f>
        <v>Portland</v>
      </c>
      <c r="K1687" s="2" t="str">
        <f>VLOOKUP(ORDERS[[#This Row],[ProductID]],Products[],3,FALSE)</f>
        <v>Female</v>
      </c>
      <c r="L1687" s="2">
        <f>DAY(ORDERS[[#This Row],[OrderDate]])</f>
        <v>9</v>
      </c>
      <c r="M1687" s="2">
        <f>YEAR(ORDERS[[#This Row],[OrderDate]])</f>
        <v>2015</v>
      </c>
    </row>
    <row r="1688" spans="1:13" x14ac:dyDescent="0.3">
      <c r="A1688">
        <v>1687</v>
      </c>
      <c r="B1688">
        <v>6</v>
      </c>
      <c r="C1688">
        <v>3</v>
      </c>
      <c r="D1688" s="1">
        <v>42256</v>
      </c>
      <c r="E1688">
        <v>55</v>
      </c>
      <c r="F1688">
        <f>VLOOKUP(ORDERS[[#This Row],[ProductID]],Products[],4,FALSE)</f>
        <v>22</v>
      </c>
      <c r="G1688">
        <v>0</v>
      </c>
      <c r="H1688">
        <f>(ORDERS[[#This Row],[UnitsOrdered]]*ORDERS[[#This Row],[unit price]])-(ORDERS[[#This Row],[UnitsOrdered]]*ORDERS[[#This Row],[unit price]]*ORDERS[[#This Row],[Discount]])</f>
        <v>1210</v>
      </c>
      <c r="I1688" t="str">
        <f>VLOOKUP(ORDERS[[#This Row],[CustomerID]],customers[],2,FALSE)</f>
        <v>Abracadaba Ink</v>
      </c>
      <c r="J1688" s="2" t="str">
        <f>VLOOKUP(ORDERS[[#This Row],[CustomerID]],customers[],4,FALSE)</f>
        <v>Salt Lake City</v>
      </c>
      <c r="K1688" s="2" t="str">
        <f>VLOOKUP(ORDERS[[#This Row],[ProductID]],Products[],3,FALSE)</f>
        <v>Both</v>
      </c>
      <c r="L1688" s="2">
        <f>DAY(ORDERS[[#This Row],[OrderDate]])</f>
        <v>9</v>
      </c>
      <c r="M1688" s="2">
        <f>YEAR(ORDERS[[#This Row],[OrderDate]])</f>
        <v>2015</v>
      </c>
    </row>
    <row r="1689" spans="1:13" x14ac:dyDescent="0.3">
      <c r="A1689">
        <v>1688</v>
      </c>
      <c r="B1689">
        <v>3</v>
      </c>
      <c r="C1689">
        <v>4</v>
      </c>
      <c r="D1689" s="1">
        <v>42257</v>
      </c>
      <c r="E1689">
        <v>142</v>
      </c>
      <c r="F1689">
        <f>VLOOKUP(ORDERS[[#This Row],[ProductID]],Products[],4,FALSE)</f>
        <v>30</v>
      </c>
      <c r="G1689">
        <v>0</v>
      </c>
      <c r="H1689">
        <f>(ORDERS[[#This Row],[UnitsOrdered]]*ORDERS[[#This Row],[unit price]])-(ORDERS[[#This Row],[UnitsOrdered]]*ORDERS[[#This Row],[unit price]]*ORDERS[[#This Row],[Discount]])</f>
        <v>4260</v>
      </c>
      <c r="I1689" t="str">
        <f>VLOOKUP(ORDERS[[#This Row],[CustomerID]],customers[],2,FALSE)</f>
        <v>Shirts R Us</v>
      </c>
      <c r="J1689" s="2" t="str">
        <f>VLOOKUP(ORDERS[[#This Row],[CustomerID]],customers[],4,FALSE)</f>
        <v>Los Angeles</v>
      </c>
      <c r="K1689" s="2" t="str">
        <f>VLOOKUP(ORDERS[[#This Row],[ProductID]],Products[],3,FALSE)</f>
        <v>Both</v>
      </c>
      <c r="L1689" s="2">
        <f>DAY(ORDERS[[#This Row],[OrderDate]])</f>
        <v>10</v>
      </c>
      <c r="M1689" s="2">
        <f>YEAR(ORDERS[[#This Row],[OrderDate]])</f>
        <v>2015</v>
      </c>
    </row>
    <row r="1690" spans="1:13" x14ac:dyDescent="0.3">
      <c r="A1690">
        <v>1689</v>
      </c>
      <c r="B1690">
        <v>2</v>
      </c>
      <c r="C1690">
        <v>10</v>
      </c>
      <c r="D1690" s="1">
        <v>42259</v>
      </c>
      <c r="E1690">
        <v>108</v>
      </c>
      <c r="F1690">
        <f>VLOOKUP(ORDERS[[#This Row],[ProductID]],Products[],4,FALSE)</f>
        <v>35</v>
      </c>
      <c r="G1690">
        <v>5.0000001000000002E-2</v>
      </c>
      <c r="H1690">
        <f>(ORDERS[[#This Row],[UnitsOrdered]]*ORDERS[[#This Row],[unit price]])-(ORDERS[[#This Row],[UnitsOrdered]]*ORDERS[[#This Row],[unit price]]*ORDERS[[#This Row],[Discount]])</f>
        <v>3590.99999622</v>
      </c>
      <c r="I1690" t="str">
        <f>VLOOKUP(ORDERS[[#This Row],[CustomerID]],customers[],2,FALSE)</f>
        <v>A Shirts Life</v>
      </c>
      <c r="J1690" s="2" t="str">
        <f>VLOOKUP(ORDERS[[#This Row],[CustomerID]],customers[],4,FALSE)</f>
        <v>Portland</v>
      </c>
      <c r="K1690" s="2" t="str">
        <f>VLOOKUP(ORDERS[[#This Row],[ProductID]],Products[],3,FALSE)</f>
        <v>Male</v>
      </c>
      <c r="L1690" s="2">
        <f>DAY(ORDERS[[#This Row],[OrderDate]])</f>
        <v>12</v>
      </c>
      <c r="M1690" s="2">
        <f>YEAR(ORDERS[[#This Row],[OrderDate]])</f>
        <v>2015</v>
      </c>
    </row>
    <row r="1691" spans="1:13" x14ac:dyDescent="0.3">
      <c r="A1691">
        <v>1690</v>
      </c>
      <c r="B1691">
        <v>4</v>
      </c>
      <c r="C1691">
        <v>10</v>
      </c>
      <c r="D1691" s="1">
        <v>42259</v>
      </c>
      <c r="E1691">
        <v>107</v>
      </c>
      <c r="F1691">
        <f>VLOOKUP(ORDERS[[#This Row],[ProductID]],Products[],4,FALSE)</f>
        <v>35</v>
      </c>
      <c r="G1691">
        <v>0</v>
      </c>
      <c r="H1691">
        <f>(ORDERS[[#This Row],[UnitsOrdered]]*ORDERS[[#This Row],[unit price]])-(ORDERS[[#This Row],[UnitsOrdered]]*ORDERS[[#This Row],[unit price]]*ORDERS[[#This Row],[Discount]])</f>
        <v>3745</v>
      </c>
      <c r="I1691" t="str">
        <f>VLOOKUP(ORDERS[[#This Row],[CustomerID]],customers[],2,FALSE)</f>
        <v>Tshirt Unlimited</v>
      </c>
      <c r="J1691" s="2" t="str">
        <f>VLOOKUP(ORDERS[[#This Row],[CustomerID]],customers[],4,FALSE)</f>
        <v>Phoenix</v>
      </c>
      <c r="K1691" s="2" t="str">
        <f>VLOOKUP(ORDERS[[#This Row],[ProductID]],Products[],3,FALSE)</f>
        <v>Male</v>
      </c>
      <c r="L1691" s="2">
        <f>DAY(ORDERS[[#This Row],[OrderDate]])</f>
        <v>12</v>
      </c>
      <c r="M1691" s="2">
        <f>YEAR(ORDERS[[#This Row],[OrderDate]])</f>
        <v>2015</v>
      </c>
    </row>
    <row r="1692" spans="1:13" x14ac:dyDescent="0.3">
      <c r="A1692">
        <v>1691</v>
      </c>
      <c r="B1692">
        <v>7</v>
      </c>
      <c r="C1692">
        <v>3</v>
      </c>
      <c r="D1692" s="1">
        <v>42259</v>
      </c>
      <c r="E1692">
        <v>54</v>
      </c>
      <c r="F1692">
        <f>VLOOKUP(ORDERS[[#This Row],[ProductID]],Products[],4,FALSE)</f>
        <v>22</v>
      </c>
      <c r="G1692">
        <v>0</v>
      </c>
      <c r="H1692">
        <f>(ORDERS[[#This Row],[UnitsOrdered]]*ORDERS[[#This Row],[unit price]])-(ORDERS[[#This Row],[UnitsOrdered]]*ORDERS[[#This Row],[unit price]]*ORDERS[[#This Row],[Discount]])</f>
        <v>1188</v>
      </c>
      <c r="I1692" t="str">
        <f>VLOOKUP(ORDERS[[#This Row],[CustomerID]],customers[],2,FALSE)</f>
        <v>The Shirt on Your Back</v>
      </c>
      <c r="J1692" s="2" t="str">
        <f>VLOOKUP(ORDERS[[#This Row],[CustomerID]],customers[],4,FALSE)</f>
        <v>Bonners Ferry</v>
      </c>
      <c r="K1692" s="2" t="str">
        <f>VLOOKUP(ORDERS[[#This Row],[ProductID]],Products[],3,FALSE)</f>
        <v>Both</v>
      </c>
      <c r="L1692" s="2">
        <f>DAY(ORDERS[[#This Row],[OrderDate]])</f>
        <v>12</v>
      </c>
      <c r="M1692" s="2">
        <f>YEAR(ORDERS[[#This Row],[OrderDate]])</f>
        <v>2015</v>
      </c>
    </row>
    <row r="1693" spans="1:13" x14ac:dyDescent="0.3">
      <c r="A1693">
        <v>1692</v>
      </c>
      <c r="B1693">
        <v>7</v>
      </c>
      <c r="C1693">
        <v>9</v>
      </c>
      <c r="D1693" s="1">
        <v>42259</v>
      </c>
      <c r="E1693">
        <v>126</v>
      </c>
      <c r="F1693">
        <f>VLOOKUP(ORDERS[[#This Row],[ProductID]],Products[],4,FALSE)</f>
        <v>25</v>
      </c>
      <c r="G1693">
        <v>0</v>
      </c>
      <c r="H1693">
        <f>(ORDERS[[#This Row],[UnitsOrdered]]*ORDERS[[#This Row],[unit price]])-(ORDERS[[#This Row],[UnitsOrdered]]*ORDERS[[#This Row],[unit price]]*ORDERS[[#This Row],[Discount]])</f>
        <v>3150</v>
      </c>
      <c r="I1693" t="str">
        <f>VLOOKUP(ORDERS[[#This Row],[CustomerID]],customers[],2,FALSE)</f>
        <v>The Shirt on Your Back</v>
      </c>
      <c r="J1693" s="2" t="str">
        <f>VLOOKUP(ORDERS[[#This Row],[CustomerID]],customers[],4,FALSE)</f>
        <v>Bonners Ferry</v>
      </c>
      <c r="K1693" s="2" t="str">
        <f>VLOOKUP(ORDERS[[#This Row],[ProductID]],Products[],3,FALSE)</f>
        <v>Male</v>
      </c>
      <c r="L1693" s="2">
        <f>DAY(ORDERS[[#This Row],[OrderDate]])</f>
        <v>12</v>
      </c>
      <c r="M1693" s="2">
        <f>YEAR(ORDERS[[#This Row],[OrderDate]])</f>
        <v>2015</v>
      </c>
    </row>
    <row r="1694" spans="1:13" x14ac:dyDescent="0.3">
      <c r="A1694">
        <v>1693</v>
      </c>
      <c r="B1694">
        <v>2</v>
      </c>
      <c r="C1694">
        <v>8</v>
      </c>
      <c r="D1694" s="1">
        <v>42260</v>
      </c>
      <c r="E1694">
        <v>94</v>
      </c>
      <c r="F1694">
        <f>VLOOKUP(ORDERS[[#This Row],[ProductID]],Products[],4,FALSE)</f>
        <v>27</v>
      </c>
      <c r="G1694">
        <v>0</v>
      </c>
      <c r="H1694">
        <f>(ORDERS[[#This Row],[UnitsOrdered]]*ORDERS[[#This Row],[unit price]])-(ORDERS[[#This Row],[UnitsOrdered]]*ORDERS[[#This Row],[unit price]]*ORDERS[[#This Row],[Discount]])</f>
        <v>2538</v>
      </c>
      <c r="I1694" t="str">
        <f>VLOOKUP(ORDERS[[#This Row],[CustomerID]],customers[],2,FALSE)</f>
        <v>A Shirts Life</v>
      </c>
      <c r="J1694" s="2" t="str">
        <f>VLOOKUP(ORDERS[[#This Row],[CustomerID]],customers[],4,FALSE)</f>
        <v>Portland</v>
      </c>
      <c r="K1694" s="2" t="str">
        <f>VLOOKUP(ORDERS[[#This Row],[ProductID]],Products[],3,FALSE)</f>
        <v>Female</v>
      </c>
      <c r="L1694" s="2">
        <f>DAY(ORDERS[[#This Row],[OrderDate]])</f>
        <v>13</v>
      </c>
      <c r="M1694" s="2">
        <f>YEAR(ORDERS[[#This Row],[OrderDate]])</f>
        <v>2015</v>
      </c>
    </row>
    <row r="1695" spans="1:13" x14ac:dyDescent="0.3">
      <c r="A1695">
        <v>1694</v>
      </c>
      <c r="B1695">
        <v>2</v>
      </c>
      <c r="C1695">
        <v>2</v>
      </c>
      <c r="D1695" s="1">
        <v>42261</v>
      </c>
      <c r="E1695">
        <v>45</v>
      </c>
      <c r="F1695">
        <f>VLOOKUP(ORDERS[[#This Row],[ProductID]],Products[],4,FALSE)</f>
        <v>30</v>
      </c>
      <c r="G1695">
        <v>0</v>
      </c>
      <c r="H1695">
        <f>(ORDERS[[#This Row],[UnitsOrdered]]*ORDERS[[#This Row],[unit price]])-(ORDERS[[#This Row],[UnitsOrdered]]*ORDERS[[#This Row],[unit price]]*ORDERS[[#This Row],[Discount]])</f>
        <v>1350</v>
      </c>
      <c r="I1695" t="str">
        <f>VLOOKUP(ORDERS[[#This Row],[CustomerID]],customers[],2,FALSE)</f>
        <v>A Shirts Life</v>
      </c>
      <c r="J1695" s="2" t="str">
        <f>VLOOKUP(ORDERS[[#This Row],[CustomerID]],customers[],4,FALSE)</f>
        <v>Portland</v>
      </c>
      <c r="K1695" s="2" t="str">
        <f>VLOOKUP(ORDERS[[#This Row],[ProductID]],Products[],3,FALSE)</f>
        <v>Both</v>
      </c>
      <c r="L1695" s="2">
        <f>DAY(ORDERS[[#This Row],[OrderDate]])</f>
        <v>14</v>
      </c>
      <c r="M1695" s="2">
        <f>YEAR(ORDERS[[#This Row],[OrderDate]])</f>
        <v>2015</v>
      </c>
    </row>
    <row r="1696" spans="1:13" x14ac:dyDescent="0.3">
      <c r="A1696">
        <v>1695</v>
      </c>
      <c r="B1696">
        <v>7</v>
      </c>
      <c r="C1696">
        <v>7</v>
      </c>
      <c r="D1696" s="1">
        <v>42261</v>
      </c>
      <c r="E1696">
        <v>148</v>
      </c>
      <c r="F1696">
        <f>VLOOKUP(ORDERS[[#This Row],[ProductID]],Products[],4,FALSE)</f>
        <v>38</v>
      </c>
      <c r="G1696">
        <v>0.10000000100000001</v>
      </c>
      <c r="H1696">
        <f>(ORDERS[[#This Row],[UnitsOrdered]]*ORDERS[[#This Row],[unit price]])-(ORDERS[[#This Row],[UnitsOrdered]]*ORDERS[[#This Row],[unit price]]*ORDERS[[#This Row],[Discount]])</f>
        <v>5061.5999943759998</v>
      </c>
      <c r="I1696" t="str">
        <f>VLOOKUP(ORDERS[[#This Row],[CustomerID]],customers[],2,FALSE)</f>
        <v>The Shirt on Your Back</v>
      </c>
      <c r="J1696" s="2" t="str">
        <f>VLOOKUP(ORDERS[[#This Row],[CustomerID]],customers[],4,FALSE)</f>
        <v>Bonners Ferry</v>
      </c>
      <c r="K1696" s="2" t="str">
        <f>VLOOKUP(ORDERS[[#This Row],[ProductID]],Products[],3,FALSE)</f>
        <v>Female</v>
      </c>
      <c r="L1696" s="2">
        <f>DAY(ORDERS[[#This Row],[OrderDate]])</f>
        <v>14</v>
      </c>
      <c r="M1696" s="2">
        <f>YEAR(ORDERS[[#This Row],[OrderDate]])</f>
        <v>2015</v>
      </c>
    </row>
    <row r="1697" spans="1:13" x14ac:dyDescent="0.3">
      <c r="A1697">
        <v>1696</v>
      </c>
      <c r="B1697">
        <v>1</v>
      </c>
      <c r="C1697">
        <v>6</v>
      </c>
      <c r="D1697" s="1">
        <v>42262</v>
      </c>
      <c r="E1697">
        <v>87</v>
      </c>
      <c r="F1697">
        <f>VLOOKUP(ORDERS[[#This Row],[ProductID]],Products[],4,FALSE)</f>
        <v>28</v>
      </c>
      <c r="G1697">
        <v>0</v>
      </c>
      <c r="H1697">
        <f>(ORDERS[[#This Row],[UnitsOrdered]]*ORDERS[[#This Row],[unit price]])-(ORDERS[[#This Row],[UnitsOrdered]]*ORDERS[[#This Row],[unit price]]*ORDERS[[#This Row],[Discount]])</f>
        <v>2436</v>
      </c>
      <c r="I1697" t="str">
        <f>VLOOKUP(ORDERS[[#This Row],[CustomerID]],customers[],2,FALSE)</f>
        <v>Threads</v>
      </c>
      <c r="J1697" s="2" t="str">
        <f>VLOOKUP(ORDERS[[#This Row],[CustomerID]],customers[],4,FALSE)</f>
        <v>Seattle</v>
      </c>
      <c r="K1697" s="2" t="str">
        <f>VLOOKUP(ORDERS[[#This Row],[ProductID]],Products[],3,FALSE)</f>
        <v>Female</v>
      </c>
      <c r="L1697" s="2">
        <f>DAY(ORDERS[[#This Row],[OrderDate]])</f>
        <v>15</v>
      </c>
      <c r="M1697" s="2">
        <f>YEAR(ORDERS[[#This Row],[OrderDate]])</f>
        <v>2015</v>
      </c>
    </row>
    <row r="1698" spans="1:13" x14ac:dyDescent="0.3">
      <c r="A1698">
        <v>1697</v>
      </c>
      <c r="B1698">
        <v>1</v>
      </c>
      <c r="C1698">
        <v>1</v>
      </c>
      <c r="D1698" s="1">
        <v>42263</v>
      </c>
      <c r="E1698">
        <v>136</v>
      </c>
      <c r="F1698">
        <f>VLOOKUP(ORDERS[[#This Row],[ProductID]],Products[],4,FALSE)</f>
        <v>20</v>
      </c>
      <c r="G1698">
        <v>0</v>
      </c>
      <c r="H1698">
        <f>(ORDERS[[#This Row],[UnitsOrdered]]*ORDERS[[#This Row],[unit price]])-(ORDERS[[#This Row],[UnitsOrdered]]*ORDERS[[#This Row],[unit price]]*ORDERS[[#This Row],[Discount]])</f>
        <v>2720</v>
      </c>
      <c r="I1698" t="str">
        <f>VLOOKUP(ORDERS[[#This Row],[CustomerID]],customers[],2,FALSE)</f>
        <v>Threads</v>
      </c>
      <c r="J1698" s="2" t="str">
        <f>VLOOKUP(ORDERS[[#This Row],[CustomerID]],customers[],4,FALSE)</f>
        <v>Seattle</v>
      </c>
      <c r="K1698" s="2" t="str">
        <f>VLOOKUP(ORDERS[[#This Row],[ProductID]],Products[],3,FALSE)</f>
        <v>Both</v>
      </c>
      <c r="L1698" s="2">
        <f>DAY(ORDERS[[#This Row],[OrderDate]])</f>
        <v>16</v>
      </c>
      <c r="M1698" s="2">
        <f>YEAR(ORDERS[[#This Row],[OrderDate]])</f>
        <v>2015</v>
      </c>
    </row>
    <row r="1699" spans="1:13" x14ac:dyDescent="0.3">
      <c r="A1699">
        <v>1698</v>
      </c>
      <c r="B1699">
        <v>4</v>
      </c>
      <c r="C1699">
        <v>1</v>
      </c>
      <c r="D1699" s="1">
        <v>42263</v>
      </c>
      <c r="E1699">
        <v>112</v>
      </c>
      <c r="F1699">
        <f>VLOOKUP(ORDERS[[#This Row],[ProductID]],Products[],4,FALSE)</f>
        <v>20</v>
      </c>
      <c r="G1699">
        <v>0</v>
      </c>
      <c r="H1699">
        <f>(ORDERS[[#This Row],[UnitsOrdered]]*ORDERS[[#This Row],[unit price]])-(ORDERS[[#This Row],[UnitsOrdered]]*ORDERS[[#This Row],[unit price]]*ORDERS[[#This Row],[Discount]])</f>
        <v>2240</v>
      </c>
      <c r="I1699" t="str">
        <f>VLOOKUP(ORDERS[[#This Row],[CustomerID]],customers[],2,FALSE)</f>
        <v>Tshirt Unlimited</v>
      </c>
      <c r="J1699" s="2" t="str">
        <f>VLOOKUP(ORDERS[[#This Row],[CustomerID]],customers[],4,FALSE)</f>
        <v>Phoenix</v>
      </c>
      <c r="K1699" s="2" t="str">
        <f>VLOOKUP(ORDERS[[#This Row],[ProductID]],Products[],3,FALSE)</f>
        <v>Both</v>
      </c>
      <c r="L1699" s="2">
        <f>DAY(ORDERS[[#This Row],[OrderDate]])</f>
        <v>16</v>
      </c>
      <c r="M1699" s="2">
        <f>YEAR(ORDERS[[#This Row],[OrderDate]])</f>
        <v>2015</v>
      </c>
    </row>
    <row r="1700" spans="1:13" x14ac:dyDescent="0.3">
      <c r="A1700">
        <v>1699</v>
      </c>
      <c r="B1700">
        <v>7</v>
      </c>
      <c r="C1700">
        <v>5</v>
      </c>
      <c r="D1700" s="1">
        <v>42263</v>
      </c>
      <c r="E1700">
        <v>58</v>
      </c>
      <c r="F1700">
        <f>VLOOKUP(ORDERS[[#This Row],[ProductID]],Products[],4,FALSE)</f>
        <v>16</v>
      </c>
      <c r="G1700">
        <v>0</v>
      </c>
      <c r="H1700">
        <f>(ORDERS[[#This Row],[UnitsOrdered]]*ORDERS[[#This Row],[unit price]])-(ORDERS[[#This Row],[UnitsOrdered]]*ORDERS[[#This Row],[unit price]]*ORDERS[[#This Row],[Discount]])</f>
        <v>928</v>
      </c>
      <c r="I1700" t="str">
        <f>VLOOKUP(ORDERS[[#This Row],[CustomerID]],customers[],2,FALSE)</f>
        <v>The Shirt on Your Back</v>
      </c>
      <c r="J1700" s="2" t="str">
        <f>VLOOKUP(ORDERS[[#This Row],[CustomerID]],customers[],4,FALSE)</f>
        <v>Bonners Ferry</v>
      </c>
      <c r="K1700" s="2" t="str">
        <f>VLOOKUP(ORDERS[[#This Row],[ProductID]],Products[],3,FALSE)</f>
        <v>Female</v>
      </c>
      <c r="L1700" s="2">
        <f>DAY(ORDERS[[#This Row],[OrderDate]])</f>
        <v>16</v>
      </c>
      <c r="M1700" s="2">
        <f>YEAR(ORDERS[[#This Row],[OrderDate]])</f>
        <v>2015</v>
      </c>
    </row>
    <row r="1701" spans="1:13" x14ac:dyDescent="0.3">
      <c r="A1701">
        <v>1700</v>
      </c>
      <c r="B1701">
        <v>5</v>
      </c>
      <c r="C1701">
        <v>5</v>
      </c>
      <c r="D1701" s="1">
        <v>42264</v>
      </c>
      <c r="E1701">
        <v>41</v>
      </c>
      <c r="F1701">
        <f>VLOOKUP(ORDERS[[#This Row],[ProductID]],Products[],4,FALSE)</f>
        <v>16</v>
      </c>
      <c r="G1701">
        <v>0</v>
      </c>
      <c r="H1701">
        <f>(ORDERS[[#This Row],[UnitsOrdered]]*ORDERS[[#This Row],[unit price]])-(ORDERS[[#This Row],[UnitsOrdered]]*ORDERS[[#This Row],[unit price]]*ORDERS[[#This Row],[Discount]])</f>
        <v>656</v>
      </c>
      <c r="I1701" t="str">
        <f>VLOOKUP(ORDERS[[#This Row],[CustomerID]],customers[],2,FALSE)</f>
        <v>Rags to Riches</v>
      </c>
      <c r="J1701" s="2" t="str">
        <f>VLOOKUP(ORDERS[[#This Row],[CustomerID]],customers[],4,FALSE)</f>
        <v>Las Vegas</v>
      </c>
      <c r="K1701" s="2" t="str">
        <f>VLOOKUP(ORDERS[[#This Row],[ProductID]],Products[],3,FALSE)</f>
        <v>Female</v>
      </c>
      <c r="L1701" s="2">
        <f>DAY(ORDERS[[#This Row],[OrderDate]])</f>
        <v>17</v>
      </c>
      <c r="M1701" s="2">
        <f>YEAR(ORDERS[[#This Row],[OrderDate]])</f>
        <v>2015</v>
      </c>
    </row>
    <row r="1702" spans="1:13" x14ac:dyDescent="0.3">
      <c r="A1702">
        <v>1701</v>
      </c>
      <c r="B1702">
        <v>5</v>
      </c>
      <c r="C1702">
        <v>8</v>
      </c>
      <c r="D1702" s="1">
        <v>42264</v>
      </c>
      <c r="E1702">
        <v>74</v>
      </c>
      <c r="F1702">
        <f>VLOOKUP(ORDERS[[#This Row],[ProductID]],Products[],4,FALSE)</f>
        <v>27</v>
      </c>
      <c r="G1702">
        <v>0</v>
      </c>
      <c r="H1702">
        <f>(ORDERS[[#This Row],[UnitsOrdered]]*ORDERS[[#This Row],[unit price]])-(ORDERS[[#This Row],[UnitsOrdered]]*ORDERS[[#This Row],[unit price]]*ORDERS[[#This Row],[Discount]])</f>
        <v>1998</v>
      </c>
      <c r="I1702" t="str">
        <f>VLOOKUP(ORDERS[[#This Row],[CustomerID]],customers[],2,FALSE)</f>
        <v>Rags to Riches</v>
      </c>
      <c r="J1702" s="2" t="str">
        <f>VLOOKUP(ORDERS[[#This Row],[CustomerID]],customers[],4,FALSE)</f>
        <v>Las Vegas</v>
      </c>
      <c r="K1702" s="2" t="str">
        <f>VLOOKUP(ORDERS[[#This Row],[ProductID]],Products[],3,FALSE)</f>
        <v>Female</v>
      </c>
      <c r="L1702" s="2">
        <f>DAY(ORDERS[[#This Row],[OrderDate]])</f>
        <v>17</v>
      </c>
      <c r="M1702" s="2">
        <f>YEAR(ORDERS[[#This Row],[OrderDate]])</f>
        <v>2015</v>
      </c>
    </row>
    <row r="1703" spans="1:13" x14ac:dyDescent="0.3">
      <c r="A1703">
        <v>1702</v>
      </c>
      <c r="B1703">
        <v>3</v>
      </c>
      <c r="C1703">
        <v>6</v>
      </c>
      <c r="D1703" s="1">
        <v>42266</v>
      </c>
      <c r="E1703">
        <v>117</v>
      </c>
      <c r="F1703">
        <f>VLOOKUP(ORDERS[[#This Row],[ProductID]],Products[],4,FALSE)</f>
        <v>28</v>
      </c>
      <c r="G1703">
        <v>0</v>
      </c>
      <c r="H1703">
        <f>(ORDERS[[#This Row],[UnitsOrdered]]*ORDERS[[#This Row],[unit price]])-(ORDERS[[#This Row],[UnitsOrdered]]*ORDERS[[#This Row],[unit price]]*ORDERS[[#This Row],[Discount]])</f>
        <v>3276</v>
      </c>
      <c r="I1703" t="str">
        <f>VLOOKUP(ORDERS[[#This Row],[CustomerID]],customers[],2,FALSE)</f>
        <v>Shirts R Us</v>
      </c>
      <c r="J1703" s="2" t="str">
        <f>VLOOKUP(ORDERS[[#This Row],[CustomerID]],customers[],4,FALSE)</f>
        <v>Los Angeles</v>
      </c>
      <c r="K1703" s="2" t="str">
        <f>VLOOKUP(ORDERS[[#This Row],[ProductID]],Products[],3,FALSE)</f>
        <v>Female</v>
      </c>
      <c r="L1703" s="2">
        <f>DAY(ORDERS[[#This Row],[OrderDate]])</f>
        <v>19</v>
      </c>
      <c r="M1703" s="2">
        <f>YEAR(ORDERS[[#This Row],[OrderDate]])</f>
        <v>2015</v>
      </c>
    </row>
    <row r="1704" spans="1:13" x14ac:dyDescent="0.3">
      <c r="A1704">
        <v>1703</v>
      </c>
      <c r="B1704">
        <v>4</v>
      </c>
      <c r="C1704">
        <v>5</v>
      </c>
      <c r="D1704" s="1">
        <v>42267</v>
      </c>
      <c r="E1704">
        <v>109</v>
      </c>
      <c r="F1704">
        <f>VLOOKUP(ORDERS[[#This Row],[ProductID]],Products[],4,FALSE)</f>
        <v>16</v>
      </c>
      <c r="G1704">
        <v>0.10000000100000001</v>
      </c>
      <c r="H1704">
        <f>(ORDERS[[#This Row],[UnitsOrdered]]*ORDERS[[#This Row],[unit price]])-(ORDERS[[#This Row],[UnitsOrdered]]*ORDERS[[#This Row],[unit price]]*ORDERS[[#This Row],[Discount]])</f>
        <v>1569.5999982559999</v>
      </c>
      <c r="I1704" t="str">
        <f>VLOOKUP(ORDERS[[#This Row],[CustomerID]],customers[],2,FALSE)</f>
        <v>Tshirt Unlimited</v>
      </c>
      <c r="J1704" s="2" t="str">
        <f>VLOOKUP(ORDERS[[#This Row],[CustomerID]],customers[],4,FALSE)</f>
        <v>Phoenix</v>
      </c>
      <c r="K1704" s="2" t="str">
        <f>VLOOKUP(ORDERS[[#This Row],[ProductID]],Products[],3,FALSE)</f>
        <v>Female</v>
      </c>
      <c r="L1704" s="2">
        <f>DAY(ORDERS[[#This Row],[OrderDate]])</f>
        <v>20</v>
      </c>
      <c r="M1704" s="2">
        <f>YEAR(ORDERS[[#This Row],[OrderDate]])</f>
        <v>2015</v>
      </c>
    </row>
    <row r="1705" spans="1:13" x14ac:dyDescent="0.3">
      <c r="A1705">
        <v>1704</v>
      </c>
      <c r="B1705">
        <v>2</v>
      </c>
      <c r="C1705">
        <v>2</v>
      </c>
      <c r="D1705" s="1">
        <v>42268</v>
      </c>
      <c r="E1705">
        <v>122</v>
      </c>
      <c r="F1705">
        <f>VLOOKUP(ORDERS[[#This Row],[ProductID]],Products[],4,FALSE)</f>
        <v>30</v>
      </c>
      <c r="G1705">
        <v>0</v>
      </c>
      <c r="H1705">
        <f>(ORDERS[[#This Row],[UnitsOrdered]]*ORDERS[[#This Row],[unit price]])-(ORDERS[[#This Row],[UnitsOrdered]]*ORDERS[[#This Row],[unit price]]*ORDERS[[#This Row],[Discount]])</f>
        <v>3660</v>
      </c>
      <c r="I1705" t="str">
        <f>VLOOKUP(ORDERS[[#This Row],[CustomerID]],customers[],2,FALSE)</f>
        <v>A Shirts Life</v>
      </c>
      <c r="J1705" s="2" t="str">
        <f>VLOOKUP(ORDERS[[#This Row],[CustomerID]],customers[],4,FALSE)</f>
        <v>Portland</v>
      </c>
      <c r="K1705" s="2" t="str">
        <f>VLOOKUP(ORDERS[[#This Row],[ProductID]],Products[],3,FALSE)</f>
        <v>Both</v>
      </c>
      <c r="L1705" s="2">
        <f>DAY(ORDERS[[#This Row],[OrderDate]])</f>
        <v>21</v>
      </c>
      <c r="M1705" s="2">
        <f>YEAR(ORDERS[[#This Row],[OrderDate]])</f>
        <v>2015</v>
      </c>
    </row>
    <row r="1706" spans="1:13" x14ac:dyDescent="0.3">
      <c r="A1706">
        <v>1705</v>
      </c>
      <c r="B1706">
        <v>4</v>
      </c>
      <c r="C1706">
        <v>3</v>
      </c>
      <c r="D1706" s="1">
        <v>42268</v>
      </c>
      <c r="E1706">
        <v>122</v>
      </c>
      <c r="F1706">
        <f>VLOOKUP(ORDERS[[#This Row],[ProductID]],Products[],4,FALSE)</f>
        <v>22</v>
      </c>
      <c r="G1706">
        <v>0</v>
      </c>
      <c r="H1706">
        <f>(ORDERS[[#This Row],[UnitsOrdered]]*ORDERS[[#This Row],[unit price]])-(ORDERS[[#This Row],[UnitsOrdered]]*ORDERS[[#This Row],[unit price]]*ORDERS[[#This Row],[Discount]])</f>
        <v>2684</v>
      </c>
      <c r="I1706" t="str">
        <f>VLOOKUP(ORDERS[[#This Row],[CustomerID]],customers[],2,FALSE)</f>
        <v>Tshirt Unlimited</v>
      </c>
      <c r="J1706" s="2" t="str">
        <f>VLOOKUP(ORDERS[[#This Row],[CustomerID]],customers[],4,FALSE)</f>
        <v>Phoenix</v>
      </c>
      <c r="K1706" s="2" t="str">
        <f>VLOOKUP(ORDERS[[#This Row],[ProductID]],Products[],3,FALSE)</f>
        <v>Both</v>
      </c>
      <c r="L1706" s="2">
        <f>DAY(ORDERS[[#This Row],[OrderDate]])</f>
        <v>21</v>
      </c>
      <c r="M1706" s="2">
        <f>YEAR(ORDERS[[#This Row],[OrderDate]])</f>
        <v>2015</v>
      </c>
    </row>
    <row r="1707" spans="1:13" x14ac:dyDescent="0.3">
      <c r="A1707">
        <v>1706</v>
      </c>
      <c r="B1707">
        <v>5</v>
      </c>
      <c r="C1707">
        <v>6</v>
      </c>
      <c r="D1707" s="1">
        <v>42268</v>
      </c>
      <c r="E1707">
        <v>82</v>
      </c>
      <c r="F1707">
        <f>VLOOKUP(ORDERS[[#This Row],[ProductID]],Products[],4,FALSE)</f>
        <v>28</v>
      </c>
      <c r="G1707">
        <v>0</v>
      </c>
      <c r="H1707">
        <f>(ORDERS[[#This Row],[UnitsOrdered]]*ORDERS[[#This Row],[unit price]])-(ORDERS[[#This Row],[UnitsOrdered]]*ORDERS[[#This Row],[unit price]]*ORDERS[[#This Row],[Discount]])</f>
        <v>2296</v>
      </c>
      <c r="I1707" t="str">
        <f>VLOOKUP(ORDERS[[#This Row],[CustomerID]],customers[],2,FALSE)</f>
        <v>Rags to Riches</v>
      </c>
      <c r="J1707" s="2" t="str">
        <f>VLOOKUP(ORDERS[[#This Row],[CustomerID]],customers[],4,FALSE)</f>
        <v>Las Vegas</v>
      </c>
      <c r="K1707" s="2" t="str">
        <f>VLOOKUP(ORDERS[[#This Row],[ProductID]],Products[],3,FALSE)</f>
        <v>Female</v>
      </c>
      <c r="L1707" s="2">
        <f>DAY(ORDERS[[#This Row],[OrderDate]])</f>
        <v>21</v>
      </c>
      <c r="M1707" s="2">
        <f>YEAR(ORDERS[[#This Row],[OrderDate]])</f>
        <v>2015</v>
      </c>
    </row>
    <row r="1708" spans="1:13" x14ac:dyDescent="0.3">
      <c r="A1708">
        <v>1707</v>
      </c>
      <c r="B1708">
        <v>1</v>
      </c>
      <c r="C1708">
        <v>2</v>
      </c>
      <c r="D1708" s="1">
        <v>42269</v>
      </c>
      <c r="E1708">
        <v>145</v>
      </c>
      <c r="F1708">
        <f>VLOOKUP(ORDERS[[#This Row],[ProductID]],Products[],4,FALSE)</f>
        <v>30</v>
      </c>
      <c r="G1708">
        <v>0</v>
      </c>
      <c r="H1708">
        <f>(ORDERS[[#This Row],[UnitsOrdered]]*ORDERS[[#This Row],[unit price]])-(ORDERS[[#This Row],[UnitsOrdered]]*ORDERS[[#This Row],[unit price]]*ORDERS[[#This Row],[Discount]])</f>
        <v>4350</v>
      </c>
      <c r="I1708" t="str">
        <f>VLOOKUP(ORDERS[[#This Row],[CustomerID]],customers[],2,FALSE)</f>
        <v>Threads</v>
      </c>
      <c r="J1708" s="2" t="str">
        <f>VLOOKUP(ORDERS[[#This Row],[CustomerID]],customers[],4,FALSE)</f>
        <v>Seattle</v>
      </c>
      <c r="K1708" s="2" t="str">
        <f>VLOOKUP(ORDERS[[#This Row],[ProductID]],Products[],3,FALSE)</f>
        <v>Both</v>
      </c>
      <c r="L1708" s="2">
        <f>DAY(ORDERS[[#This Row],[OrderDate]])</f>
        <v>22</v>
      </c>
      <c r="M1708" s="2">
        <f>YEAR(ORDERS[[#This Row],[OrderDate]])</f>
        <v>2015</v>
      </c>
    </row>
    <row r="1709" spans="1:13" x14ac:dyDescent="0.3">
      <c r="A1709">
        <v>1708</v>
      </c>
      <c r="B1709">
        <v>3</v>
      </c>
      <c r="C1709">
        <v>9</v>
      </c>
      <c r="D1709" s="1">
        <v>42270</v>
      </c>
      <c r="E1709">
        <v>109</v>
      </c>
      <c r="F1709">
        <f>VLOOKUP(ORDERS[[#This Row],[ProductID]],Products[],4,FALSE)</f>
        <v>25</v>
      </c>
      <c r="G1709">
        <v>0.10000000100000001</v>
      </c>
      <c r="H1709">
        <f>(ORDERS[[#This Row],[UnitsOrdered]]*ORDERS[[#This Row],[unit price]])-(ORDERS[[#This Row],[UnitsOrdered]]*ORDERS[[#This Row],[unit price]]*ORDERS[[#This Row],[Discount]])</f>
        <v>2452.4999972750002</v>
      </c>
      <c r="I1709" t="str">
        <f>VLOOKUP(ORDERS[[#This Row],[CustomerID]],customers[],2,FALSE)</f>
        <v>Shirts R Us</v>
      </c>
      <c r="J1709" s="2" t="str">
        <f>VLOOKUP(ORDERS[[#This Row],[CustomerID]],customers[],4,FALSE)</f>
        <v>Los Angeles</v>
      </c>
      <c r="K1709" s="2" t="str">
        <f>VLOOKUP(ORDERS[[#This Row],[ProductID]],Products[],3,FALSE)</f>
        <v>Male</v>
      </c>
      <c r="L1709" s="2">
        <f>DAY(ORDERS[[#This Row],[OrderDate]])</f>
        <v>23</v>
      </c>
      <c r="M1709" s="2">
        <f>YEAR(ORDERS[[#This Row],[OrderDate]])</f>
        <v>2015</v>
      </c>
    </row>
    <row r="1710" spans="1:13" x14ac:dyDescent="0.3">
      <c r="A1710">
        <v>1709</v>
      </c>
      <c r="B1710">
        <v>1</v>
      </c>
      <c r="C1710">
        <v>10</v>
      </c>
      <c r="D1710" s="1">
        <v>42272</v>
      </c>
      <c r="E1710">
        <v>93</v>
      </c>
      <c r="F1710">
        <f>VLOOKUP(ORDERS[[#This Row],[ProductID]],Products[],4,FALSE)</f>
        <v>35</v>
      </c>
      <c r="G1710">
        <v>0</v>
      </c>
      <c r="H1710">
        <f>(ORDERS[[#This Row],[UnitsOrdered]]*ORDERS[[#This Row],[unit price]])-(ORDERS[[#This Row],[UnitsOrdered]]*ORDERS[[#This Row],[unit price]]*ORDERS[[#This Row],[Discount]])</f>
        <v>3255</v>
      </c>
      <c r="I1710" t="str">
        <f>VLOOKUP(ORDERS[[#This Row],[CustomerID]],customers[],2,FALSE)</f>
        <v>Threads</v>
      </c>
      <c r="J1710" s="2" t="str">
        <f>VLOOKUP(ORDERS[[#This Row],[CustomerID]],customers[],4,FALSE)</f>
        <v>Seattle</v>
      </c>
      <c r="K1710" s="2" t="str">
        <f>VLOOKUP(ORDERS[[#This Row],[ProductID]],Products[],3,FALSE)</f>
        <v>Male</v>
      </c>
      <c r="L1710" s="2">
        <f>DAY(ORDERS[[#This Row],[OrderDate]])</f>
        <v>25</v>
      </c>
      <c r="M1710" s="2">
        <f>YEAR(ORDERS[[#This Row],[OrderDate]])</f>
        <v>2015</v>
      </c>
    </row>
    <row r="1711" spans="1:13" x14ac:dyDescent="0.3">
      <c r="A1711">
        <v>1710</v>
      </c>
      <c r="B1711">
        <v>2</v>
      </c>
      <c r="C1711">
        <v>3</v>
      </c>
      <c r="D1711" s="1">
        <v>42273</v>
      </c>
      <c r="E1711">
        <v>45</v>
      </c>
      <c r="F1711">
        <f>VLOOKUP(ORDERS[[#This Row],[ProductID]],Products[],4,FALSE)</f>
        <v>22</v>
      </c>
      <c r="G1711">
        <v>0</v>
      </c>
      <c r="H1711">
        <f>(ORDERS[[#This Row],[UnitsOrdered]]*ORDERS[[#This Row],[unit price]])-(ORDERS[[#This Row],[UnitsOrdered]]*ORDERS[[#This Row],[unit price]]*ORDERS[[#This Row],[Discount]])</f>
        <v>990</v>
      </c>
      <c r="I1711" t="str">
        <f>VLOOKUP(ORDERS[[#This Row],[CustomerID]],customers[],2,FALSE)</f>
        <v>A Shirts Life</v>
      </c>
      <c r="J1711" s="2" t="str">
        <f>VLOOKUP(ORDERS[[#This Row],[CustomerID]],customers[],4,FALSE)</f>
        <v>Portland</v>
      </c>
      <c r="K1711" s="2" t="str">
        <f>VLOOKUP(ORDERS[[#This Row],[ProductID]],Products[],3,FALSE)</f>
        <v>Both</v>
      </c>
      <c r="L1711" s="2">
        <f>DAY(ORDERS[[#This Row],[OrderDate]])</f>
        <v>26</v>
      </c>
      <c r="M1711" s="2">
        <f>YEAR(ORDERS[[#This Row],[OrderDate]])</f>
        <v>2015</v>
      </c>
    </row>
    <row r="1712" spans="1:13" x14ac:dyDescent="0.3">
      <c r="A1712">
        <v>1711</v>
      </c>
      <c r="B1712">
        <v>3</v>
      </c>
      <c r="C1712">
        <v>10</v>
      </c>
      <c r="D1712" s="1">
        <v>42273</v>
      </c>
      <c r="E1712">
        <v>105</v>
      </c>
      <c r="F1712">
        <f>VLOOKUP(ORDERS[[#This Row],[ProductID]],Products[],4,FALSE)</f>
        <v>35</v>
      </c>
      <c r="G1712">
        <v>0</v>
      </c>
      <c r="H1712">
        <f>(ORDERS[[#This Row],[UnitsOrdered]]*ORDERS[[#This Row],[unit price]])-(ORDERS[[#This Row],[UnitsOrdered]]*ORDERS[[#This Row],[unit price]]*ORDERS[[#This Row],[Discount]])</f>
        <v>3675</v>
      </c>
      <c r="I1712" t="str">
        <f>VLOOKUP(ORDERS[[#This Row],[CustomerID]],customers[],2,FALSE)</f>
        <v>Shirts R Us</v>
      </c>
      <c r="J1712" s="2" t="str">
        <f>VLOOKUP(ORDERS[[#This Row],[CustomerID]],customers[],4,FALSE)</f>
        <v>Los Angeles</v>
      </c>
      <c r="K1712" s="2" t="str">
        <f>VLOOKUP(ORDERS[[#This Row],[ProductID]],Products[],3,FALSE)</f>
        <v>Male</v>
      </c>
      <c r="L1712" s="2">
        <f>DAY(ORDERS[[#This Row],[OrderDate]])</f>
        <v>26</v>
      </c>
      <c r="M1712" s="2">
        <f>YEAR(ORDERS[[#This Row],[OrderDate]])</f>
        <v>2015</v>
      </c>
    </row>
    <row r="1713" spans="1:13" x14ac:dyDescent="0.3">
      <c r="A1713">
        <v>1712</v>
      </c>
      <c r="B1713">
        <v>7</v>
      </c>
      <c r="C1713">
        <v>10</v>
      </c>
      <c r="D1713" s="1">
        <v>42275</v>
      </c>
      <c r="E1713">
        <v>89</v>
      </c>
      <c r="F1713">
        <f>VLOOKUP(ORDERS[[#This Row],[ProductID]],Products[],4,FALSE)</f>
        <v>35</v>
      </c>
      <c r="G1713">
        <v>0</v>
      </c>
      <c r="H1713">
        <f>(ORDERS[[#This Row],[UnitsOrdered]]*ORDERS[[#This Row],[unit price]])-(ORDERS[[#This Row],[UnitsOrdered]]*ORDERS[[#This Row],[unit price]]*ORDERS[[#This Row],[Discount]])</f>
        <v>3115</v>
      </c>
      <c r="I1713" t="str">
        <f>VLOOKUP(ORDERS[[#This Row],[CustomerID]],customers[],2,FALSE)</f>
        <v>The Shirt on Your Back</v>
      </c>
      <c r="J1713" s="2" t="str">
        <f>VLOOKUP(ORDERS[[#This Row],[CustomerID]],customers[],4,FALSE)</f>
        <v>Bonners Ferry</v>
      </c>
      <c r="K1713" s="2" t="str">
        <f>VLOOKUP(ORDERS[[#This Row],[ProductID]],Products[],3,FALSE)</f>
        <v>Male</v>
      </c>
      <c r="L1713" s="2">
        <f>DAY(ORDERS[[#This Row],[OrderDate]])</f>
        <v>28</v>
      </c>
      <c r="M1713" s="2">
        <f>YEAR(ORDERS[[#This Row],[OrderDate]])</f>
        <v>2015</v>
      </c>
    </row>
    <row r="1714" spans="1:13" x14ac:dyDescent="0.3">
      <c r="A1714">
        <v>1713</v>
      </c>
      <c r="B1714">
        <v>4</v>
      </c>
      <c r="C1714">
        <v>7</v>
      </c>
      <c r="D1714" s="1">
        <v>42278</v>
      </c>
      <c r="E1714">
        <v>65</v>
      </c>
      <c r="F1714">
        <f>VLOOKUP(ORDERS[[#This Row],[ProductID]],Products[],4,FALSE)</f>
        <v>38</v>
      </c>
      <c r="G1714">
        <v>0.10000000100000001</v>
      </c>
      <c r="H1714">
        <f>(ORDERS[[#This Row],[UnitsOrdered]]*ORDERS[[#This Row],[unit price]])-(ORDERS[[#This Row],[UnitsOrdered]]*ORDERS[[#This Row],[unit price]]*ORDERS[[#This Row],[Discount]])</f>
        <v>2222.9999975300002</v>
      </c>
      <c r="I1714" t="str">
        <f>VLOOKUP(ORDERS[[#This Row],[CustomerID]],customers[],2,FALSE)</f>
        <v>Tshirt Unlimited</v>
      </c>
      <c r="J1714" s="2" t="str">
        <f>VLOOKUP(ORDERS[[#This Row],[CustomerID]],customers[],4,FALSE)</f>
        <v>Phoenix</v>
      </c>
      <c r="K1714" s="2" t="str">
        <f>VLOOKUP(ORDERS[[#This Row],[ProductID]],Products[],3,FALSE)</f>
        <v>Female</v>
      </c>
      <c r="L1714" s="2">
        <f>DAY(ORDERS[[#This Row],[OrderDate]])</f>
        <v>1</v>
      </c>
      <c r="M1714" s="2">
        <f>YEAR(ORDERS[[#This Row],[OrderDate]])</f>
        <v>2015</v>
      </c>
    </row>
    <row r="1715" spans="1:13" x14ac:dyDescent="0.3">
      <c r="A1715">
        <v>1714</v>
      </c>
      <c r="B1715">
        <v>7</v>
      </c>
      <c r="C1715">
        <v>2</v>
      </c>
      <c r="D1715" s="1">
        <v>42278</v>
      </c>
      <c r="E1715">
        <v>80</v>
      </c>
      <c r="F1715">
        <f>VLOOKUP(ORDERS[[#This Row],[ProductID]],Products[],4,FALSE)</f>
        <v>30</v>
      </c>
      <c r="G1715">
        <v>0</v>
      </c>
      <c r="H1715">
        <f>(ORDERS[[#This Row],[UnitsOrdered]]*ORDERS[[#This Row],[unit price]])-(ORDERS[[#This Row],[UnitsOrdered]]*ORDERS[[#This Row],[unit price]]*ORDERS[[#This Row],[Discount]])</f>
        <v>2400</v>
      </c>
      <c r="I1715" t="str">
        <f>VLOOKUP(ORDERS[[#This Row],[CustomerID]],customers[],2,FALSE)</f>
        <v>The Shirt on Your Back</v>
      </c>
      <c r="J1715" s="2" t="str">
        <f>VLOOKUP(ORDERS[[#This Row],[CustomerID]],customers[],4,FALSE)</f>
        <v>Bonners Ferry</v>
      </c>
      <c r="K1715" s="2" t="str">
        <f>VLOOKUP(ORDERS[[#This Row],[ProductID]],Products[],3,FALSE)</f>
        <v>Both</v>
      </c>
      <c r="L1715" s="2">
        <f>DAY(ORDERS[[#This Row],[OrderDate]])</f>
        <v>1</v>
      </c>
      <c r="M1715" s="2">
        <f>YEAR(ORDERS[[#This Row],[OrderDate]])</f>
        <v>2015</v>
      </c>
    </row>
    <row r="1716" spans="1:13" x14ac:dyDescent="0.3">
      <c r="A1716">
        <v>1715</v>
      </c>
      <c r="B1716">
        <v>2</v>
      </c>
      <c r="C1716">
        <v>6</v>
      </c>
      <c r="D1716" s="1">
        <v>42279</v>
      </c>
      <c r="E1716">
        <v>74</v>
      </c>
      <c r="F1716">
        <f>VLOOKUP(ORDERS[[#This Row],[ProductID]],Products[],4,FALSE)</f>
        <v>28</v>
      </c>
      <c r="G1716">
        <v>0.10000000100000001</v>
      </c>
      <c r="H1716">
        <f>(ORDERS[[#This Row],[UnitsOrdered]]*ORDERS[[#This Row],[unit price]])-(ORDERS[[#This Row],[UnitsOrdered]]*ORDERS[[#This Row],[unit price]]*ORDERS[[#This Row],[Discount]])</f>
        <v>1864.799997928</v>
      </c>
      <c r="I1716" t="str">
        <f>VLOOKUP(ORDERS[[#This Row],[CustomerID]],customers[],2,FALSE)</f>
        <v>A Shirts Life</v>
      </c>
      <c r="J1716" s="2" t="str">
        <f>VLOOKUP(ORDERS[[#This Row],[CustomerID]],customers[],4,FALSE)</f>
        <v>Portland</v>
      </c>
      <c r="K1716" s="2" t="str">
        <f>VLOOKUP(ORDERS[[#This Row],[ProductID]],Products[],3,FALSE)</f>
        <v>Female</v>
      </c>
      <c r="L1716" s="2">
        <f>DAY(ORDERS[[#This Row],[OrderDate]])</f>
        <v>2</v>
      </c>
      <c r="M1716" s="2">
        <f>YEAR(ORDERS[[#This Row],[OrderDate]])</f>
        <v>2015</v>
      </c>
    </row>
    <row r="1717" spans="1:13" x14ac:dyDescent="0.3">
      <c r="A1717">
        <v>1716</v>
      </c>
      <c r="B1717">
        <v>4</v>
      </c>
      <c r="C1717">
        <v>3</v>
      </c>
      <c r="D1717" s="1">
        <v>42280</v>
      </c>
      <c r="E1717">
        <v>139</v>
      </c>
      <c r="F1717">
        <f>VLOOKUP(ORDERS[[#This Row],[ProductID]],Products[],4,FALSE)</f>
        <v>22</v>
      </c>
      <c r="G1717">
        <v>0</v>
      </c>
      <c r="H1717">
        <f>(ORDERS[[#This Row],[UnitsOrdered]]*ORDERS[[#This Row],[unit price]])-(ORDERS[[#This Row],[UnitsOrdered]]*ORDERS[[#This Row],[unit price]]*ORDERS[[#This Row],[Discount]])</f>
        <v>3058</v>
      </c>
      <c r="I1717" t="str">
        <f>VLOOKUP(ORDERS[[#This Row],[CustomerID]],customers[],2,FALSE)</f>
        <v>Tshirt Unlimited</v>
      </c>
      <c r="J1717" s="2" t="str">
        <f>VLOOKUP(ORDERS[[#This Row],[CustomerID]],customers[],4,FALSE)</f>
        <v>Phoenix</v>
      </c>
      <c r="K1717" s="2" t="str">
        <f>VLOOKUP(ORDERS[[#This Row],[ProductID]],Products[],3,FALSE)</f>
        <v>Both</v>
      </c>
      <c r="L1717" s="2">
        <f>DAY(ORDERS[[#This Row],[OrderDate]])</f>
        <v>3</v>
      </c>
      <c r="M1717" s="2">
        <f>YEAR(ORDERS[[#This Row],[OrderDate]])</f>
        <v>2015</v>
      </c>
    </row>
    <row r="1718" spans="1:13" x14ac:dyDescent="0.3">
      <c r="A1718">
        <v>1717</v>
      </c>
      <c r="B1718">
        <v>3</v>
      </c>
      <c r="C1718">
        <v>8</v>
      </c>
      <c r="D1718" s="1">
        <v>42282</v>
      </c>
      <c r="E1718">
        <v>58</v>
      </c>
      <c r="F1718">
        <f>VLOOKUP(ORDERS[[#This Row],[ProductID]],Products[],4,FALSE)</f>
        <v>27</v>
      </c>
      <c r="G1718">
        <v>0</v>
      </c>
      <c r="H1718">
        <f>(ORDERS[[#This Row],[UnitsOrdered]]*ORDERS[[#This Row],[unit price]])-(ORDERS[[#This Row],[UnitsOrdered]]*ORDERS[[#This Row],[unit price]]*ORDERS[[#This Row],[Discount]])</f>
        <v>1566</v>
      </c>
      <c r="I1718" t="str">
        <f>VLOOKUP(ORDERS[[#This Row],[CustomerID]],customers[],2,FALSE)</f>
        <v>Shirts R Us</v>
      </c>
      <c r="J1718" s="2" t="str">
        <f>VLOOKUP(ORDERS[[#This Row],[CustomerID]],customers[],4,FALSE)</f>
        <v>Los Angeles</v>
      </c>
      <c r="K1718" s="2" t="str">
        <f>VLOOKUP(ORDERS[[#This Row],[ProductID]],Products[],3,FALSE)</f>
        <v>Female</v>
      </c>
      <c r="L1718" s="2">
        <f>DAY(ORDERS[[#This Row],[OrderDate]])</f>
        <v>5</v>
      </c>
      <c r="M1718" s="2">
        <f>YEAR(ORDERS[[#This Row],[OrderDate]])</f>
        <v>2015</v>
      </c>
    </row>
    <row r="1719" spans="1:13" x14ac:dyDescent="0.3">
      <c r="A1719">
        <v>1718</v>
      </c>
      <c r="B1719">
        <v>4</v>
      </c>
      <c r="C1719">
        <v>7</v>
      </c>
      <c r="D1719" s="1">
        <v>42282</v>
      </c>
      <c r="E1719">
        <v>32</v>
      </c>
      <c r="F1719">
        <f>VLOOKUP(ORDERS[[#This Row],[ProductID]],Products[],4,FALSE)</f>
        <v>38</v>
      </c>
      <c r="G1719">
        <v>0</v>
      </c>
      <c r="H1719">
        <f>(ORDERS[[#This Row],[UnitsOrdered]]*ORDERS[[#This Row],[unit price]])-(ORDERS[[#This Row],[UnitsOrdered]]*ORDERS[[#This Row],[unit price]]*ORDERS[[#This Row],[Discount]])</f>
        <v>1216</v>
      </c>
      <c r="I1719" t="str">
        <f>VLOOKUP(ORDERS[[#This Row],[CustomerID]],customers[],2,FALSE)</f>
        <v>Tshirt Unlimited</v>
      </c>
      <c r="J1719" s="2" t="str">
        <f>VLOOKUP(ORDERS[[#This Row],[CustomerID]],customers[],4,FALSE)</f>
        <v>Phoenix</v>
      </c>
      <c r="K1719" s="2" t="str">
        <f>VLOOKUP(ORDERS[[#This Row],[ProductID]],Products[],3,FALSE)</f>
        <v>Female</v>
      </c>
      <c r="L1719" s="2">
        <f>DAY(ORDERS[[#This Row],[OrderDate]])</f>
        <v>5</v>
      </c>
      <c r="M1719" s="2">
        <f>YEAR(ORDERS[[#This Row],[OrderDate]])</f>
        <v>2015</v>
      </c>
    </row>
    <row r="1720" spans="1:13" x14ac:dyDescent="0.3">
      <c r="A1720">
        <v>1719</v>
      </c>
      <c r="B1720">
        <v>5</v>
      </c>
      <c r="C1720">
        <v>3</v>
      </c>
      <c r="D1720" s="1">
        <v>42282</v>
      </c>
      <c r="E1720">
        <v>116</v>
      </c>
      <c r="F1720">
        <f>VLOOKUP(ORDERS[[#This Row],[ProductID]],Products[],4,FALSE)</f>
        <v>22</v>
      </c>
      <c r="G1720">
        <v>0</v>
      </c>
      <c r="H1720">
        <f>(ORDERS[[#This Row],[UnitsOrdered]]*ORDERS[[#This Row],[unit price]])-(ORDERS[[#This Row],[UnitsOrdered]]*ORDERS[[#This Row],[unit price]]*ORDERS[[#This Row],[Discount]])</f>
        <v>2552</v>
      </c>
      <c r="I1720" t="str">
        <f>VLOOKUP(ORDERS[[#This Row],[CustomerID]],customers[],2,FALSE)</f>
        <v>Rags to Riches</v>
      </c>
      <c r="J1720" s="2" t="str">
        <f>VLOOKUP(ORDERS[[#This Row],[CustomerID]],customers[],4,FALSE)</f>
        <v>Las Vegas</v>
      </c>
      <c r="K1720" s="2" t="str">
        <f>VLOOKUP(ORDERS[[#This Row],[ProductID]],Products[],3,FALSE)</f>
        <v>Both</v>
      </c>
      <c r="L1720" s="2">
        <f>DAY(ORDERS[[#This Row],[OrderDate]])</f>
        <v>5</v>
      </c>
      <c r="M1720" s="2">
        <f>YEAR(ORDERS[[#This Row],[OrderDate]])</f>
        <v>2015</v>
      </c>
    </row>
    <row r="1721" spans="1:13" x14ac:dyDescent="0.3">
      <c r="A1721">
        <v>1720</v>
      </c>
      <c r="B1721">
        <v>6</v>
      </c>
      <c r="C1721">
        <v>5</v>
      </c>
      <c r="D1721" s="1">
        <v>42282</v>
      </c>
      <c r="E1721">
        <v>68</v>
      </c>
      <c r="F1721">
        <f>VLOOKUP(ORDERS[[#This Row],[ProductID]],Products[],4,FALSE)</f>
        <v>16</v>
      </c>
      <c r="G1721">
        <v>0</v>
      </c>
      <c r="H1721">
        <f>(ORDERS[[#This Row],[UnitsOrdered]]*ORDERS[[#This Row],[unit price]])-(ORDERS[[#This Row],[UnitsOrdered]]*ORDERS[[#This Row],[unit price]]*ORDERS[[#This Row],[Discount]])</f>
        <v>1088</v>
      </c>
      <c r="I1721" t="str">
        <f>VLOOKUP(ORDERS[[#This Row],[CustomerID]],customers[],2,FALSE)</f>
        <v>Abracadaba Ink</v>
      </c>
      <c r="J1721" s="2" t="str">
        <f>VLOOKUP(ORDERS[[#This Row],[CustomerID]],customers[],4,FALSE)</f>
        <v>Salt Lake City</v>
      </c>
      <c r="K1721" s="2" t="str">
        <f>VLOOKUP(ORDERS[[#This Row],[ProductID]],Products[],3,FALSE)</f>
        <v>Female</v>
      </c>
      <c r="L1721" s="2">
        <f>DAY(ORDERS[[#This Row],[OrderDate]])</f>
        <v>5</v>
      </c>
      <c r="M1721" s="2">
        <f>YEAR(ORDERS[[#This Row],[OrderDate]])</f>
        <v>2015</v>
      </c>
    </row>
    <row r="1722" spans="1:13" x14ac:dyDescent="0.3">
      <c r="A1722">
        <v>1721</v>
      </c>
      <c r="B1722">
        <v>4</v>
      </c>
      <c r="C1722">
        <v>8</v>
      </c>
      <c r="D1722" s="1">
        <v>42283</v>
      </c>
      <c r="E1722">
        <v>53</v>
      </c>
      <c r="F1722">
        <f>VLOOKUP(ORDERS[[#This Row],[ProductID]],Products[],4,FALSE)</f>
        <v>27</v>
      </c>
      <c r="G1722">
        <v>0</v>
      </c>
      <c r="H1722">
        <f>(ORDERS[[#This Row],[UnitsOrdered]]*ORDERS[[#This Row],[unit price]])-(ORDERS[[#This Row],[UnitsOrdered]]*ORDERS[[#This Row],[unit price]]*ORDERS[[#This Row],[Discount]])</f>
        <v>1431</v>
      </c>
      <c r="I1722" t="str">
        <f>VLOOKUP(ORDERS[[#This Row],[CustomerID]],customers[],2,FALSE)</f>
        <v>Tshirt Unlimited</v>
      </c>
      <c r="J1722" s="2" t="str">
        <f>VLOOKUP(ORDERS[[#This Row],[CustomerID]],customers[],4,FALSE)</f>
        <v>Phoenix</v>
      </c>
      <c r="K1722" s="2" t="str">
        <f>VLOOKUP(ORDERS[[#This Row],[ProductID]],Products[],3,FALSE)</f>
        <v>Female</v>
      </c>
      <c r="L1722" s="2">
        <f>DAY(ORDERS[[#This Row],[OrderDate]])</f>
        <v>6</v>
      </c>
      <c r="M1722" s="2">
        <f>YEAR(ORDERS[[#This Row],[OrderDate]])</f>
        <v>2015</v>
      </c>
    </row>
    <row r="1723" spans="1:13" x14ac:dyDescent="0.3">
      <c r="A1723">
        <v>1722</v>
      </c>
      <c r="B1723">
        <v>3</v>
      </c>
      <c r="C1723">
        <v>10</v>
      </c>
      <c r="D1723" s="1">
        <v>42284</v>
      </c>
      <c r="E1723">
        <v>48</v>
      </c>
      <c r="F1723">
        <f>VLOOKUP(ORDERS[[#This Row],[ProductID]],Products[],4,FALSE)</f>
        <v>35</v>
      </c>
      <c r="G1723">
        <v>0</v>
      </c>
      <c r="H1723">
        <f>(ORDERS[[#This Row],[UnitsOrdered]]*ORDERS[[#This Row],[unit price]])-(ORDERS[[#This Row],[UnitsOrdered]]*ORDERS[[#This Row],[unit price]]*ORDERS[[#This Row],[Discount]])</f>
        <v>1680</v>
      </c>
      <c r="I1723" t="str">
        <f>VLOOKUP(ORDERS[[#This Row],[CustomerID]],customers[],2,FALSE)</f>
        <v>Shirts R Us</v>
      </c>
      <c r="J1723" s="2" t="str">
        <f>VLOOKUP(ORDERS[[#This Row],[CustomerID]],customers[],4,FALSE)</f>
        <v>Los Angeles</v>
      </c>
      <c r="K1723" s="2" t="str">
        <f>VLOOKUP(ORDERS[[#This Row],[ProductID]],Products[],3,FALSE)</f>
        <v>Male</v>
      </c>
      <c r="L1723" s="2">
        <f>DAY(ORDERS[[#This Row],[OrderDate]])</f>
        <v>7</v>
      </c>
      <c r="M1723" s="2">
        <f>YEAR(ORDERS[[#This Row],[OrderDate]])</f>
        <v>2015</v>
      </c>
    </row>
    <row r="1724" spans="1:13" x14ac:dyDescent="0.3">
      <c r="A1724">
        <v>1723</v>
      </c>
      <c r="B1724">
        <v>5</v>
      </c>
      <c r="C1724">
        <v>10</v>
      </c>
      <c r="D1724" s="1">
        <v>42284</v>
      </c>
      <c r="E1724">
        <v>81</v>
      </c>
      <c r="F1724">
        <f>VLOOKUP(ORDERS[[#This Row],[ProductID]],Products[],4,FALSE)</f>
        <v>35</v>
      </c>
      <c r="G1724">
        <v>0</v>
      </c>
      <c r="H1724">
        <f>(ORDERS[[#This Row],[UnitsOrdered]]*ORDERS[[#This Row],[unit price]])-(ORDERS[[#This Row],[UnitsOrdered]]*ORDERS[[#This Row],[unit price]]*ORDERS[[#This Row],[Discount]])</f>
        <v>2835</v>
      </c>
      <c r="I1724" t="str">
        <f>VLOOKUP(ORDERS[[#This Row],[CustomerID]],customers[],2,FALSE)</f>
        <v>Rags to Riches</v>
      </c>
      <c r="J1724" s="2" t="str">
        <f>VLOOKUP(ORDERS[[#This Row],[CustomerID]],customers[],4,FALSE)</f>
        <v>Las Vegas</v>
      </c>
      <c r="K1724" s="2" t="str">
        <f>VLOOKUP(ORDERS[[#This Row],[ProductID]],Products[],3,FALSE)</f>
        <v>Male</v>
      </c>
      <c r="L1724" s="2">
        <f>DAY(ORDERS[[#This Row],[OrderDate]])</f>
        <v>7</v>
      </c>
      <c r="M1724" s="2">
        <f>YEAR(ORDERS[[#This Row],[OrderDate]])</f>
        <v>2015</v>
      </c>
    </row>
    <row r="1725" spans="1:13" x14ac:dyDescent="0.3">
      <c r="A1725">
        <v>1724</v>
      </c>
      <c r="B1725">
        <v>4</v>
      </c>
      <c r="C1725">
        <v>4</v>
      </c>
      <c r="D1725" s="1">
        <v>42286</v>
      </c>
      <c r="E1725">
        <v>66</v>
      </c>
      <c r="F1725">
        <f>VLOOKUP(ORDERS[[#This Row],[ProductID]],Products[],4,FALSE)</f>
        <v>30</v>
      </c>
      <c r="G1725">
        <v>5.0000001000000002E-2</v>
      </c>
      <c r="H1725">
        <f>(ORDERS[[#This Row],[UnitsOrdered]]*ORDERS[[#This Row],[unit price]])-(ORDERS[[#This Row],[UnitsOrdered]]*ORDERS[[#This Row],[unit price]]*ORDERS[[#This Row],[Discount]])</f>
        <v>1880.99999802</v>
      </c>
      <c r="I1725" t="str">
        <f>VLOOKUP(ORDERS[[#This Row],[CustomerID]],customers[],2,FALSE)</f>
        <v>Tshirt Unlimited</v>
      </c>
      <c r="J1725" s="2" t="str">
        <f>VLOOKUP(ORDERS[[#This Row],[CustomerID]],customers[],4,FALSE)</f>
        <v>Phoenix</v>
      </c>
      <c r="K1725" s="2" t="str">
        <f>VLOOKUP(ORDERS[[#This Row],[ProductID]],Products[],3,FALSE)</f>
        <v>Both</v>
      </c>
      <c r="L1725" s="2">
        <f>DAY(ORDERS[[#This Row],[OrderDate]])</f>
        <v>9</v>
      </c>
      <c r="M1725" s="2">
        <f>YEAR(ORDERS[[#This Row],[OrderDate]])</f>
        <v>2015</v>
      </c>
    </row>
    <row r="1726" spans="1:13" x14ac:dyDescent="0.3">
      <c r="A1726">
        <v>1725</v>
      </c>
      <c r="B1726">
        <v>5</v>
      </c>
      <c r="C1726">
        <v>2</v>
      </c>
      <c r="D1726" s="1">
        <v>42286</v>
      </c>
      <c r="E1726">
        <v>56</v>
      </c>
      <c r="F1726">
        <f>VLOOKUP(ORDERS[[#This Row],[ProductID]],Products[],4,FALSE)</f>
        <v>30</v>
      </c>
      <c r="G1726">
        <v>0</v>
      </c>
      <c r="H1726">
        <f>(ORDERS[[#This Row],[UnitsOrdered]]*ORDERS[[#This Row],[unit price]])-(ORDERS[[#This Row],[UnitsOrdered]]*ORDERS[[#This Row],[unit price]]*ORDERS[[#This Row],[Discount]])</f>
        <v>1680</v>
      </c>
      <c r="I1726" t="str">
        <f>VLOOKUP(ORDERS[[#This Row],[CustomerID]],customers[],2,FALSE)</f>
        <v>Rags to Riches</v>
      </c>
      <c r="J1726" s="2" t="str">
        <f>VLOOKUP(ORDERS[[#This Row],[CustomerID]],customers[],4,FALSE)</f>
        <v>Las Vegas</v>
      </c>
      <c r="K1726" s="2" t="str">
        <f>VLOOKUP(ORDERS[[#This Row],[ProductID]],Products[],3,FALSE)</f>
        <v>Both</v>
      </c>
      <c r="L1726" s="2">
        <f>DAY(ORDERS[[#This Row],[OrderDate]])</f>
        <v>9</v>
      </c>
      <c r="M1726" s="2">
        <f>YEAR(ORDERS[[#This Row],[OrderDate]])</f>
        <v>2015</v>
      </c>
    </row>
    <row r="1727" spans="1:13" x14ac:dyDescent="0.3">
      <c r="A1727">
        <v>1726</v>
      </c>
      <c r="B1727">
        <v>6</v>
      </c>
      <c r="C1727">
        <v>1</v>
      </c>
      <c r="D1727" s="1">
        <v>42289</v>
      </c>
      <c r="E1727">
        <v>104</v>
      </c>
      <c r="F1727">
        <f>VLOOKUP(ORDERS[[#This Row],[ProductID]],Products[],4,FALSE)</f>
        <v>20</v>
      </c>
      <c r="G1727">
        <v>0</v>
      </c>
      <c r="H1727">
        <f>(ORDERS[[#This Row],[UnitsOrdered]]*ORDERS[[#This Row],[unit price]])-(ORDERS[[#This Row],[UnitsOrdered]]*ORDERS[[#This Row],[unit price]]*ORDERS[[#This Row],[Discount]])</f>
        <v>2080</v>
      </c>
      <c r="I1727" t="str">
        <f>VLOOKUP(ORDERS[[#This Row],[CustomerID]],customers[],2,FALSE)</f>
        <v>Abracadaba Ink</v>
      </c>
      <c r="J1727" s="2" t="str">
        <f>VLOOKUP(ORDERS[[#This Row],[CustomerID]],customers[],4,FALSE)</f>
        <v>Salt Lake City</v>
      </c>
      <c r="K1727" s="2" t="str">
        <f>VLOOKUP(ORDERS[[#This Row],[ProductID]],Products[],3,FALSE)</f>
        <v>Both</v>
      </c>
      <c r="L1727" s="2">
        <f>DAY(ORDERS[[#This Row],[OrderDate]])</f>
        <v>12</v>
      </c>
      <c r="M1727" s="2">
        <f>YEAR(ORDERS[[#This Row],[OrderDate]])</f>
        <v>2015</v>
      </c>
    </row>
    <row r="1728" spans="1:13" x14ac:dyDescent="0.3">
      <c r="A1728">
        <v>1727</v>
      </c>
      <c r="B1728">
        <v>7</v>
      </c>
      <c r="C1728">
        <v>9</v>
      </c>
      <c r="D1728" s="1">
        <v>42289</v>
      </c>
      <c r="E1728">
        <v>93</v>
      </c>
      <c r="F1728">
        <f>VLOOKUP(ORDERS[[#This Row],[ProductID]],Products[],4,FALSE)</f>
        <v>25</v>
      </c>
      <c r="G1728">
        <v>0</v>
      </c>
      <c r="H1728">
        <f>(ORDERS[[#This Row],[UnitsOrdered]]*ORDERS[[#This Row],[unit price]])-(ORDERS[[#This Row],[UnitsOrdered]]*ORDERS[[#This Row],[unit price]]*ORDERS[[#This Row],[Discount]])</f>
        <v>2325</v>
      </c>
      <c r="I1728" t="str">
        <f>VLOOKUP(ORDERS[[#This Row],[CustomerID]],customers[],2,FALSE)</f>
        <v>The Shirt on Your Back</v>
      </c>
      <c r="J1728" s="2" t="str">
        <f>VLOOKUP(ORDERS[[#This Row],[CustomerID]],customers[],4,FALSE)</f>
        <v>Bonners Ferry</v>
      </c>
      <c r="K1728" s="2" t="str">
        <f>VLOOKUP(ORDERS[[#This Row],[ProductID]],Products[],3,FALSE)</f>
        <v>Male</v>
      </c>
      <c r="L1728" s="2">
        <f>DAY(ORDERS[[#This Row],[OrderDate]])</f>
        <v>12</v>
      </c>
      <c r="M1728" s="2">
        <f>YEAR(ORDERS[[#This Row],[OrderDate]])</f>
        <v>2015</v>
      </c>
    </row>
    <row r="1729" spans="1:13" x14ac:dyDescent="0.3">
      <c r="A1729">
        <v>1728</v>
      </c>
      <c r="B1729">
        <v>2</v>
      </c>
      <c r="C1729">
        <v>3</v>
      </c>
      <c r="D1729" s="1">
        <v>42290</v>
      </c>
      <c r="E1729">
        <v>75</v>
      </c>
      <c r="F1729">
        <f>VLOOKUP(ORDERS[[#This Row],[ProductID]],Products[],4,FALSE)</f>
        <v>22</v>
      </c>
      <c r="G1729">
        <v>0</v>
      </c>
      <c r="H1729">
        <f>(ORDERS[[#This Row],[UnitsOrdered]]*ORDERS[[#This Row],[unit price]])-(ORDERS[[#This Row],[UnitsOrdered]]*ORDERS[[#This Row],[unit price]]*ORDERS[[#This Row],[Discount]])</f>
        <v>1650</v>
      </c>
      <c r="I1729" t="str">
        <f>VLOOKUP(ORDERS[[#This Row],[CustomerID]],customers[],2,FALSE)</f>
        <v>A Shirts Life</v>
      </c>
      <c r="J1729" s="2" t="str">
        <f>VLOOKUP(ORDERS[[#This Row],[CustomerID]],customers[],4,FALSE)</f>
        <v>Portland</v>
      </c>
      <c r="K1729" s="2" t="str">
        <f>VLOOKUP(ORDERS[[#This Row],[ProductID]],Products[],3,FALSE)</f>
        <v>Both</v>
      </c>
      <c r="L1729" s="2">
        <f>DAY(ORDERS[[#This Row],[OrderDate]])</f>
        <v>13</v>
      </c>
      <c r="M1729" s="2">
        <f>YEAR(ORDERS[[#This Row],[OrderDate]])</f>
        <v>2015</v>
      </c>
    </row>
    <row r="1730" spans="1:13" x14ac:dyDescent="0.3">
      <c r="A1730">
        <v>1729</v>
      </c>
      <c r="B1730">
        <v>5</v>
      </c>
      <c r="C1730">
        <v>9</v>
      </c>
      <c r="D1730" s="1">
        <v>42291</v>
      </c>
      <c r="E1730">
        <v>133</v>
      </c>
      <c r="F1730">
        <f>VLOOKUP(ORDERS[[#This Row],[ProductID]],Products[],4,FALSE)</f>
        <v>25</v>
      </c>
      <c r="G1730">
        <v>0</v>
      </c>
      <c r="H1730">
        <f>(ORDERS[[#This Row],[UnitsOrdered]]*ORDERS[[#This Row],[unit price]])-(ORDERS[[#This Row],[UnitsOrdered]]*ORDERS[[#This Row],[unit price]]*ORDERS[[#This Row],[Discount]])</f>
        <v>3325</v>
      </c>
      <c r="I1730" t="str">
        <f>VLOOKUP(ORDERS[[#This Row],[CustomerID]],customers[],2,FALSE)</f>
        <v>Rags to Riches</v>
      </c>
      <c r="J1730" s="2" t="str">
        <f>VLOOKUP(ORDERS[[#This Row],[CustomerID]],customers[],4,FALSE)</f>
        <v>Las Vegas</v>
      </c>
      <c r="K1730" s="2" t="str">
        <f>VLOOKUP(ORDERS[[#This Row],[ProductID]],Products[],3,FALSE)</f>
        <v>Male</v>
      </c>
      <c r="L1730" s="2">
        <f>DAY(ORDERS[[#This Row],[OrderDate]])</f>
        <v>14</v>
      </c>
      <c r="M1730" s="2">
        <f>YEAR(ORDERS[[#This Row],[OrderDate]])</f>
        <v>2015</v>
      </c>
    </row>
    <row r="1731" spans="1:13" x14ac:dyDescent="0.3">
      <c r="A1731">
        <v>1730</v>
      </c>
      <c r="B1731">
        <v>7</v>
      </c>
      <c r="C1731">
        <v>1</v>
      </c>
      <c r="D1731" s="1">
        <v>42293</v>
      </c>
      <c r="E1731">
        <v>132</v>
      </c>
      <c r="F1731">
        <f>VLOOKUP(ORDERS[[#This Row],[ProductID]],Products[],4,FALSE)</f>
        <v>20</v>
      </c>
      <c r="G1731">
        <v>0</v>
      </c>
      <c r="H1731">
        <f>(ORDERS[[#This Row],[UnitsOrdered]]*ORDERS[[#This Row],[unit price]])-(ORDERS[[#This Row],[UnitsOrdered]]*ORDERS[[#This Row],[unit price]]*ORDERS[[#This Row],[Discount]])</f>
        <v>2640</v>
      </c>
      <c r="I1731" t="str">
        <f>VLOOKUP(ORDERS[[#This Row],[CustomerID]],customers[],2,FALSE)</f>
        <v>The Shirt on Your Back</v>
      </c>
      <c r="J1731" s="2" t="str">
        <f>VLOOKUP(ORDERS[[#This Row],[CustomerID]],customers[],4,FALSE)</f>
        <v>Bonners Ferry</v>
      </c>
      <c r="K1731" s="2" t="str">
        <f>VLOOKUP(ORDERS[[#This Row],[ProductID]],Products[],3,FALSE)</f>
        <v>Both</v>
      </c>
      <c r="L1731" s="2">
        <f>DAY(ORDERS[[#This Row],[OrderDate]])</f>
        <v>16</v>
      </c>
      <c r="M1731" s="2">
        <f>YEAR(ORDERS[[#This Row],[OrderDate]])</f>
        <v>2015</v>
      </c>
    </row>
    <row r="1732" spans="1:13" x14ac:dyDescent="0.3">
      <c r="A1732">
        <v>1731</v>
      </c>
      <c r="B1732">
        <v>6</v>
      </c>
      <c r="C1732">
        <v>4</v>
      </c>
      <c r="D1732" s="1">
        <v>42294</v>
      </c>
      <c r="E1732">
        <v>70</v>
      </c>
      <c r="F1732">
        <f>VLOOKUP(ORDERS[[#This Row],[ProductID]],Products[],4,FALSE)</f>
        <v>30</v>
      </c>
      <c r="G1732">
        <v>0</v>
      </c>
      <c r="H1732">
        <f>(ORDERS[[#This Row],[UnitsOrdered]]*ORDERS[[#This Row],[unit price]])-(ORDERS[[#This Row],[UnitsOrdered]]*ORDERS[[#This Row],[unit price]]*ORDERS[[#This Row],[Discount]])</f>
        <v>2100</v>
      </c>
      <c r="I1732" t="str">
        <f>VLOOKUP(ORDERS[[#This Row],[CustomerID]],customers[],2,FALSE)</f>
        <v>Abracadaba Ink</v>
      </c>
      <c r="J1732" s="2" t="str">
        <f>VLOOKUP(ORDERS[[#This Row],[CustomerID]],customers[],4,FALSE)</f>
        <v>Salt Lake City</v>
      </c>
      <c r="K1732" s="2" t="str">
        <f>VLOOKUP(ORDERS[[#This Row],[ProductID]],Products[],3,FALSE)</f>
        <v>Both</v>
      </c>
      <c r="L1732" s="2">
        <f>DAY(ORDERS[[#This Row],[OrderDate]])</f>
        <v>17</v>
      </c>
      <c r="M1732" s="2">
        <f>YEAR(ORDERS[[#This Row],[OrderDate]])</f>
        <v>2015</v>
      </c>
    </row>
    <row r="1733" spans="1:13" x14ac:dyDescent="0.3">
      <c r="A1733">
        <v>1732</v>
      </c>
      <c r="B1733">
        <v>6</v>
      </c>
      <c r="C1733">
        <v>5</v>
      </c>
      <c r="D1733" s="1">
        <v>42294</v>
      </c>
      <c r="E1733">
        <v>76</v>
      </c>
      <c r="F1733">
        <f>VLOOKUP(ORDERS[[#This Row],[ProductID]],Products[],4,FALSE)</f>
        <v>16</v>
      </c>
      <c r="G1733">
        <v>0</v>
      </c>
      <c r="H1733">
        <f>(ORDERS[[#This Row],[UnitsOrdered]]*ORDERS[[#This Row],[unit price]])-(ORDERS[[#This Row],[UnitsOrdered]]*ORDERS[[#This Row],[unit price]]*ORDERS[[#This Row],[Discount]])</f>
        <v>1216</v>
      </c>
      <c r="I1733" t="str">
        <f>VLOOKUP(ORDERS[[#This Row],[CustomerID]],customers[],2,FALSE)</f>
        <v>Abracadaba Ink</v>
      </c>
      <c r="J1733" s="2" t="str">
        <f>VLOOKUP(ORDERS[[#This Row],[CustomerID]],customers[],4,FALSE)</f>
        <v>Salt Lake City</v>
      </c>
      <c r="K1733" s="2" t="str">
        <f>VLOOKUP(ORDERS[[#This Row],[ProductID]],Products[],3,FALSE)</f>
        <v>Female</v>
      </c>
      <c r="L1733" s="2">
        <f>DAY(ORDERS[[#This Row],[OrderDate]])</f>
        <v>17</v>
      </c>
      <c r="M1733" s="2">
        <f>YEAR(ORDERS[[#This Row],[OrderDate]])</f>
        <v>2015</v>
      </c>
    </row>
    <row r="1734" spans="1:13" x14ac:dyDescent="0.3">
      <c r="A1734">
        <v>1733</v>
      </c>
      <c r="B1734">
        <v>4</v>
      </c>
      <c r="C1734">
        <v>9</v>
      </c>
      <c r="D1734" s="1">
        <v>42295</v>
      </c>
      <c r="E1734">
        <v>117</v>
      </c>
      <c r="F1734">
        <f>VLOOKUP(ORDERS[[#This Row],[ProductID]],Products[],4,FALSE)</f>
        <v>25</v>
      </c>
      <c r="G1734">
        <v>0</v>
      </c>
      <c r="H1734">
        <f>(ORDERS[[#This Row],[UnitsOrdered]]*ORDERS[[#This Row],[unit price]])-(ORDERS[[#This Row],[UnitsOrdered]]*ORDERS[[#This Row],[unit price]]*ORDERS[[#This Row],[Discount]])</f>
        <v>2925</v>
      </c>
      <c r="I1734" t="str">
        <f>VLOOKUP(ORDERS[[#This Row],[CustomerID]],customers[],2,FALSE)</f>
        <v>Tshirt Unlimited</v>
      </c>
      <c r="J1734" s="2" t="str">
        <f>VLOOKUP(ORDERS[[#This Row],[CustomerID]],customers[],4,FALSE)</f>
        <v>Phoenix</v>
      </c>
      <c r="K1734" s="2" t="str">
        <f>VLOOKUP(ORDERS[[#This Row],[ProductID]],Products[],3,FALSE)</f>
        <v>Male</v>
      </c>
      <c r="L1734" s="2">
        <f>DAY(ORDERS[[#This Row],[OrderDate]])</f>
        <v>18</v>
      </c>
      <c r="M1734" s="2">
        <f>YEAR(ORDERS[[#This Row],[OrderDate]])</f>
        <v>2015</v>
      </c>
    </row>
    <row r="1735" spans="1:13" x14ac:dyDescent="0.3">
      <c r="A1735">
        <v>1734</v>
      </c>
      <c r="B1735">
        <v>5</v>
      </c>
      <c r="C1735">
        <v>3</v>
      </c>
      <c r="D1735" s="1">
        <v>42297</v>
      </c>
      <c r="E1735">
        <v>44</v>
      </c>
      <c r="F1735">
        <f>VLOOKUP(ORDERS[[#This Row],[ProductID]],Products[],4,FALSE)</f>
        <v>22</v>
      </c>
      <c r="G1735">
        <v>0.15000000599999999</v>
      </c>
      <c r="H1735">
        <f>(ORDERS[[#This Row],[UnitsOrdered]]*ORDERS[[#This Row],[unit price]])-(ORDERS[[#This Row],[UnitsOrdered]]*ORDERS[[#This Row],[unit price]]*ORDERS[[#This Row],[Discount]])</f>
        <v>822.79999419199999</v>
      </c>
      <c r="I1735" t="str">
        <f>VLOOKUP(ORDERS[[#This Row],[CustomerID]],customers[],2,FALSE)</f>
        <v>Rags to Riches</v>
      </c>
      <c r="J1735" s="2" t="str">
        <f>VLOOKUP(ORDERS[[#This Row],[CustomerID]],customers[],4,FALSE)</f>
        <v>Las Vegas</v>
      </c>
      <c r="K1735" s="2" t="str">
        <f>VLOOKUP(ORDERS[[#This Row],[ProductID]],Products[],3,FALSE)</f>
        <v>Both</v>
      </c>
      <c r="L1735" s="2">
        <f>DAY(ORDERS[[#This Row],[OrderDate]])</f>
        <v>20</v>
      </c>
      <c r="M1735" s="2">
        <f>YEAR(ORDERS[[#This Row],[OrderDate]])</f>
        <v>2015</v>
      </c>
    </row>
    <row r="1736" spans="1:13" x14ac:dyDescent="0.3">
      <c r="A1736">
        <v>1735</v>
      </c>
      <c r="B1736">
        <v>2</v>
      </c>
      <c r="C1736">
        <v>9</v>
      </c>
      <c r="D1736" s="1">
        <v>42298</v>
      </c>
      <c r="E1736">
        <v>57</v>
      </c>
      <c r="F1736">
        <f>VLOOKUP(ORDERS[[#This Row],[ProductID]],Products[],4,FALSE)</f>
        <v>25</v>
      </c>
      <c r="G1736">
        <v>0</v>
      </c>
      <c r="H1736">
        <f>(ORDERS[[#This Row],[UnitsOrdered]]*ORDERS[[#This Row],[unit price]])-(ORDERS[[#This Row],[UnitsOrdered]]*ORDERS[[#This Row],[unit price]]*ORDERS[[#This Row],[Discount]])</f>
        <v>1425</v>
      </c>
      <c r="I1736" t="str">
        <f>VLOOKUP(ORDERS[[#This Row],[CustomerID]],customers[],2,FALSE)</f>
        <v>A Shirts Life</v>
      </c>
      <c r="J1736" s="2" t="str">
        <f>VLOOKUP(ORDERS[[#This Row],[CustomerID]],customers[],4,FALSE)</f>
        <v>Portland</v>
      </c>
      <c r="K1736" s="2" t="str">
        <f>VLOOKUP(ORDERS[[#This Row],[ProductID]],Products[],3,FALSE)</f>
        <v>Male</v>
      </c>
      <c r="L1736" s="2">
        <f>DAY(ORDERS[[#This Row],[OrderDate]])</f>
        <v>21</v>
      </c>
      <c r="M1736" s="2">
        <f>YEAR(ORDERS[[#This Row],[OrderDate]])</f>
        <v>2015</v>
      </c>
    </row>
    <row r="1737" spans="1:13" x14ac:dyDescent="0.3">
      <c r="A1737">
        <v>1736</v>
      </c>
      <c r="B1737">
        <v>4</v>
      </c>
      <c r="C1737">
        <v>10</v>
      </c>
      <c r="D1737" s="1">
        <v>42300</v>
      </c>
      <c r="E1737">
        <v>37</v>
      </c>
      <c r="F1737">
        <f>VLOOKUP(ORDERS[[#This Row],[ProductID]],Products[],4,FALSE)</f>
        <v>35</v>
      </c>
      <c r="G1737">
        <v>0</v>
      </c>
      <c r="H1737">
        <f>(ORDERS[[#This Row],[UnitsOrdered]]*ORDERS[[#This Row],[unit price]])-(ORDERS[[#This Row],[UnitsOrdered]]*ORDERS[[#This Row],[unit price]]*ORDERS[[#This Row],[Discount]])</f>
        <v>1295</v>
      </c>
      <c r="I1737" t="str">
        <f>VLOOKUP(ORDERS[[#This Row],[CustomerID]],customers[],2,FALSE)</f>
        <v>Tshirt Unlimited</v>
      </c>
      <c r="J1737" s="2" t="str">
        <f>VLOOKUP(ORDERS[[#This Row],[CustomerID]],customers[],4,FALSE)</f>
        <v>Phoenix</v>
      </c>
      <c r="K1737" s="2" t="str">
        <f>VLOOKUP(ORDERS[[#This Row],[ProductID]],Products[],3,FALSE)</f>
        <v>Male</v>
      </c>
      <c r="L1737" s="2">
        <f>DAY(ORDERS[[#This Row],[OrderDate]])</f>
        <v>23</v>
      </c>
      <c r="M1737" s="2">
        <f>YEAR(ORDERS[[#This Row],[OrderDate]])</f>
        <v>2015</v>
      </c>
    </row>
    <row r="1738" spans="1:13" x14ac:dyDescent="0.3">
      <c r="A1738">
        <v>1737</v>
      </c>
      <c r="B1738">
        <v>5</v>
      </c>
      <c r="C1738">
        <v>10</v>
      </c>
      <c r="D1738" s="1">
        <v>42300</v>
      </c>
      <c r="E1738">
        <v>150</v>
      </c>
      <c r="F1738">
        <f>VLOOKUP(ORDERS[[#This Row],[ProductID]],Products[],4,FALSE)</f>
        <v>35</v>
      </c>
      <c r="G1738">
        <v>0</v>
      </c>
      <c r="H1738">
        <f>(ORDERS[[#This Row],[UnitsOrdered]]*ORDERS[[#This Row],[unit price]])-(ORDERS[[#This Row],[UnitsOrdered]]*ORDERS[[#This Row],[unit price]]*ORDERS[[#This Row],[Discount]])</f>
        <v>5250</v>
      </c>
      <c r="I1738" t="str">
        <f>VLOOKUP(ORDERS[[#This Row],[CustomerID]],customers[],2,FALSE)</f>
        <v>Rags to Riches</v>
      </c>
      <c r="J1738" s="2" t="str">
        <f>VLOOKUP(ORDERS[[#This Row],[CustomerID]],customers[],4,FALSE)</f>
        <v>Las Vegas</v>
      </c>
      <c r="K1738" s="2" t="str">
        <f>VLOOKUP(ORDERS[[#This Row],[ProductID]],Products[],3,FALSE)</f>
        <v>Male</v>
      </c>
      <c r="L1738" s="2">
        <f>DAY(ORDERS[[#This Row],[OrderDate]])</f>
        <v>23</v>
      </c>
      <c r="M1738" s="2">
        <f>YEAR(ORDERS[[#This Row],[OrderDate]])</f>
        <v>2015</v>
      </c>
    </row>
    <row r="1739" spans="1:13" x14ac:dyDescent="0.3">
      <c r="A1739">
        <v>1738</v>
      </c>
      <c r="B1739">
        <v>5</v>
      </c>
      <c r="C1739">
        <v>2</v>
      </c>
      <c r="D1739" s="1">
        <v>42302</v>
      </c>
      <c r="E1739">
        <v>110</v>
      </c>
      <c r="F1739">
        <f>VLOOKUP(ORDERS[[#This Row],[ProductID]],Products[],4,FALSE)</f>
        <v>30</v>
      </c>
      <c r="G1739">
        <v>0</v>
      </c>
      <c r="H1739">
        <f>(ORDERS[[#This Row],[UnitsOrdered]]*ORDERS[[#This Row],[unit price]])-(ORDERS[[#This Row],[UnitsOrdered]]*ORDERS[[#This Row],[unit price]]*ORDERS[[#This Row],[Discount]])</f>
        <v>3300</v>
      </c>
      <c r="I1739" t="str">
        <f>VLOOKUP(ORDERS[[#This Row],[CustomerID]],customers[],2,FALSE)</f>
        <v>Rags to Riches</v>
      </c>
      <c r="J1739" s="2" t="str">
        <f>VLOOKUP(ORDERS[[#This Row],[CustomerID]],customers[],4,FALSE)</f>
        <v>Las Vegas</v>
      </c>
      <c r="K1739" s="2" t="str">
        <f>VLOOKUP(ORDERS[[#This Row],[ProductID]],Products[],3,FALSE)</f>
        <v>Both</v>
      </c>
      <c r="L1739" s="2">
        <f>DAY(ORDERS[[#This Row],[OrderDate]])</f>
        <v>25</v>
      </c>
      <c r="M1739" s="2">
        <f>YEAR(ORDERS[[#This Row],[OrderDate]])</f>
        <v>2015</v>
      </c>
    </row>
    <row r="1740" spans="1:13" x14ac:dyDescent="0.3">
      <c r="A1740">
        <v>1739</v>
      </c>
      <c r="B1740">
        <v>7</v>
      </c>
      <c r="C1740">
        <v>9</v>
      </c>
      <c r="D1740" s="1">
        <v>42303</v>
      </c>
      <c r="E1740">
        <v>89</v>
      </c>
      <c r="F1740">
        <f>VLOOKUP(ORDERS[[#This Row],[ProductID]],Products[],4,FALSE)</f>
        <v>25</v>
      </c>
      <c r="G1740">
        <v>0</v>
      </c>
      <c r="H1740">
        <f>(ORDERS[[#This Row],[UnitsOrdered]]*ORDERS[[#This Row],[unit price]])-(ORDERS[[#This Row],[UnitsOrdered]]*ORDERS[[#This Row],[unit price]]*ORDERS[[#This Row],[Discount]])</f>
        <v>2225</v>
      </c>
      <c r="I1740" t="str">
        <f>VLOOKUP(ORDERS[[#This Row],[CustomerID]],customers[],2,FALSE)</f>
        <v>The Shirt on Your Back</v>
      </c>
      <c r="J1740" s="2" t="str">
        <f>VLOOKUP(ORDERS[[#This Row],[CustomerID]],customers[],4,FALSE)</f>
        <v>Bonners Ferry</v>
      </c>
      <c r="K1740" s="2" t="str">
        <f>VLOOKUP(ORDERS[[#This Row],[ProductID]],Products[],3,FALSE)</f>
        <v>Male</v>
      </c>
      <c r="L1740" s="2">
        <f>DAY(ORDERS[[#This Row],[OrderDate]])</f>
        <v>26</v>
      </c>
      <c r="M1740" s="2">
        <f>YEAR(ORDERS[[#This Row],[OrderDate]])</f>
        <v>2015</v>
      </c>
    </row>
    <row r="1741" spans="1:13" x14ac:dyDescent="0.3">
      <c r="A1741">
        <v>1740</v>
      </c>
      <c r="B1741">
        <v>6</v>
      </c>
      <c r="C1741">
        <v>4</v>
      </c>
      <c r="D1741" s="1">
        <v>42305</v>
      </c>
      <c r="E1741">
        <v>39</v>
      </c>
      <c r="F1741">
        <f>VLOOKUP(ORDERS[[#This Row],[ProductID]],Products[],4,FALSE)</f>
        <v>30</v>
      </c>
      <c r="G1741">
        <v>0</v>
      </c>
      <c r="H1741">
        <f>(ORDERS[[#This Row],[UnitsOrdered]]*ORDERS[[#This Row],[unit price]])-(ORDERS[[#This Row],[UnitsOrdered]]*ORDERS[[#This Row],[unit price]]*ORDERS[[#This Row],[Discount]])</f>
        <v>1170</v>
      </c>
      <c r="I1741" t="str">
        <f>VLOOKUP(ORDERS[[#This Row],[CustomerID]],customers[],2,FALSE)</f>
        <v>Abracadaba Ink</v>
      </c>
      <c r="J1741" s="2" t="str">
        <f>VLOOKUP(ORDERS[[#This Row],[CustomerID]],customers[],4,FALSE)</f>
        <v>Salt Lake City</v>
      </c>
      <c r="K1741" s="2" t="str">
        <f>VLOOKUP(ORDERS[[#This Row],[ProductID]],Products[],3,FALSE)</f>
        <v>Both</v>
      </c>
      <c r="L1741" s="2">
        <f>DAY(ORDERS[[#This Row],[OrderDate]])</f>
        <v>28</v>
      </c>
      <c r="M1741" s="2">
        <f>YEAR(ORDERS[[#This Row],[OrderDate]])</f>
        <v>2015</v>
      </c>
    </row>
    <row r="1742" spans="1:13" x14ac:dyDescent="0.3">
      <c r="A1742">
        <v>1741</v>
      </c>
      <c r="B1742">
        <v>6</v>
      </c>
      <c r="C1742">
        <v>9</v>
      </c>
      <c r="D1742" s="1">
        <v>42305</v>
      </c>
      <c r="E1742">
        <v>57</v>
      </c>
      <c r="F1742">
        <f>VLOOKUP(ORDERS[[#This Row],[ProductID]],Products[],4,FALSE)</f>
        <v>25</v>
      </c>
      <c r="G1742">
        <v>0</v>
      </c>
      <c r="H1742">
        <f>(ORDERS[[#This Row],[UnitsOrdered]]*ORDERS[[#This Row],[unit price]])-(ORDERS[[#This Row],[UnitsOrdered]]*ORDERS[[#This Row],[unit price]]*ORDERS[[#This Row],[Discount]])</f>
        <v>1425</v>
      </c>
      <c r="I1742" t="str">
        <f>VLOOKUP(ORDERS[[#This Row],[CustomerID]],customers[],2,FALSE)</f>
        <v>Abracadaba Ink</v>
      </c>
      <c r="J1742" s="2" t="str">
        <f>VLOOKUP(ORDERS[[#This Row],[CustomerID]],customers[],4,FALSE)</f>
        <v>Salt Lake City</v>
      </c>
      <c r="K1742" s="2" t="str">
        <f>VLOOKUP(ORDERS[[#This Row],[ProductID]],Products[],3,FALSE)</f>
        <v>Male</v>
      </c>
      <c r="L1742" s="2">
        <f>DAY(ORDERS[[#This Row],[OrderDate]])</f>
        <v>28</v>
      </c>
      <c r="M1742" s="2">
        <f>YEAR(ORDERS[[#This Row],[OrderDate]])</f>
        <v>2015</v>
      </c>
    </row>
    <row r="1743" spans="1:13" x14ac:dyDescent="0.3">
      <c r="A1743">
        <v>1742</v>
      </c>
      <c r="B1743">
        <v>6</v>
      </c>
      <c r="C1743">
        <v>10</v>
      </c>
      <c r="D1743" s="1">
        <v>42306</v>
      </c>
      <c r="E1743">
        <v>57</v>
      </c>
      <c r="F1743">
        <f>VLOOKUP(ORDERS[[#This Row],[ProductID]],Products[],4,FALSE)</f>
        <v>35</v>
      </c>
      <c r="G1743">
        <v>5.0000001000000002E-2</v>
      </c>
      <c r="H1743">
        <f>(ORDERS[[#This Row],[UnitsOrdered]]*ORDERS[[#This Row],[unit price]])-(ORDERS[[#This Row],[UnitsOrdered]]*ORDERS[[#This Row],[unit price]]*ORDERS[[#This Row],[Discount]])</f>
        <v>1895.249998005</v>
      </c>
      <c r="I1743" t="str">
        <f>VLOOKUP(ORDERS[[#This Row],[CustomerID]],customers[],2,FALSE)</f>
        <v>Abracadaba Ink</v>
      </c>
      <c r="J1743" s="2" t="str">
        <f>VLOOKUP(ORDERS[[#This Row],[CustomerID]],customers[],4,FALSE)</f>
        <v>Salt Lake City</v>
      </c>
      <c r="K1743" s="2" t="str">
        <f>VLOOKUP(ORDERS[[#This Row],[ProductID]],Products[],3,FALSE)</f>
        <v>Male</v>
      </c>
      <c r="L1743" s="2">
        <f>DAY(ORDERS[[#This Row],[OrderDate]])</f>
        <v>29</v>
      </c>
      <c r="M1743" s="2">
        <f>YEAR(ORDERS[[#This Row],[OrderDate]])</f>
        <v>2015</v>
      </c>
    </row>
    <row r="1744" spans="1:13" x14ac:dyDescent="0.3">
      <c r="A1744">
        <v>1743</v>
      </c>
      <c r="B1744">
        <v>3</v>
      </c>
      <c r="C1744">
        <v>8</v>
      </c>
      <c r="D1744" s="1">
        <v>42307</v>
      </c>
      <c r="E1744">
        <v>67</v>
      </c>
      <c r="F1744">
        <f>VLOOKUP(ORDERS[[#This Row],[ProductID]],Products[],4,FALSE)</f>
        <v>27</v>
      </c>
      <c r="G1744">
        <v>0.10000000100000001</v>
      </c>
      <c r="H1744">
        <f>(ORDERS[[#This Row],[UnitsOrdered]]*ORDERS[[#This Row],[unit price]])-(ORDERS[[#This Row],[UnitsOrdered]]*ORDERS[[#This Row],[unit price]]*ORDERS[[#This Row],[Discount]])</f>
        <v>1628.0999981909999</v>
      </c>
      <c r="I1744" t="str">
        <f>VLOOKUP(ORDERS[[#This Row],[CustomerID]],customers[],2,FALSE)</f>
        <v>Shirts R Us</v>
      </c>
      <c r="J1744" s="2" t="str">
        <f>VLOOKUP(ORDERS[[#This Row],[CustomerID]],customers[],4,FALSE)</f>
        <v>Los Angeles</v>
      </c>
      <c r="K1744" s="2" t="str">
        <f>VLOOKUP(ORDERS[[#This Row],[ProductID]],Products[],3,FALSE)</f>
        <v>Female</v>
      </c>
      <c r="L1744" s="2">
        <f>DAY(ORDERS[[#This Row],[OrderDate]])</f>
        <v>30</v>
      </c>
      <c r="M1744" s="2">
        <f>YEAR(ORDERS[[#This Row],[OrderDate]])</f>
        <v>2015</v>
      </c>
    </row>
    <row r="1745" spans="1:13" x14ac:dyDescent="0.3">
      <c r="A1745">
        <v>1744</v>
      </c>
      <c r="B1745">
        <v>4</v>
      </c>
      <c r="C1745">
        <v>1</v>
      </c>
      <c r="D1745" s="1">
        <v>42307</v>
      </c>
      <c r="E1745">
        <v>95</v>
      </c>
      <c r="F1745">
        <f>VLOOKUP(ORDERS[[#This Row],[ProductID]],Products[],4,FALSE)</f>
        <v>20</v>
      </c>
      <c r="G1745">
        <v>0.15000000599999999</v>
      </c>
      <c r="H1745">
        <f>(ORDERS[[#This Row],[UnitsOrdered]]*ORDERS[[#This Row],[unit price]])-(ORDERS[[#This Row],[UnitsOrdered]]*ORDERS[[#This Row],[unit price]]*ORDERS[[#This Row],[Discount]])</f>
        <v>1614.9999886000001</v>
      </c>
      <c r="I1745" t="str">
        <f>VLOOKUP(ORDERS[[#This Row],[CustomerID]],customers[],2,FALSE)</f>
        <v>Tshirt Unlimited</v>
      </c>
      <c r="J1745" s="2" t="str">
        <f>VLOOKUP(ORDERS[[#This Row],[CustomerID]],customers[],4,FALSE)</f>
        <v>Phoenix</v>
      </c>
      <c r="K1745" s="2" t="str">
        <f>VLOOKUP(ORDERS[[#This Row],[ProductID]],Products[],3,FALSE)</f>
        <v>Both</v>
      </c>
      <c r="L1745" s="2">
        <f>DAY(ORDERS[[#This Row],[OrderDate]])</f>
        <v>30</v>
      </c>
      <c r="M1745" s="2">
        <f>YEAR(ORDERS[[#This Row],[OrderDate]])</f>
        <v>2015</v>
      </c>
    </row>
    <row r="1746" spans="1:13" x14ac:dyDescent="0.3">
      <c r="A1746">
        <v>1745</v>
      </c>
      <c r="B1746">
        <v>7</v>
      </c>
      <c r="C1746">
        <v>9</v>
      </c>
      <c r="D1746" s="1">
        <v>42307</v>
      </c>
      <c r="E1746">
        <v>119</v>
      </c>
      <c r="F1746">
        <f>VLOOKUP(ORDERS[[#This Row],[ProductID]],Products[],4,FALSE)</f>
        <v>25</v>
      </c>
      <c r="G1746">
        <v>0</v>
      </c>
      <c r="H1746">
        <f>(ORDERS[[#This Row],[UnitsOrdered]]*ORDERS[[#This Row],[unit price]])-(ORDERS[[#This Row],[UnitsOrdered]]*ORDERS[[#This Row],[unit price]]*ORDERS[[#This Row],[Discount]])</f>
        <v>2975</v>
      </c>
      <c r="I1746" t="str">
        <f>VLOOKUP(ORDERS[[#This Row],[CustomerID]],customers[],2,FALSE)</f>
        <v>The Shirt on Your Back</v>
      </c>
      <c r="J1746" s="2" t="str">
        <f>VLOOKUP(ORDERS[[#This Row],[CustomerID]],customers[],4,FALSE)</f>
        <v>Bonners Ferry</v>
      </c>
      <c r="K1746" s="2" t="str">
        <f>VLOOKUP(ORDERS[[#This Row],[ProductID]],Products[],3,FALSE)</f>
        <v>Male</v>
      </c>
      <c r="L1746" s="2">
        <f>DAY(ORDERS[[#This Row],[OrderDate]])</f>
        <v>30</v>
      </c>
      <c r="M1746" s="2">
        <f>YEAR(ORDERS[[#This Row],[OrderDate]])</f>
        <v>2015</v>
      </c>
    </row>
    <row r="1747" spans="1:13" x14ac:dyDescent="0.3">
      <c r="A1747">
        <v>1746</v>
      </c>
      <c r="B1747">
        <v>3</v>
      </c>
      <c r="C1747">
        <v>10</v>
      </c>
      <c r="D1747" s="1">
        <v>42308</v>
      </c>
      <c r="E1747">
        <v>146</v>
      </c>
      <c r="F1747">
        <f>VLOOKUP(ORDERS[[#This Row],[ProductID]],Products[],4,FALSE)</f>
        <v>35</v>
      </c>
      <c r="G1747">
        <v>0</v>
      </c>
      <c r="H1747">
        <f>(ORDERS[[#This Row],[UnitsOrdered]]*ORDERS[[#This Row],[unit price]])-(ORDERS[[#This Row],[UnitsOrdered]]*ORDERS[[#This Row],[unit price]]*ORDERS[[#This Row],[Discount]])</f>
        <v>5110</v>
      </c>
      <c r="I1747" t="str">
        <f>VLOOKUP(ORDERS[[#This Row],[CustomerID]],customers[],2,FALSE)</f>
        <v>Shirts R Us</v>
      </c>
      <c r="J1747" s="2" t="str">
        <f>VLOOKUP(ORDERS[[#This Row],[CustomerID]],customers[],4,FALSE)</f>
        <v>Los Angeles</v>
      </c>
      <c r="K1747" s="2" t="str">
        <f>VLOOKUP(ORDERS[[#This Row],[ProductID]],Products[],3,FALSE)</f>
        <v>Male</v>
      </c>
      <c r="L1747" s="2">
        <f>DAY(ORDERS[[#This Row],[OrderDate]])</f>
        <v>31</v>
      </c>
      <c r="M1747" s="2">
        <f>YEAR(ORDERS[[#This Row],[OrderDate]])</f>
        <v>2015</v>
      </c>
    </row>
    <row r="1748" spans="1:13" x14ac:dyDescent="0.3">
      <c r="A1748">
        <v>1747</v>
      </c>
      <c r="B1748">
        <v>7</v>
      </c>
      <c r="C1748">
        <v>10</v>
      </c>
      <c r="D1748" s="1">
        <v>42310</v>
      </c>
      <c r="E1748">
        <v>127</v>
      </c>
      <c r="F1748">
        <f>VLOOKUP(ORDERS[[#This Row],[ProductID]],Products[],4,FALSE)</f>
        <v>35</v>
      </c>
      <c r="G1748">
        <v>0</v>
      </c>
      <c r="H1748">
        <f>(ORDERS[[#This Row],[UnitsOrdered]]*ORDERS[[#This Row],[unit price]])-(ORDERS[[#This Row],[UnitsOrdered]]*ORDERS[[#This Row],[unit price]]*ORDERS[[#This Row],[Discount]])</f>
        <v>4445</v>
      </c>
      <c r="I1748" t="str">
        <f>VLOOKUP(ORDERS[[#This Row],[CustomerID]],customers[],2,FALSE)</f>
        <v>The Shirt on Your Back</v>
      </c>
      <c r="J1748" s="2" t="str">
        <f>VLOOKUP(ORDERS[[#This Row],[CustomerID]],customers[],4,FALSE)</f>
        <v>Bonners Ferry</v>
      </c>
      <c r="K1748" s="2" t="str">
        <f>VLOOKUP(ORDERS[[#This Row],[ProductID]],Products[],3,FALSE)</f>
        <v>Male</v>
      </c>
      <c r="L1748" s="2">
        <f>DAY(ORDERS[[#This Row],[OrderDate]])</f>
        <v>2</v>
      </c>
      <c r="M1748" s="2">
        <f>YEAR(ORDERS[[#This Row],[OrderDate]])</f>
        <v>2015</v>
      </c>
    </row>
    <row r="1749" spans="1:13" x14ac:dyDescent="0.3">
      <c r="A1749">
        <v>1748</v>
      </c>
      <c r="B1749">
        <v>7</v>
      </c>
      <c r="C1749">
        <v>10</v>
      </c>
      <c r="D1749" s="1">
        <v>42313</v>
      </c>
      <c r="E1749">
        <v>111</v>
      </c>
      <c r="F1749">
        <f>VLOOKUP(ORDERS[[#This Row],[ProductID]],Products[],4,FALSE)</f>
        <v>35</v>
      </c>
      <c r="G1749">
        <v>0</v>
      </c>
      <c r="H1749">
        <f>(ORDERS[[#This Row],[UnitsOrdered]]*ORDERS[[#This Row],[unit price]])-(ORDERS[[#This Row],[UnitsOrdered]]*ORDERS[[#This Row],[unit price]]*ORDERS[[#This Row],[Discount]])</f>
        <v>3885</v>
      </c>
      <c r="I1749" t="str">
        <f>VLOOKUP(ORDERS[[#This Row],[CustomerID]],customers[],2,FALSE)</f>
        <v>The Shirt on Your Back</v>
      </c>
      <c r="J1749" s="2" t="str">
        <f>VLOOKUP(ORDERS[[#This Row],[CustomerID]],customers[],4,FALSE)</f>
        <v>Bonners Ferry</v>
      </c>
      <c r="K1749" s="2" t="str">
        <f>VLOOKUP(ORDERS[[#This Row],[ProductID]],Products[],3,FALSE)</f>
        <v>Male</v>
      </c>
      <c r="L1749" s="2">
        <f>DAY(ORDERS[[#This Row],[OrderDate]])</f>
        <v>5</v>
      </c>
      <c r="M1749" s="2">
        <f>YEAR(ORDERS[[#This Row],[OrderDate]])</f>
        <v>2015</v>
      </c>
    </row>
    <row r="1750" spans="1:13" x14ac:dyDescent="0.3">
      <c r="A1750">
        <v>1749</v>
      </c>
      <c r="B1750">
        <v>2</v>
      </c>
      <c r="C1750">
        <v>1</v>
      </c>
      <c r="D1750" s="1">
        <v>42314</v>
      </c>
      <c r="E1750">
        <v>139</v>
      </c>
      <c r="F1750">
        <f>VLOOKUP(ORDERS[[#This Row],[ProductID]],Products[],4,FALSE)</f>
        <v>20</v>
      </c>
      <c r="G1750">
        <v>0</v>
      </c>
      <c r="H1750">
        <f>(ORDERS[[#This Row],[UnitsOrdered]]*ORDERS[[#This Row],[unit price]])-(ORDERS[[#This Row],[UnitsOrdered]]*ORDERS[[#This Row],[unit price]]*ORDERS[[#This Row],[Discount]])</f>
        <v>2780</v>
      </c>
      <c r="I1750" t="str">
        <f>VLOOKUP(ORDERS[[#This Row],[CustomerID]],customers[],2,FALSE)</f>
        <v>A Shirts Life</v>
      </c>
      <c r="J1750" s="2" t="str">
        <f>VLOOKUP(ORDERS[[#This Row],[CustomerID]],customers[],4,FALSE)</f>
        <v>Portland</v>
      </c>
      <c r="K1750" s="2" t="str">
        <f>VLOOKUP(ORDERS[[#This Row],[ProductID]],Products[],3,FALSE)</f>
        <v>Both</v>
      </c>
      <c r="L1750" s="2">
        <f>DAY(ORDERS[[#This Row],[OrderDate]])</f>
        <v>6</v>
      </c>
      <c r="M1750" s="2">
        <f>YEAR(ORDERS[[#This Row],[OrderDate]])</f>
        <v>2015</v>
      </c>
    </row>
    <row r="1751" spans="1:13" x14ac:dyDescent="0.3">
      <c r="A1751">
        <v>1750</v>
      </c>
      <c r="B1751">
        <v>2</v>
      </c>
      <c r="C1751">
        <v>4</v>
      </c>
      <c r="D1751" s="1">
        <v>42314</v>
      </c>
      <c r="E1751">
        <v>130</v>
      </c>
      <c r="F1751">
        <f>VLOOKUP(ORDERS[[#This Row],[ProductID]],Products[],4,FALSE)</f>
        <v>30</v>
      </c>
      <c r="G1751">
        <v>0</v>
      </c>
      <c r="H1751">
        <f>(ORDERS[[#This Row],[UnitsOrdered]]*ORDERS[[#This Row],[unit price]])-(ORDERS[[#This Row],[UnitsOrdered]]*ORDERS[[#This Row],[unit price]]*ORDERS[[#This Row],[Discount]])</f>
        <v>3900</v>
      </c>
      <c r="I1751" t="str">
        <f>VLOOKUP(ORDERS[[#This Row],[CustomerID]],customers[],2,FALSE)</f>
        <v>A Shirts Life</v>
      </c>
      <c r="J1751" s="2" t="str">
        <f>VLOOKUP(ORDERS[[#This Row],[CustomerID]],customers[],4,FALSE)</f>
        <v>Portland</v>
      </c>
      <c r="K1751" s="2" t="str">
        <f>VLOOKUP(ORDERS[[#This Row],[ProductID]],Products[],3,FALSE)</f>
        <v>Both</v>
      </c>
      <c r="L1751" s="2">
        <f>DAY(ORDERS[[#This Row],[OrderDate]])</f>
        <v>6</v>
      </c>
      <c r="M1751" s="2">
        <f>YEAR(ORDERS[[#This Row],[OrderDate]])</f>
        <v>2015</v>
      </c>
    </row>
    <row r="1752" spans="1:13" x14ac:dyDescent="0.3">
      <c r="A1752">
        <v>1751</v>
      </c>
      <c r="B1752">
        <v>3</v>
      </c>
      <c r="C1752">
        <v>7</v>
      </c>
      <c r="D1752" s="1">
        <v>42314</v>
      </c>
      <c r="E1752">
        <v>134</v>
      </c>
      <c r="F1752">
        <f>VLOOKUP(ORDERS[[#This Row],[ProductID]],Products[],4,FALSE)</f>
        <v>38</v>
      </c>
      <c r="G1752">
        <v>0</v>
      </c>
      <c r="H1752">
        <f>(ORDERS[[#This Row],[UnitsOrdered]]*ORDERS[[#This Row],[unit price]])-(ORDERS[[#This Row],[UnitsOrdered]]*ORDERS[[#This Row],[unit price]]*ORDERS[[#This Row],[Discount]])</f>
        <v>5092</v>
      </c>
      <c r="I1752" t="str">
        <f>VLOOKUP(ORDERS[[#This Row],[CustomerID]],customers[],2,FALSE)</f>
        <v>Shirts R Us</v>
      </c>
      <c r="J1752" s="2" t="str">
        <f>VLOOKUP(ORDERS[[#This Row],[CustomerID]],customers[],4,FALSE)</f>
        <v>Los Angeles</v>
      </c>
      <c r="K1752" s="2" t="str">
        <f>VLOOKUP(ORDERS[[#This Row],[ProductID]],Products[],3,FALSE)</f>
        <v>Female</v>
      </c>
      <c r="L1752" s="2">
        <f>DAY(ORDERS[[#This Row],[OrderDate]])</f>
        <v>6</v>
      </c>
      <c r="M1752" s="2">
        <f>YEAR(ORDERS[[#This Row],[OrderDate]])</f>
        <v>2015</v>
      </c>
    </row>
    <row r="1753" spans="1:13" x14ac:dyDescent="0.3">
      <c r="A1753">
        <v>1752</v>
      </c>
      <c r="B1753">
        <v>6</v>
      </c>
      <c r="C1753">
        <v>5</v>
      </c>
      <c r="D1753" s="1">
        <v>42314</v>
      </c>
      <c r="E1753">
        <v>134</v>
      </c>
      <c r="F1753">
        <f>VLOOKUP(ORDERS[[#This Row],[ProductID]],Products[],4,FALSE)</f>
        <v>16</v>
      </c>
      <c r="G1753">
        <v>5.0000001000000002E-2</v>
      </c>
      <c r="H1753">
        <f>(ORDERS[[#This Row],[UnitsOrdered]]*ORDERS[[#This Row],[unit price]])-(ORDERS[[#This Row],[UnitsOrdered]]*ORDERS[[#This Row],[unit price]]*ORDERS[[#This Row],[Discount]])</f>
        <v>2036.7999978559999</v>
      </c>
      <c r="I1753" t="str">
        <f>VLOOKUP(ORDERS[[#This Row],[CustomerID]],customers[],2,FALSE)</f>
        <v>Abracadaba Ink</v>
      </c>
      <c r="J1753" s="2" t="str">
        <f>VLOOKUP(ORDERS[[#This Row],[CustomerID]],customers[],4,FALSE)</f>
        <v>Salt Lake City</v>
      </c>
      <c r="K1753" s="2" t="str">
        <f>VLOOKUP(ORDERS[[#This Row],[ProductID]],Products[],3,FALSE)</f>
        <v>Female</v>
      </c>
      <c r="L1753" s="2">
        <f>DAY(ORDERS[[#This Row],[OrderDate]])</f>
        <v>6</v>
      </c>
      <c r="M1753" s="2">
        <f>YEAR(ORDERS[[#This Row],[OrderDate]])</f>
        <v>2015</v>
      </c>
    </row>
    <row r="1754" spans="1:13" x14ac:dyDescent="0.3">
      <c r="A1754">
        <v>1753</v>
      </c>
      <c r="B1754">
        <v>7</v>
      </c>
      <c r="C1754">
        <v>5</v>
      </c>
      <c r="D1754" s="1">
        <v>42314</v>
      </c>
      <c r="E1754">
        <v>119</v>
      </c>
      <c r="F1754">
        <f>VLOOKUP(ORDERS[[#This Row],[ProductID]],Products[],4,FALSE)</f>
        <v>16</v>
      </c>
      <c r="G1754">
        <v>0</v>
      </c>
      <c r="H1754">
        <f>(ORDERS[[#This Row],[UnitsOrdered]]*ORDERS[[#This Row],[unit price]])-(ORDERS[[#This Row],[UnitsOrdered]]*ORDERS[[#This Row],[unit price]]*ORDERS[[#This Row],[Discount]])</f>
        <v>1904</v>
      </c>
      <c r="I1754" t="str">
        <f>VLOOKUP(ORDERS[[#This Row],[CustomerID]],customers[],2,FALSE)</f>
        <v>The Shirt on Your Back</v>
      </c>
      <c r="J1754" s="2" t="str">
        <f>VLOOKUP(ORDERS[[#This Row],[CustomerID]],customers[],4,FALSE)</f>
        <v>Bonners Ferry</v>
      </c>
      <c r="K1754" s="2" t="str">
        <f>VLOOKUP(ORDERS[[#This Row],[ProductID]],Products[],3,FALSE)</f>
        <v>Female</v>
      </c>
      <c r="L1754" s="2">
        <f>DAY(ORDERS[[#This Row],[OrderDate]])</f>
        <v>6</v>
      </c>
      <c r="M1754" s="2">
        <f>YEAR(ORDERS[[#This Row],[OrderDate]])</f>
        <v>2015</v>
      </c>
    </row>
    <row r="1755" spans="1:13" x14ac:dyDescent="0.3">
      <c r="A1755">
        <v>1754</v>
      </c>
      <c r="B1755">
        <v>1</v>
      </c>
      <c r="C1755">
        <v>4</v>
      </c>
      <c r="D1755" s="1">
        <v>42317</v>
      </c>
      <c r="E1755">
        <v>137</v>
      </c>
      <c r="F1755">
        <f>VLOOKUP(ORDERS[[#This Row],[ProductID]],Products[],4,FALSE)</f>
        <v>30</v>
      </c>
      <c r="G1755">
        <v>0</v>
      </c>
      <c r="H1755">
        <f>(ORDERS[[#This Row],[UnitsOrdered]]*ORDERS[[#This Row],[unit price]])-(ORDERS[[#This Row],[UnitsOrdered]]*ORDERS[[#This Row],[unit price]]*ORDERS[[#This Row],[Discount]])</f>
        <v>4110</v>
      </c>
      <c r="I1755" t="str">
        <f>VLOOKUP(ORDERS[[#This Row],[CustomerID]],customers[],2,FALSE)</f>
        <v>Threads</v>
      </c>
      <c r="J1755" s="2" t="str">
        <f>VLOOKUP(ORDERS[[#This Row],[CustomerID]],customers[],4,FALSE)</f>
        <v>Seattle</v>
      </c>
      <c r="K1755" s="2" t="str">
        <f>VLOOKUP(ORDERS[[#This Row],[ProductID]],Products[],3,FALSE)</f>
        <v>Both</v>
      </c>
      <c r="L1755" s="2">
        <f>DAY(ORDERS[[#This Row],[OrderDate]])</f>
        <v>9</v>
      </c>
      <c r="M1755" s="2">
        <f>YEAR(ORDERS[[#This Row],[OrderDate]])</f>
        <v>2015</v>
      </c>
    </row>
    <row r="1756" spans="1:13" x14ac:dyDescent="0.3">
      <c r="A1756">
        <v>1755</v>
      </c>
      <c r="B1756">
        <v>1</v>
      </c>
      <c r="C1756">
        <v>10</v>
      </c>
      <c r="D1756" s="1">
        <v>42317</v>
      </c>
      <c r="E1756">
        <v>111</v>
      </c>
      <c r="F1756">
        <f>VLOOKUP(ORDERS[[#This Row],[ProductID]],Products[],4,FALSE)</f>
        <v>35</v>
      </c>
      <c r="G1756">
        <v>0</v>
      </c>
      <c r="H1756">
        <f>(ORDERS[[#This Row],[UnitsOrdered]]*ORDERS[[#This Row],[unit price]])-(ORDERS[[#This Row],[UnitsOrdered]]*ORDERS[[#This Row],[unit price]]*ORDERS[[#This Row],[Discount]])</f>
        <v>3885</v>
      </c>
      <c r="I1756" t="str">
        <f>VLOOKUP(ORDERS[[#This Row],[CustomerID]],customers[],2,FALSE)</f>
        <v>Threads</v>
      </c>
      <c r="J1756" s="2" t="str">
        <f>VLOOKUP(ORDERS[[#This Row],[CustomerID]],customers[],4,FALSE)</f>
        <v>Seattle</v>
      </c>
      <c r="K1756" s="2" t="str">
        <f>VLOOKUP(ORDERS[[#This Row],[ProductID]],Products[],3,FALSE)</f>
        <v>Male</v>
      </c>
      <c r="L1756" s="2">
        <f>DAY(ORDERS[[#This Row],[OrderDate]])</f>
        <v>9</v>
      </c>
      <c r="M1756" s="2">
        <f>YEAR(ORDERS[[#This Row],[OrderDate]])</f>
        <v>2015</v>
      </c>
    </row>
    <row r="1757" spans="1:13" x14ac:dyDescent="0.3">
      <c r="A1757">
        <v>1756</v>
      </c>
      <c r="B1757">
        <v>3</v>
      </c>
      <c r="C1757">
        <v>9</v>
      </c>
      <c r="D1757" s="1">
        <v>42319</v>
      </c>
      <c r="E1757">
        <v>44</v>
      </c>
      <c r="F1757">
        <f>VLOOKUP(ORDERS[[#This Row],[ProductID]],Products[],4,FALSE)</f>
        <v>25</v>
      </c>
      <c r="G1757">
        <v>0</v>
      </c>
      <c r="H1757">
        <f>(ORDERS[[#This Row],[UnitsOrdered]]*ORDERS[[#This Row],[unit price]])-(ORDERS[[#This Row],[UnitsOrdered]]*ORDERS[[#This Row],[unit price]]*ORDERS[[#This Row],[Discount]])</f>
        <v>1100</v>
      </c>
      <c r="I1757" t="str">
        <f>VLOOKUP(ORDERS[[#This Row],[CustomerID]],customers[],2,FALSE)</f>
        <v>Shirts R Us</v>
      </c>
      <c r="J1757" s="2" t="str">
        <f>VLOOKUP(ORDERS[[#This Row],[CustomerID]],customers[],4,FALSE)</f>
        <v>Los Angeles</v>
      </c>
      <c r="K1757" s="2" t="str">
        <f>VLOOKUP(ORDERS[[#This Row],[ProductID]],Products[],3,FALSE)</f>
        <v>Male</v>
      </c>
      <c r="L1757" s="2">
        <f>DAY(ORDERS[[#This Row],[OrderDate]])</f>
        <v>11</v>
      </c>
      <c r="M1757" s="2">
        <f>YEAR(ORDERS[[#This Row],[OrderDate]])</f>
        <v>2015</v>
      </c>
    </row>
    <row r="1758" spans="1:13" x14ac:dyDescent="0.3">
      <c r="A1758">
        <v>1757</v>
      </c>
      <c r="B1758">
        <v>5</v>
      </c>
      <c r="C1758">
        <v>4</v>
      </c>
      <c r="D1758" s="1">
        <v>42319</v>
      </c>
      <c r="E1758">
        <v>80</v>
      </c>
      <c r="F1758">
        <f>VLOOKUP(ORDERS[[#This Row],[ProductID]],Products[],4,FALSE)</f>
        <v>30</v>
      </c>
      <c r="G1758">
        <v>0</v>
      </c>
      <c r="H1758">
        <f>(ORDERS[[#This Row],[UnitsOrdered]]*ORDERS[[#This Row],[unit price]])-(ORDERS[[#This Row],[UnitsOrdered]]*ORDERS[[#This Row],[unit price]]*ORDERS[[#This Row],[Discount]])</f>
        <v>2400</v>
      </c>
      <c r="I1758" t="str">
        <f>VLOOKUP(ORDERS[[#This Row],[CustomerID]],customers[],2,FALSE)</f>
        <v>Rags to Riches</v>
      </c>
      <c r="J1758" s="2" t="str">
        <f>VLOOKUP(ORDERS[[#This Row],[CustomerID]],customers[],4,FALSE)</f>
        <v>Las Vegas</v>
      </c>
      <c r="K1758" s="2" t="str">
        <f>VLOOKUP(ORDERS[[#This Row],[ProductID]],Products[],3,FALSE)</f>
        <v>Both</v>
      </c>
      <c r="L1758" s="2">
        <f>DAY(ORDERS[[#This Row],[OrderDate]])</f>
        <v>11</v>
      </c>
      <c r="M1758" s="2">
        <f>YEAR(ORDERS[[#This Row],[OrderDate]])</f>
        <v>2015</v>
      </c>
    </row>
    <row r="1759" spans="1:13" x14ac:dyDescent="0.3">
      <c r="A1759">
        <v>1758</v>
      </c>
      <c r="B1759">
        <v>5</v>
      </c>
      <c r="C1759">
        <v>8</v>
      </c>
      <c r="D1759" s="1">
        <v>42319</v>
      </c>
      <c r="E1759">
        <v>59</v>
      </c>
      <c r="F1759">
        <f>VLOOKUP(ORDERS[[#This Row],[ProductID]],Products[],4,FALSE)</f>
        <v>27</v>
      </c>
      <c r="G1759">
        <v>0</v>
      </c>
      <c r="H1759">
        <f>(ORDERS[[#This Row],[UnitsOrdered]]*ORDERS[[#This Row],[unit price]])-(ORDERS[[#This Row],[UnitsOrdered]]*ORDERS[[#This Row],[unit price]]*ORDERS[[#This Row],[Discount]])</f>
        <v>1593</v>
      </c>
      <c r="I1759" t="str">
        <f>VLOOKUP(ORDERS[[#This Row],[CustomerID]],customers[],2,FALSE)</f>
        <v>Rags to Riches</v>
      </c>
      <c r="J1759" s="2" t="str">
        <f>VLOOKUP(ORDERS[[#This Row],[CustomerID]],customers[],4,FALSE)</f>
        <v>Las Vegas</v>
      </c>
      <c r="K1759" s="2" t="str">
        <f>VLOOKUP(ORDERS[[#This Row],[ProductID]],Products[],3,FALSE)</f>
        <v>Female</v>
      </c>
      <c r="L1759" s="2">
        <f>DAY(ORDERS[[#This Row],[OrderDate]])</f>
        <v>11</v>
      </c>
      <c r="M1759" s="2">
        <f>YEAR(ORDERS[[#This Row],[OrderDate]])</f>
        <v>2015</v>
      </c>
    </row>
    <row r="1760" spans="1:13" x14ac:dyDescent="0.3">
      <c r="A1760">
        <v>1759</v>
      </c>
      <c r="B1760">
        <v>1</v>
      </c>
      <c r="C1760">
        <v>4</v>
      </c>
      <c r="D1760" s="1">
        <v>42322</v>
      </c>
      <c r="E1760">
        <v>66</v>
      </c>
      <c r="F1760">
        <f>VLOOKUP(ORDERS[[#This Row],[ProductID]],Products[],4,FALSE)</f>
        <v>30</v>
      </c>
      <c r="G1760">
        <v>5.0000001000000002E-2</v>
      </c>
      <c r="H1760">
        <f>(ORDERS[[#This Row],[UnitsOrdered]]*ORDERS[[#This Row],[unit price]])-(ORDERS[[#This Row],[UnitsOrdered]]*ORDERS[[#This Row],[unit price]]*ORDERS[[#This Row],[Discount]])</f>
        <v>1880.99999802</v>
      </c>
      <c r="I1760" t="str">
        <f>VLOOKUP(ORDERS[[#This Row],[CustomerID]],customers[],2,FALSE)</f>
        <v>Threads</v>
      </c>
      <c r="J1760" s="2" t="str">
        <f>VLOOKUP(ORDERS[[#This Row],[CustomerID]],customers[],4,FALSE)</f>
        <v>Seattle</v>
      </c>
      <c r="K1760" s="2" t="str">
        <f>VLOOKUP(ORDERS[[#This Row],[ProductID]],Products[],3,FALSE)</f>
        <v>Both</v>
      </c>
      <c r="L1760" s="2">
        <f>DAY(ORDERS[[#This Row],[OrderDate]])</f>
        <v>14</v>
      </c>
      <c r="M1760" s="2">
        <f>YEAR(ORDERS[[#This Row],[OrderDate]])</f>
        <v>2015</v>
      </c>
    </row>
    <row r="1761" spans="1:13" x14ac:dyDescent="0.3">
      <c r="A1761">
        <v>1760</v>
      </c>
      <c r="B1761">
        <v>1</v>
      </c>
      <c r="C1761">
        <v>2</v>
      </c>
      <c r="D1761" s="1">
        <v>42323</v>
      </c>
      <c r="E1761">
        <v>106</v>
      </c>
      <c r="F1761">
        <f>VLOOKUP(ORDERS[[#This Row],[ProductID]],Products[],4,FALSE)</f>
        <v>30</v>
      </c>
      <c r="G1761">
        <v>0</v>
      </c>
      <c r="H1761">
        <f>(ORDERS[[#This Row],[UnitsOrdered]]*ORDERS[[#This Row],[unit price]])-(ORDERS[[#This Row],[UnitsOrdered]]*ORDERS[[#This Row],[unit price]]*ORDERS[[#This Row],[Discount]])</f>
        <v>3180</v>
      </c>
      <c r="I1761" t="str">
        <f>VLOOKUP(ORDERS[[#This Row],[CustomerID]],customers[],2,FALSE)</f>
        <v>Threads</v>
      </c>
      <c r="J1761" s="2" t="str">
        <f>VLOOKUP(ORDERS[[#This Row],[CustomerID]],customers[],4,FALSE)</f>
        <v>Seattle</v>
      </c>
      <c r="K1761" s="2" t="str">
        <f>VLOOKUP(ORDERS[[#This Row],[ProductID]],Products[],3,FALSE)</f>
        <v>Both</v>
      </c>
      <c r="L1761" s="2">
        <f>DAY(ORDERS[[#This Row],[OrderDate]])</f>
        <v>15</v>
      </c>
      <c r="M1761" s="2">
        <f>YEAR(ORDERS[[#This Row],[OrderDate]])</f>
        <v>2015</v>
      </c>
    </row>
    <row r="1762" spans="1:13" x14ac:dyDescent="0.3">
      <c r="A1762">
        <v>1761</v>
      </c>
      <c r="B1762">
        <v>2</v>
      </c>
      <c r="C1762">
        <v>3</v>
      </c>
      <c r="D1762" s="1">
        <v>42323</v>
      </c>
      <c r="E1762">
        <v>144</v>
      </c>
      <c r="F1762">
        <f>VLOOKUP(ORDERS[[#This Row],[ProductID]],Products[],4,FALSE)</f>
        <v>22</v>
      </c>
      <c r="G1762">
        <v>0</v>
      </c>
      <c r="H1762">
        <f>(ORDERS[[#This Row],[UnitsOrdered]]*ORDERS[[#This Row],[unit price]])-(ORDERS[[#This Row],[UnitsOrdered]]*ORDERS[[#This Row],[unit price]]*ORDERS[[#This Row],[Discount]])</f>
        <v>3168</v>
      </c>
      <c r="I1762" t="str">
        <f>VLOOKUP(ORDERS[[#This Row],[CustomerID]],customers[],2,FALSE)</f>
        <v>A Shirts Life</v>
      </c>
      <c r="J1762" s="2" t="str">
        <f>VLOOKUP(ORDERS[[#This Row],[CustomerID]],customers[],4,FALSE)</f>
        <v>Portland</v>
      </c>
      <c r="K1762" s="2" t="str">
        <f>VLOOKUP(ORDERS[[#This Row],[ProductID]],Products[],3,FALSE)</f>
        <v>Both</v>
      </c>
      <c r="L1762" s="2">
        <f>DAY(ORDERS[[#This Row],[OrderDate]])</f>
        <v>15</v>
      </c>
      <c r="M1762" s="2">
        <f>YEAR(ORDERS[[#This Row],[OrderDate]])</f>
        <v>2015</v>
      </c>
    </row>
    <row r="1763" spans="1:13" x14ac:dyDescent="0.3">
      <c r="A1763">
        <v>1762</v>
      </c>
      <c r="B1763">
        <v>6</v>
      </c>
      <c r="C1763">
        <v>1</v>
      </c>
      <c r="D1763" s="1">
        <v>42323</v>
      </c>
      <c r="E1763">
        <v>108</v>
      </c>
      <c r="F1763">
        <f>VLOOKUP(ORDERS[[#This Row],[ProductID]],Products[],4,FALSE)</f>
        <v>20</v>
      </c>
      <c r="G1763">
        <v>0</v>
      </c>
      <c r="H1763">
        <f>(ORDERS[[#This Row],[UnitsOrdered]]*ORDERS[[#This Row],[unit price]])-(ORDERS[[#This Row],[UnitsOrdered]]*ORDERS[[#This Row],[unit price]]*ORDERS[[#This Row],[Discount]])</f>
        <v>2160</v>
      </c>
      <c r="I1763" t="str">
        <f>VLOOKUP(ORDERS[[#This Row],[CustomerID]],customers[],2,FALSE)</f>
        <v>Abracadaba Ink</v>
      </c>
      <c r="J1763" s="2" t="str">
        <f>VLOOKUP(ORDERS[[#This Row],[CustomerID]],customers[],4,FALSE)</f>
        <v>Salt Lake City</v>
      </c>
      <c r="K1763" s="2" t="str">
        <f>VLOOKUP(ORDERS[[#This Row],[ProductID]],Products[],3,FALSE)</f>
        <v>Both</v>
      </c>
      <c r="L1763" s="2">
        <f>DAY(ORDERS[[#This Row],[OrderDate]])</f>
        <v>15</v>
      </c>
      <c r="M1763" s="2">
        <f>YEAR(ORDERS[[#This Row],[OrderDate]])</f>
        <v>2015</v>
      </c>
    </row>
    <row r="1764" spans="1:13" x14ac:dyDescent="0.3">
      <c r="A1764">
        <v>1763</v>
      </c>
      <c r="B1764">
        <v>2</v>
      </c>
      <c r="C1764">
        <v>8</v>
      </c>
      <c r="D1764" s="1">
        <v>42326</v>
      </c>
      <c r="E1764">
        <v>84</v>
      </c>
      <c r="F1764">
        <f>VLOOKUP(ORDERS[[#This Row],[ProductID]],Products[],4,FALSE)</f>
        <v>27</v>
      </c>
      <c r="G1764">
        <v>0</v>
      </c>
      <c r="H1764">
        <f>(ORDERS[[#This Row],[UnitsOrdered]]*ORDERS[[#This Row],[unit price]])-(ORDERS[[#This Row],[UnitsOrdered]]*ORDERS[[#This Row],[unit price]]*ORDERS[[#This Row],[Discount]])</f>
        <v>2268</v>
      </c>
      <c r="I1764" t="str">
        <f>VLOOKUP(ORDERS[[#This Row],[CustomerID]],customers[],2,FALSE)</f>
        <v>A Shirts Life</v>
      </c>
      <c r="J1764" s="2" t="str">
        <f>VLOOKUP(ORDERS[[#This Row],[CustomerID]],customers[],4,FALSE)</f>
        <v>Portland</v>
      </c>
      <c r="K1764" s="2" t="str">
        <f>VLOOKUP(ORDERS[[#This Row],[ProductID]],Products[],3,FALSE)</f>
        <v>Female</v>
      </c>
      <c r="L1764" s="2">
        <f>DAY(ORDERS[[#This Row],[OrderDate]])</f>
        <v>18</v>
      </c>
      <c r="M1764" s="2">
        <f>YEAR(ORDERS[[#This Row],[OrderDate]])</f>
        <v>2015</v>
      </c>
    </row>
    <row r="1765" spans="1:13" x14ac:dyDescent="0.3">
      <c r="A1765">
        <v>1764</v>
      </c>
      <c r="B1765">
        <v>6</v>
      </c>
      <c r="C1765">
        <v>2</v>
      </c>
      <c r="D1765" s="1">
        <v>42326</v>
      </c>
      <c r="E1765">
        <v>120</v>
      </c>
      <c r="F1765">
        <f>VLOOKUP(ORDERS[[#This Row],[ProductID]],Products[],4,FALSE)</f>
        <v>30</v>
      </c>
      <c r="G1765">
        <v>0</v>
      </c>
      <c r="H1765">
        <f>(ORDERS[[#This Row],[UnitsOrdered]]*ORDERS[[#This Row],[unit price]])-(ORDERS[[#This Row],[UnitsOrdered]]*ORDERS[[#This Row],[unit price]]*ORDERS[[#This Row],[Discount]])</f>
        <v>3600</v>
      </c>
      <c r="I1765" t="str">
        <f>VLOOKUP(ORDERS[[#This Row],[CustomerID]],customers[],2,FALSE)</f>
        <v>Abracadaba Ink</v>
      </c>
      <c r="J1765" s="2" t="str">
        <f>VLOOKUP(ORDERS[[#This Row],[CustomerID]],customers[],4,FALSE)</f>
        <v>Salt Lake City</v>
      </c>
      <c r="K1765" s="2" t="str">
        <f>VLOOKUP(ORDERS[[#This Row],[ProductID]],Products[],3,FALSE)</f>
        <v>Both</v>
      </c>
      <c r="L1765" s="2">
        <f>DAY(ORDERS[[#This Row],[OrderDate]])</f>
        <v>18</v>
      </c>
      <c r="M1765" s="2">
        <f>YEAR(ORDERS[[#This Row],[OrderDate]])</f>
        <v>2015</v>
      </c>
    </row>
    <row r="1766" spans="1:13" x14ac:dyDescent="0.3">
      <c r="A1766">
        <v>1765</v>
      </c>
      <c r="B1766">
        <v>6</v>
      </c>
      <c r="C1766">
        <v>5</v>
      </c>
      <c r="D1766" s="1">
        <v>42326</v>
      </c>
      <c r="E1766">
        <v>117</v>
      </c>
      <c r="F1766">
        <f>VLOOKUP(ORDERS[[#This Row],[ProductID]],Products[],4,FALSE)</f>
        <v>16</v>
      </c>
      <c r="G1766">
        <v>0</v>
      </c>
      <c r="H1766">
        <f>(ORDERS[[#This Row],[UnitsOrdered]]*ORDERS[[#This Row],[unit price]])-(ORDERS[[#This Row],[UnitsOrdered]]*ORDERS[[#This Row],[unit price]]*ORDERS[[#This Row],[Discount]])</f>
        <v>1872</v>
      </c>
      <c r="I1766" t="str">
        <f>VLOOKUP(ORDERS[[#This Row],[CustomerID]],customers[],2,FALSE)</f>
        <v>Abracadaba Ink</v>
      </c>
      <c r="J1766" s="2" t="str">
        <f>VLOOKUP(ORDERS[[#This Row],[CustomerID]],customers[],4,FALSE)</f>
        <v>Salt Lake City</v>
      </c>
      <c r="K1766" s="2" t="str">
        <f>VLOOKUP(ORDERS[[#This Row],[ProductID]],Products[],3,FALSE)</f>
        <v>Female</v>
      </c>
      <c r="L1766" s="2">
        <f>DAY(ORDERS[[#This Row],[OrderDate]])</f>
        <v>18</v>
      </c>
      <c r="M1766" s="2">
        <f>YEAR(ORDERS[[#This Row],[OrderDate]])</f>
        <v>2015</v>
      </c>
    </row>
    <row r="1767" spans="1:13" x14ac:dyDescent="0.3">
      <c r="A1767">
        <v>1766</v>
      </c>
      <c r="B1767">
        <v>3</v>
      </c>
      <c r="C1767">
        <v>3</v>
      </c>
      <c r="D1767" s="1">
        <v>42327</v>
      </c>
      <c r="E1767">
        <v>47</v>
      </c>
      <c r="F1767">
        <f>VLOOKUP(ORDERS[[#This Row],[ProductID]],Products[],4,FALSE)</f>
        <v>22</v>
      </c>
      <c r="G1767">
        <v>0</v>
      </c>
      <c r="H1767">
        <f>(ORDERS[[#This Row],[UnitsOrdered]]*ORDERS[[#This Row],[unit price]])-(ORDERS[[#This Row],[UnitsOrdered]]*ORDERS[[#This Row],[unit price]]*ORDERS[[#This Row],[Discount]])</f>
        <v>1034</v>
      </c>
      <c r="I1767" t="str">
        <f>VLOOKUP(ORDERS[[#This Row],[CustomerID]],customers[],2,FALSE)</f>
        <v>Shirts R Us</v>
      </c>
      <c r="J1767" s="2" t="str">
        <f>VLOOKUP(ORDERS[[#This Row],[CustomerID]],customers[],4,FALSE)</f>
        <v>Los Angeles</v>
      </c>
      <c r="K1767" s="2" t="str">
        <f>VLOOKUP(ORDERS[[#This Row],[ProductID]],Products[],3,FALSE)</f>
        <v>Both</v>
      </c>
      <c r="L1767" s="2">
        <f>DAY(ORDERS[[#This Row],[OrderDate]])</f>
        <v>19</v>
      </c>
      <c r="M1767" s="2">
        <f>YEAR(ORDERS[[#This Row],[OrderDate]])</f>
        <v>2015</v>
      </c>
    </row>
    <row r="1768" spans="1:13" x14ac:dyDescent="0.3">
      <c r="A1768">
        <v>1767</v>
      </c>
      <c r="B1768">
        <v>4</v>
      </c>
      <c r="C1768">
        <v>2</v>
      </c>
      <c r="D1768" s="1">
        <v>42327</v>
      </c>
      <c r="E1768">
        <v>41</v>
      </c>
      <c r="F1768">
        <f>VLOOKUP(ORDERS[[#This Row],[ProductID]],Products[],4,FALSE)</f>
        <v>30</v>
      </c>
      <c r="G1768">
        <v>0</v>
      </c>
      <c r="H1768">
        <f>(ORDERS[[#This Row],[UnitsOrdered]]*ORDERS[[#This Row],[unit price]])-(ORDERS[[#This Row],[UnitsOrdered]]*ORDERS[[#This Row],[unit price]]*ORDERS[[#This Row],[Discount]])</f>
        <v>1230</v>
      </c>
      <c r="I1768" t="str">
        <f>VLOOKUP(ORDERS[[#This Row],[CustomerID]],customers[],2,FALSE)</f>
        <v>Tshirt Unlimited</v>
      </c>
      <c r="J1768" s="2" t="str">
        <f>VLOOKUP(ORDERS[[#This Row],[CustomerID]],customers[],4,FALSE)</f>
        <v>Phoenix</v>
      </c>
      <c r="K1768" s="2" t="str">
        <f>VLOOKUP(ORDERS[[#This Row],[ProductID]],Products[],3,FALSE)</f>
        <v>Both</v>
      </c>
      <c r="L1768" s="2">
        <f>DAY(ORDERS[[#This Row],[OrderDate]])</f>
        <v>19</v>
      </c>
      <c r="M1768" s="2">
        <f>YEAR(ORDERS[[#This Row],[OrderDate]])</f>
        <v>2015</v>
      </c>
    </row>
    <row r="1769" spans="1:13" x14ac:dyDescent="0.3">
      <c r="A1769">
        <v>1768</v>
      </c>
      <c r="B1769">
        <v>5</v>
      </c>
      <c r="C1769">
        <v>10</v>
      </c>
      <c r="D1769" s="1">
        <v>42328</v>
      </c>
      <c r="E1769">
        <v>131</v>
      </c>
      <c r="F1769">
        <f>VLOOKUP(ORDERS[[#This Row],[ProductID]],Products[],4,FALSE)</f>
        <v>35</v>
      </c>
      <c r="G1769">
        <v>0</v>
      </c>
      <c r="H1769">
        <f>(ORDERS[[#This Row],[UnitsOrdered]]*ORDERS[[#This Row],[unit price]])-(ORDERS[[#This Row],[UnitsOrdered]]*ORDERS[[#This Row],[unit price]]*ORDERS[[#This Row],[Discount]])</f>
        <v>4585</v>
      </c>
      <c r="I1769" t="str">
        <f>VLOOKUP(ORDERS[[#This Row],[CustomerID]],customers[],2,FALSE)</f>
        <v>Rags to Riches</v>
      </c>
      <c r="J1769" s="2" t="str">
        <f>VLOOKUP(ORDERS[[#This Row],[CustomerID]],customers[],4,FALSE)</f>
        <v>Las Vegas</v>
      </c>
      <c r="K1769" s="2" t="str">
        <f>VLOOKUP(ORDERS[[#This Row],[ProductID]],Products[],3,FALSE)</f>
        <v>Male</v>
      </c>
      <c r="L1769" s="2">
        <f>DAY(ORDERS[[#This Row],[OrderDate]])</f>
        <v>20</v>
      </c>
      <c r="M1769" s="2">
        <f>YEAR(ORDERS[[#This Row],[OrderDate]])</f>
        <v>2015</v>
      </c>
    </row>
    <row r="1770" spans="1:13" x14ac:dyDescent="0.3">
      <c r="A1770">
        <v>1769</v>
      </c>
      <c r="B1770">
        <v>6</v>
      </c>
      <c r="C1770">
        <v>3</v>
      </c>
      <c r="D1770" s="1">
        <v>42329</v>
      </c>
      <c r="E1770">
        <v>117</v>
      </c>
      <c r="F1770">
        <f>VLOOKUP(ORDERS[[#This Row],[ProductID]],Products[],4,FALSE)</f>
        <v>22</v>
      </c>
      <c r="G1770">
        <v>0</v>
      </c>
      <c r="H1770">
        <f>(ORDERS[[#This Row],[UnitsOrdered]]*ORDERS[[#This Row],[unit price]])-(ORDERS[[#This Row],[UnitsOrdered]]*ORDERS[[#This Row],[unit price]]*ORDERS[[#This Row],[Discount]])</f>
        <v>2574</v>
      </c>
      <c r="I1770" t="str">
        <f>VLOOKUP(ORDERS[[#This Row],[CustomerID]],customers[],2,FALSE)</f>
        <v>Abracadaba Ink</v>
      </c>
      <c r="J1770" s="2" t="str">
        <f>VLOOKUP(ORDERS[[#This Row],[CustomerID]],customers[],4,FALSE)</f>
        <v>Salt Lake City</v>
      </c>
      <c r="K1770" s="2" t="str">
        <f>VLOOKUP(ORDERS[[#This Row],[ProductID]],Products[],3,FALSE)</f>
        <v>Both</v>
      </c>
      <c r="L1770" s="2">
        <f>DAY(ORDERS[[#This Row],[OrderDate]])</f>
        <v>21</v>
      </c>
      <c r="M1770" s="2">
        <f>YEAR(ORDERS[[#This Row],[OrderDate]])</f>
        <v>2015</v>
      </c>
    </row>
    <row r="1771" spans="1:13" x14ac:dyDescent="0.3">
      <c r="A1771">
        <v>1770</v>
      </c>
      <c r="B1771">
        <v>5</v>
      </c>
      <c r="C1771">
        <v>9</v>
      </c>
      <c r="D1771" s="1">
        <v>42331</v>
      </c>
      <c r="E1771">
        <v>89</v>
      </c>
      <c r="F1771">
        <f>VLOOKUP(ORDERS[[#This Row],[ProductID]],Products[],4,FALSE)</f>
        <v>25</v>
      </c>
      <c r="G1771">
        <v>0</v>
      </c>
      <c r="H1771">
        <f>(ORDERS[[#This Row],[UnitsOrdered]]*ORDERS[[#This Row],[unit price]])-(ORDERS[[#This Row],[UnitsOrdered]]*ORDERS[[#This Row],[unit price]]*ORDERS[[#This Row],[Discount]])</f>
        <v>2225</v>
      </c>
      <c r="I1771" t="str">
        <f>VLOOKUP(ORDERS[[#This Row],[CustomerID]],customers[],2,FALSE)</f>
        <v>Rags to Riches</v>
      </c>
      <c r="J1771" s="2" t="str">
        <f>VLOOKUP(ORDERS[[#This Row],[CustomerID]],customers[],4,FALSE)</f>
        <v>Las Vegas</v>
      </c>
      <c r="K1771" s="2" t="str">
        <f>VLOOKUP(ORDERS[[#This Row],[ProductID]],Products[],3,FALSE)</f>
        <v>Male</v>
      </c>
      <c r="L1771" s="2">
        <f>DAY(ORDERS[[#This Row],[OrderDate]])</f>
        <v>23</v>
      </c>
      <c r="M1771" s="2">
        <f>YEAR(ORDERS[[#This Row],[OrderDate]])</f>
        <v>2015</v>
      </c>
    </row>
    <row r="1772" spans="1:13" x14ac:dyDescent="0.3">
      <c r="A1772">
        <v>1771</v>
      </c>
      <c r="B1772">
        <v>2</v>
      </c>
      <c r="C1772">
        <v>2</v>
      </c>
      <c r="D1772" s="1">
        <v>42332</v>
      </c>
      <c r="E1772">
        <v>142</v>
      </c>
      <c r="F1772">
        <f>VLOOKUP(ORDERS[[#This Row],[ProductID]],Products[],4,FALSE)</f>
        <v>30</v>
      </c>
      <c r="G1772">
        <v>0</v>
      </c>
      <c r="H1772">
        <f>(ORDERS[[#This Row],[UnitsOrdered]]*ORDERS[[#This Row],[unit price]])-(ORDERS[[#This Row],[UnitsOrdered]]*ORDERS[[#This Row],[unit price]]*ORDERS[[#This Row],[Discount]])</f>
        <v>4260</v>
      </c>
      <c r="I1772" t="str">
        <f>VLOOKUP(ORDERS[[#This Row],[CustomerID]],customers[],2,FALSE)</f>
        <v>A Shirts Life</v>
      </c>
      <c r="J1772" s="2" t="str">
        <f>VLOOKUP(ORDERS[[#This Row],[CustomerID]],customers[],4,FALSE)</f>
        <v>Portland</v>
      </c>
      <c r="K1772" s="2" t="str">
        <f>VLOOKUP(ORDERS[[#This Row],[ProductID]],Products[],3,FALSE)</f>
        <v>Both</v>
      </c>
      <c r="L1772" s="2">
        <f>DAY(ORDERS[[#This Row],[OrderDate]])</f>
        <v>24</v>
      </c>
      <c r="M1772" s="2">
        <f>YEAR(ORDERS[[#This Row],[OrderDate]])</f>
        <v>2015</v>
      </c>
    </row>
    <row r="1773" spans="1:13" x14ac:dyDescent="0.3">
      <c r="A1773">
        <v>1772</v>
      </c>
      <c r="B1773">
        <v>2</v>
      </c>
      <c r="C1773">
        <v>10</v>
      </c>
      <c r="D1773" s="1">
        <v>42332</v>
      </c>
      <c r="E1773">
        <v>29</v>
      </c>
      <c r="F1773">
        <f>VLOOKUP(ORDERS[[#This Row],[ProductID]],Products[],4,FALSE)</f>
        <v>35</v>
      </c>
      <c r="G1773">
        <v>0</v>
      </c>
      <c r="H1773">
        <f>(ORDERS[[#This Row],[UnitsOrdered]]*ORDERS[[#This Row],[unit price]])-(ORDERS[[#This Row],[UnitsOrdered]]*ORDERS[[#This Row],[unit price]]*ORDERS[[#This Row],[Discount]])</f>
        <v>1015</v>
      </c>
      <c r="I1773" t="str">
        <f>VLOOKUP(ORDERS[[#This Row],[CustomerID]],customers[],2,FALSE)</f>
        <v>A Shirts Life</v>
      </c>
      <c r="J1773" s="2" t="str">
        <f>VLOOKUP(ORDERS[[#This Row],[CustomerID]],customers[],4,FALSE)</f>
        <v>Portland</v>
      </c>
      <c r="K1773" s="2" t="str">
        <f>VLOOKUP(ORDERS[[#This Row],[ProductID]],Products[],3,FALSE)</f>
        <v>Male</v>
      </c>
      <c r="L1773" s="2">
        <f>DAY(ORDERS[[#This Row],[OrderDate]])</f>
        <v>24</v>
      </c>
      <c r="M1773" s="2">
        <f>YEAR(ORDERS[[#This Row],[OrderDate]])</f>
        <v>2015</v>
      </c>
    </row>
    <row r="1774" spans="1:13" x14ac:dyDescent="0.3">
      <c r="A1774">
        <v>1773</v>
      </c>
      <c r="B1774">
        <v>6</v>
      </c>
      <c r="C1774">
        <v>7</v>
      </c>
      <c r="D1774" s="1">
        <v>42332</v>
      </c>
      <c r="E1774">
        <v>119</v>
      </c>
      <c r="F1774">
        <f>VLOOKUP(ORDERS[[#This Row],[ProductID]],Products[],4,FALSE)</f>
        <v>38</v>
      </c>
      <c r="G1774">
        <v>0</v>
      </c>
      <c r="H1774">
        <f>(ORDERS[[#This Row],[UnitsOrdered]]*ORDERS[[#This Row],[unit price]])-(ORDERS[[#This Row],[UnitsOrdered]]*ORDERS[[#This Row],[unit price]]*ORDERS[[#This Row],[Discount]])</f>
        <v>4522</v>
      </c>
      <c r="I1774" t="str">
        <f>VLOOKUP(ORDERS[[#This Row],[CustomerID]],customers[],2,FALSE)</f>
        <v>Abracadaba Ink</v>
      </c>
      <c r="J1774" s="2" t="str">
        <f>VLOOKUP(ORDERS[[#This Row],[CustomerID]],customers[],4,FALSE)</f>
        <v>Salt Lake City</v>
      </c>
      <c r="K1774" s="2" t="str">
        <f>VLOOKUP(ORDERS[[#This Row],[ProductID]],Products[],3,FALSE)</f>
        <v>Female</v>
      </c>
      <c r="L1774" s="2">
        <f>DAY(ORDERS[[#This Row],[OrderDate]])</f>
        <v>24</v>
      </c>
      <c r="M1774" s="2">
        <f>YEAR(ORDERS[[#This Row],[OrderDate]])</f>
        <v>2015</v>
      </c>
    </row>
    <row r="1775" spans="1:13" x14ac:dyDescent="0.3">
      <c r="A1775">
        <v>1774</v>
      </c>
      <c r="B1775">
        <v>6</v>
      </c>
      <c r="C1775">
        <v>8</v>
      </c>
      <c r="D1775" s="1">
        <v>42332</v>
      </c>
      <c r="E1775">
        <v>30</v>
      </c>
      <c r="F1775">
        <f>VLOOKUP(ORDERS[[#This Row],[ProductID]],Products[],4,FALSE)</f>
        <v>27</v>
      </c>
      <c r="G1775">
        <v>5.0000001000000002E-2</v>
      </c>
      <c r="H1775">
        <f>(ORDERS[[#This Row],[UnitsOrdered]]*ORDERS[[#This Row],[unit price]])-(ORDERS[[#This Row],[UnitsOrdered]]*ORDERS[[#This Row],[unit price]]*ORDERS[[#This Row],[Discount]])</f>
        <v>769.49999919000004</v>
      </c>
      <c r="I1775" t="str">
        <f>VLOOKUP(ORDERS[[#This Row],[CustomerID]],customers[],2,FALSE)</f>
        <v>Abracadaba Ink</v>
      </c>
      <c r="J1775" s="2" t="str">
        <f>VLOOKUP(ORDERS[[#This Row],[CustomerID]],customers[],4,FALSE)</f>
        <v>Salt Lake City</v>
      </c>
      <c r="K1775" s="2" t="str">
        <f>VLOOKUP(ORDERS[[#This Row],[ProductID]],Products[],3,FALSE)</f>
        <v>Female</v>
      </c>
      <c r="L1775" s="2">
        <f>DAY(ORDERS[[#This Row],[OrderDate]])</f>
        <v>24</v>
      </c>
      <c r="M1775" s="2">
        <f>YEAR(ORDERS[[#This Row],[OrderDate]])</f>
        <v>2015</v>
      </c>
    </row>
    <row r="1776" spans="1:13" x14ac:dyDescent="0.3">
      <c r="A1776">
        <v>1775</v>
      </c>
      <c r="B1776">
        <v>2</v>
      </c>
      <c r="C1776">
        <v>2</v>
      </c>
      <c r="D1776" s="1">
        <v>42333</v>
      </c>
      <c r="E1776">
        <v>63</v>
      </c>
      <c r="F1776">
        <f>VLOOKUP(ORDERS[[#This Row],[ProductID]],Products[],4,FALSE)</f>
        <v>30</v>
      </c>
      <c r="G1776">
        <v>0.15000000599999999</v>
      </c>
      <c r="H1776">
        <f>(ORDERS[[#This Row],[UnitsOrdered]]*ORDERS[[#This Row],[unit price]])-(ORDERS[[#This Row],[UnitsOrdered]]*ORDERS[[#This Row],[unit price]]*ORDERS[[#This Row],[Discount]])</f>
        <v>1606.4999886600001</v>
      </c>
      <c r="I1776" t="str">
        <f>VLOOKUP(ORDERS[[#This Row],[CustomerID]],customers[],2,FALSE)</f>
        <v>A Shirts Life</v>
      </c>
      <c r="J1776" s="2" t="str">
        <f>VLOOKUP(ORDERS[[#This Row],[CustomerID]],customers[],4,FALSE)</f>
        <v>Portland</v>
      </c>
      <c r="K1776" s="2" t="str">
        <f>VLOOKUP(ORDERS[[#This Row],[ProductID]],Products[],3,FALSE)</f>
        <v>Both</v>
      </c>
      <c r="L1776" s="2">
        <f>DAY(ORDERS[[#This Row],[OrderDate]])</f>
        <v>25</v>
      </c>
      <c r="M1776" s="2">
        <f>YEAR(ORDERS[[#This Row],[OrderDate]])</f>
        <v>2015</v>
      </c>
    </row>
    <row r="1777" spans="1:13" x14ac:dyDescent="0.3">
      <c r="A1777">
        <v>1776</v>
      </c>
      <c r="B1777">
        <v>1</v>
      </c>
      <c r="C1777">
        <v>7</v>
      </c>
      <c r="D1777" s="1">
        <v>42334</v>
      </c>
      <c r="E1777">
        <v>28</v>
      </c>
      <c r="F1777">
        <f>VLOOKUP(ORDERS[[#This Row],[ProductID]],Products[],4,FALSE)</f>
        <v>38</v>
      </c>
      <c r="G1777">
        <v>0</v>
      </c>
      <c r="H1777">
        <f>(ORDERS[[#This Row],[UnitsOrdered]]*ORDERS[[#This Row],[unit price]])-(ORDERS[[#This Row],[UnitsOrdered]]*ORDERS[[#This Row],[unit price]]*ORDERS[[#This Row],[Discount]])</f>
        <v>1064</v>
      </c>
      <c r="I1777" t="str">
        <f>VLOOKUP(ORDERS[[#This Row],[CustomerID]],customers[],2,FALSE)</f>
        <v>Threads</v>
      </c>
      <c r="J1777" s="2" t="str">
        <f>VLOOKUP(ORDERS[[#This Row],[CustomerID]],customers[],4,FALSE)</f>
        <v>Seattle</v>
      </c>
      <c r="K1777" s="2" t="str">
        <f>VLOOKUP(ORDERS[[#This Row],[ProductID]],Products[],3,FALSE)</f>
        <v>Female</v>
      </c>
      <c r="L1777" s="2">
        <f>DAY(ORDERS[[#This Row],[OrderDate]])</f>
        <v>26</v>
      </c>
      <c r="M1777" s="2">
        <f>YEAR(ORDERS[[#This Row],[OrderDate]])</f>
        <v>2015</v>
      </c>
    </row>
    <row r="1778" spans="1:13" x14ac:dyDescent="0.3">
      <c r="A1778">
        <v>1777</v>
      </c>
      <c r="B1778">
        <v>3</v>
      </c>
      <c r="C1778">
        <v>9</v>
      </c>
      <c r="D1778" s="1">
        <v>42334</v>
      </c>
      <c r="E1778">
        <v>74</v>
      </c>
      <c r="F1778">
        <f>VLOOKUP(ORDERS[[#This Row],[ProductID]],Products[],4,FALSE)</f>
        <v>25</v>
      </c>
      <c r="G1778">
        <v>0</v>
      </c>
      <c r="H1778">
        <f>(ORDERS[[#This Row],[UnitsOrdered]]*ORDERS[[#This Row],[unit price]])-(ORDERS[[#This Row],[UnitsOrdered]]*ORDERS[[#This Row],[unit price]]*ORDERS[[#This Row],[Discount]])</f>
        <v>1850</v>
      </c>
      <c r="I1778" t="str">
        <f>VLOOKUP(ORDERS[[#This Row],[CustomerID]],customers[],2,FALSE)</f>
        <v>Shirts R Us</v>
      </c>
      <c r="J1778" s="2" t="str">
        <f>VLOOKUP(ORDERS[[#This Row],[CustomerID]],customers[],4,FALSE)</f>
        <v>Los Angeles</v>
      </c>
      <c r="K1778" s="2" t="str">
        <f>VLOOKUP(ORDERS[[#This Row],[ProductID]],Products[],3,FALSE)</f>
        <v>Male</v>
      </c>
      <c r="L1778" s="2">
        <f>DAY(ORDERS[[#This Row],[OrderDate]])</f>
        <v>26</v>
      </c>
      <c r="M1778" s="2">
        <f>YEAR(ORDERS[[#This Row],[OrderDate]])</f>
        <v>2015</v>
      </c>
    </row>
    <row r="1779" spans="1:13" x14ac:dyDescent="0.3">
      <c r="A1779">
        <v>1778</v>
      </c>
      <c r="B1779">
        <v>7</v>
      </c>
      <c r="C1779">
        <v>4</v>
      </c>
      <c r="D1779" s="1">
        <v>42334</v>
      </c>
      <c r="E1779">
        <v>87</v>
      </c>
      <c r="F1779">
        <f>VLOOKUP(ORDERS[[#This Row],[ProductID]],Products[],4,FALSE)</f>
        <v>30</v>
      </c>
      <c r="G1779">
        <v>0</v>
      </c>
      <c r="H1779">
        <f>(ORDERS[[#This Row],[UnitsOrdered]]*ORDERS[[#This Row],[unit price]])-(ORDERS[[#This Row],[UnitsOrdered]]*ORDERS[[#This Row],[unit price]]*ORDERS[[#This Row],[Discount]])</f>
        <v>2610</v>
      </c>
      <c r="I1779" t="str">
        <f>VLOOKUP(ORDERS[[#This Row],[CustomerID]],customers[],2,FALSE)</f>
        <v>The Shirt on Your Back</v>
      </c>
      <c r="J1779" s="2" t="str">
        <f>VLOOKUP(ORDERS[[#This Row],[CustomerID]],customers[],4,FALSE)</f>
        <v>Bonners Ferry</v>
      </c>
      <c r="K1779" s="2" t="str">
        <f>VLOOKUP(ORDERS[[#This Row],[ProductID]],Products[],3,FALSE)</f>
        <v>Both</v>
      </c>
      <c r="L1779" s="2">
        <f>DAY(ORDERS[[#This Row],[OrderDate]])</f>
        <v>26</v>
      </c>
      <c r="M1779" s="2">
        <f>YEAR(ORDERS[[#This Row],[OrderDate]])</f>
        <v>2015</v>
      </c>
    </row>
    <row r="1780" spans="1:13" x14ac:dyDescent="0.3">
      <c r="A1780">
        <v>1779</v>
      </c>
      <c r="B1780">
        <v>3</v>
      </c>
      <c r="C1780">
        <v>10</v>
      </c>
      <c r="D1780" s="1">
        <v>42335</v>
      </c>
      <c r="E1780">
        <v>75</v>
      </c>
      <c r="F1780">
        <f>VLOOKUP(ORDERS[[#This Row],[ProductID]],Products[],4,FALSE)</f>
        <v>35</v>
      </c>
      <c r="G1780">
        <v>5.0000001000000002E-2</v>
      </c>
      <c r="H1780">
        <f>(ORDERS[[#This Row],[UnitsOrdered]]*ORDERS[[#This Row],[unit price]])-(ORDERS[[#This Row],[UnitsOrdered]]*ORDERS[[#This Row],[unit price]]*ORDERS[[#This Row],[Discount]])</f>
        <v>2493.749997375</v>
      </c>
      <c r="I1780" t="str">
        <f>VLOOKUP(ORDERS[[#This Row],[CustomerID]],customers[],2,FALSE)</f>
        <v>Shirts R Us</v>
      </c>
      <c r="J1780" s="2" t="str">
        <f>VLOOKUP(ORDERS[[#This Row],[CustomerID]],customers[],4,FALSE)</f>
        <v>Los Angeles</v>
      </c>
      <c r="K1780" s="2" t="str">
        <f>VLOOKUP(ORDERS[[#This Row],[ProductID]],Products[],3,FALSE)</f>
        <v>Male</v>
      </c>
      <c r="L1780" s="2">
        <f>DAY(ORDERS[[#This Row],[OrderDate]])</f>
        <v>27</v>
      </c>
      <c r="M1780" s="2">
        <f>YEAR(ORDERS[[#This Row],[OrderDate]])</f>
        <v>2015</v>
      </c>
    </row>
    <row r="1781" spans="1:13" x14ac:dyDescent="0.3">
      <c r="A1781">
        <v>1780</v>
      </c>
      <c r="B1781">
        <v>5</v>
      </c>
      <c r="C1781">
        <v>6</v>
      </c>
      <c r="D1781" s="1">
        <v>42335</v>
      </c>
      <c r="E1781">
        <v>104</v>
      </c>
      <c r="F1781">
        <f>VLOOKUP(ORDERS[[#This Row],[ProductID]],Products[],4,FALSE)</f>
        <v>28</v>
      </c>
      <c r="G1781">
        <v>0</v>
      </c>
      <c r="H1781">
        <f>(ORDERS[[#This Row],[UnitsOrdered]]*ORDERS[[#This Row],[unit price]])-(ORDERS[[#This Row],[UnitsOrdered]]*ORDERS[[#This Row],[unit price]]*ORDERS[[#This Row],[Discount]])</f>
        <v>2912</v>
      </c>
      <c r="I1781" t="str">
        <f>VLOOKUP(ORDERS[[#This Row],[CustomerID]],customers[],2,FALSE)</f>
        <v>Rags to Riches</v>
      </c>
      <c r="J1781" s="2" t="str">
        <f>VLOOKUP(ORDERS[[#This Row],[CustomerID]],customers[],4,FALSE)</f>
        <v>Las Vegas</v>
      </c>
      <c r="K1781" s="2" t="str">
        <f>VLOOKUP(ORDERS[[#This Row],[ProductID]],Products[],3,FALSE)</f>
        <v>Female</v>
      </c>
      <c r="L1781" s="2">
        <f>DAY(ORDERS[[#This Row],[OrderDate]])</f>
        <v>27</v>
      </c>
      <c r="M1781" s="2">
        <f>YEAR(ORDERS[[#This Row],[OrderDate]])</f>
        <v>2015</v>
      </c>
    </row>
    <row r="1782" spans="1:13" x14ac:dyDescent="0.3">
      <c r="A1782">
        <v>1781</v>
      </c>
      <c r="B1782">
        <v>5</v>
      </c>
      <c r="C1782">
        <v>1</v>
      </c>
      <c r="D1782" s="1">
        <v>42337</v>
      </c>
      <c r="E1782">
        <v>114</v>
      </c>
      <c r="F1782">
        <f>VLOOKUP(ORDERS[[#This Row],[ProductID]],Products[],4,FALSE)</f>
        <v>20</v>
      </c>
      <c r="G1782">
        <v>0</v>
      </c>
      <c r="H1782">
        <f>(ORDERS[[#This Row],[UnitsOrdered]]*ORDERS[[#This Row],[unit price]])-(ORDERS[[#This Row],[UnitsOrdered]]*ORDERS[[#This Row],[unit price]]*ORDERS[[#This Row],[Discount]])</f>
        <v>2280</v>
      </c>
      <c r="I1782" t="str">
        <f>VLOOKUP(ORDERS[[#This Row],[CustomerID]],customers[],2,FALSE)</f>
        <v>Rags to Riches</v>
      </c>
      <c r="J1782" s="2" t="str">
        <f>VLOOKUP(ORDERS[[#This Row],[CustomerID]],customers[],4,FALSE)</f>
        <v>Las Vegas</v>
      </c>
      <c r="K1782" s="2" t="str">
        <f>VLOOKUP(ORDERS[[#This Row],[ProductID]],Products[],3,FALSE)</f>
        <v>Both</v>
      </c>
      <c r="L1782" s="2">
        <f>DAY(ORDERS[[#This Row],[OrderDate]])</f>
        <v>29</v>
      </c>
      <c r="M1782" s="2">
        <f>YEAR(ORDERS[[#This Row],[OrderDate]])</f>
        <v>2015</v>
      </c>
    </row>
    <row r="1783" spans="1:13" x14ac:dyDescent="0.3">
      <c r="A1783">
        <v>1782</v>
      </c>
      <c r="B1783">
        <v>6</v>
      </c>
      <c r="C1783">
        <v>7</v>
      </c>
      <c r="D1783" s="1">
        <v>42339</v>
      </c>
      <c r="E1783">
        <v>84</v>
      </c>
      <c r="F1783">
        <f>VLOOKUP(ORDERS[[#This Row],[ProductID]],Products[],4,FALSE)</f>
        <v>38</v>
      </c>
      <c r="G1783">
        <v>0.10000000100000001</v>
      </c>
      <c r="H1783">
        <f>(ORDERS[[#This Row],[UnitsOrdered]]*ORDERS[[#This Row],[unit price]])-(ORDERS[[#This Row],[UnitsOrdered]]*ORDERS[[#This Row],[unit price]]*ORDERS[[#This Row],[Discount]])</f>
        <v>2872.7999968079998</v>
      </c>
      <c r="I1783" t="str">
        <f>VLOOKUP(ORDERS[[#This Row],[CustomerID]],customers[],2,FALSE)</f>
        <v>Abracadaba Ink</v>
      </c>
      <c r="J1783" s="2" t="str">
        <f>VLOOKUP(ORDERS[[#This Row],[CustomerID]],customers[],4,FALSE)</f>
        <v>Salt Lake City</v>
      </c>
      <c r="K1783" s="2" t="str">
        <f>VLOOKUP(ORDERS[[#This Row],[ProductID]],Products[],3,FALSE)</f>
        <v>Female</v>
      </c>
      <c r="L1783" s="2">
        <f>DAY(ORDERS[[#This Row],[OrderDate]])</f>
        <v>1</v>
      </c>
      <c r="M1783" s="2">
        <f>YEAR(ORDERS[[#This Row],[OrderDate]])</f>
        <v>2015</v>
      </c>
    </row>
    <row r="1784" spans="1:13" x14ac:dyDescent="0.3">
      <c r="A1784">
        <v>1783</v>
      </c>
      <c r="B1784">
        <v>7</v>
      </c>
      <c r="C1784">
        <v>8</v>
      </c>
      <c r="D1784" s="1">
        <v>42339</v>
      </c>
      <c r="E1784">
        <v>55</v>
      </c>
      <c r="F1784">
        <f>VLOOKUP(ORDERS[[#This Row],[ProductID]],Products[],4,FALSE)</f>
        <v>27</v>
      </c>
      <c r="G1784">
        <v>0</v>
      </c>
      <c r="H1784">
        <f>(ORDERS[[#This Row],[UnitsOrdered]]*ORDERS[[#This Row],[unit price]])-(ORDERS[[#This Row],[UnitsOrdered]]*ORDERS[[#This Row],[unit price]]*ORDERS[[#This Row],[Discount]])</f>
        <v>1485</v>
      </c>
      <c r="I1784" t="str">
        <f>VLOOKUP(ORDERS[[#This Row],[CustomerID]],customers[],2,FALSE)</f>
        <v>The Shirt on Your Back</v>
      </c>
      <c r="J1784" s="2" t="str">
        <f>VLOOKUP(ORDERS[[#This Row],[CustomerID]],customers[],4,FALSE)</f>
        <v>Bonners Ferry</v>
      </c>
      <c r="K1784" s="2" t="str">
        <f>VLOOKUP(ORDERS[[#This Row],[ProductID]],Products[],3,FALSE)</f>
        <v>Female</v>
      </c>
      <c r="L1784" s="2">
        <f>DAY(ORDERS[[#This Row],[OrderDate]])</f>
        <v>1</v>
      </c>
      <c r="M1784" s="2">
        <f>YEAR(ORDERS[[#This Row],[OrderDate]])</f>
        <v>2015</v>
      </c>
    </row>
    <row r="1785" spans="1:13" x14ac:dyDescent="0.3">
      <c r="A1785">
        <v>1784</v>
      </c>
      <c r="B1785">
        <v>4</v>
      </c>
      <c r="C1785">
        <v>2</v>
      </c>
      <c r="D1785" s="1">
        <v>42340</v>
      </c>
      <c r="E1785">
        <v>77</v>
      </c>
      <c r="F1785">
        <f>VLOOKUP(ORDERS[[#This Row],[ProductID]],Products[],4,FALSE)</f>
        <v>30</v>
      </c>
      <c r="G1785">
        <v>0</v>
      </c>
      <c r="H1785">
        <f>(ORDERS[[#This Row],[UnitsOrdered]]*ORDERS[[#This Row],[unit price]])-(ORDERS[[#This Row],[UnitsOrdered]]*ORDERS[[#This Row],[unit price]]*ORDERS[[#This Row],[Discount]])</f>
        <v>2310</v>
      </c>
      <c r="I1785" t="str">
        <f>VLOOKUP(ORDERS[[#This Row],[CustomerID]],customers[],2,FALSE)</f>
        <v>Tshirt Unlimited</v>
      </c>
      <c r="J1785" s="2" t="str">
        <f>VLOOKUP(ORDERS[[#This Row],[CustomerID]],customers[],4,FALSE)</f>
        <v>Phoenix</v>
      </c>
      <c r="K1785" s="2" t="str">
        <f>VLOOKUP(ORDERS[[#This Row],[ProductID]],Products[],3,FALSE)</f>
        <v>Both</v>
      </c>
      <c r="L1785" s="2">
        <f>DAY(ORDERS[[#This Row],[OrderDate]])</f>
        <v>2</v>
      </c>
      <c r="M1785" s="2">
        <f>YEAR(ORDERS[[#This Row],[OrderDate]])</f>
        <v>2015</v>
      </c>
    </row>
    <row r="1786" spans="1:13" x14ac:dyDescent="0.3">
      <c r="A1786">
        <v>1785</v>
      </c>
      <c r="B1786">
        <v>5</v>
      </c>
      <c r="C1786">
        <v>2</v>
      </c>
      <c r="D1786" s="1">
        <v>42342</v>
      </c>
      <c r="E1786">
        <v>51</v>
      </c>
      <c r="F1786">
        <f>VLOOKUP(ORDERS[[#This Row],[ProductID]],Products[],4,FALSE)</f>
        <v>30</v>
      </c>
      <c r="G1786">
        <v>0</v>
      </c>
      <c r="H1786">
        <f>(ORDERS[[#This Row],[UnitsOrdered]]*ORDERS[[#This Row],[unit price]])-(ORDERS[[#This Row],[UnitsOrdered]]*ORDERS[[#This Row],[unit price]]*ORDERS[[#This Row],[Discount]])</f>
        <v>1530</v>
      </c>
      <c r="I1786" t="str">
        <f>VLOOKUP(ORDERS[[#This Row],[CustomerID]],customers[],2,FALSE)</f>
        <v>Rags to Riches</v>
      </c>
      <c r="J1786" s="2" t="str">
        <f>VLOOKUP(ORDERS[[#This Row],[CustomerID]],customers[],4,FALSE)</f>
        <v>Las Vegas</v>
      </c>
      <c r="K1786" s="2" t="str">
        <f>VLOOKUP(ORDERS[[#This Row],[ProductID]],Products[],3,FALSE)</f>
        <v>Both</v>
      </c>
      <c r="L1786" s="2">
        <f>DAY(ORDERS[[#This Row],[OrderDate]])</f>
        <v>4</v>
      </c>
      <c r="M1786" s="2">
        <f>YEAR(ORDERS[[#This Row],[OrderDate]])</f>
        <v>2015</v>
      </c>
    </row>
    <row r="1787" spans="1:13" x14ac:dyDescent="0.3">
      <c r="A1787">
        <v>1786</v>
      </c>
      <c r="B1787">
        <v>6</v>
      </c>
      <c r="C1787">
        <v>7</v>
      </c>
      <c r="D1787" s="1">
        <v>42343</v>
      </c>
      <c r="E1787">
        <v>98</v>
      </c>
      <c r="F1787">
        <f>VLOOKUP(ORDERS[[#This Row],[ProductID]],Products[],4,FALSE)</f>
        <v>38</v>
      </c>
      <c r="G1787">
        <v>5.0000001000000002E-2</v>
      </c>
      <c r="H1787">
        <f>(ORDERS[[#This Row],[UnitsOrdered]]*ORDERS[[#This Row],[unit price]])-(ORDERS[[#This Row],[UnitsOrdered]]*ORDERS[[#This Row],[unit price]]*ORDERS[[#This Row],[Discount]])</f>
        <v>3537.799996276</v>
      </c>
      <c r="I1787" t="str">
        <f>VLOOKUP(ORDERS[[#This Row],[CustomerID]],customers[],2,FALSE)</f>
        <v>Abracadaba Ink</v>
      </c>
      <c r="J1787" s="2" t="str">
        <f>VLOOKUP(ORDERS[[#This Row],[CustomerID]],customers[],4,FALSE)</f>
        <v>Salt Lake City</v>
      </c>
      <c r="K1787" s="2" t="str">
        <f>VLOOKUP(ORDERS[[#This Row],[ProductID]],Products[],3,FALSE)</f>
        <v>Female</v>
      </c>
      <c r="L1787" s="2">
        <f>DAY(ORDERS[[#This Row],[OrderDate]])</f>
        <v>5</v>
      </c>
      <c r="M1787" s="2">
        <f>YEAR(ORDERS[[#This Row],[OrderDate]])</f>
        <v>2015</v>
      </c>
    </row>
    <row r="1788" spans="1:13" x14ac:dyDescent="0.3">
      <c r="A1788">
        <v>1787</v>
      </c>
      <c r="B1788">
        <v>3</v>
      </c>
      <c r="C1788">
        <v>4</v>
      </c>
      <c r="D1788" s="1">
        <v>42345</v>
      </c>
      <c r="E1788">
        <v>65</v>
      </c>
      <c r="F1788">
        <f>VLOOKUP(ORDERS[[#This Row],[ProductID]],Products[],4,FALSE)</f>
        <v>30</v>
      </c>
      <c r="G1788">
        <v>0</v>
      </c>
      <c r="H1788">
        <f>(ORDERS[[#This Row],[UnitsOrdered]]*ORDERS[[#This Row],[unit price]])-(ORDERS[[#This Row],[UnitsOrdered]]*ORDERS[[#This Row],[unit price]]*ORDERS[[#This Row],[Discount]])</f>
        <v>1950</v>
      </c>
      <c r="I1788" t="str">
        <f>VLOOKUP(ORDERS[[#This Row],[CustomerID]],customers[],2,FALSE)</f>
        <v>Shirts R Us</v>
      </c>
      <c r="J1788" s="2" t="str">
        <f>VLOOKUP(ORDERS[[#This Row],[CustomerID]],customers[],4,FALSE)</f>
        <v>Los Angeles</v>
      </c>
      <c r="K1788" s="2" t="str">
        <f>VLOOKUP(ORDERS[[#This Row],[ProductID]],Products[],3,FALSE)</f>
        <v>Both</v>
      </c>
      <c r="L1788" s="2">
        <f>DAY(ORDERS[[#This Row],[OrderDate]])</f>
        <v>7</v>
      </c>
      <c r="M1788" s="2">
        <f>YEAR(ORDERS[[#This Row],[OrderDate]])</f>
        <v>2015</v>
      </c>
    </row>
    <row r="1789" spans="1:13" x14ac:dyDescent="0.3">
      <c r="A1789">
        <v>1788</v>
      </c>
      <c r="B1789">
        <v>5</v>
      </c>
      <c r="C1789">
        <v>7</v>
      </c>
      <c r="D1789" s="1">
        <v>42345</v>
      </c>
      <c r="E1789">
        <v>53</v>
      </c>
      <c r="F1789">
        <f>VLOOKUP(ORDERS[[#This Row],[ProductID]],Products[],4,FALSE)</f>
        <v>38</v>
      </c>
      <c r="G1789">
        <v>0</v>
      </c>
      <c r="H1789">
        <f>(ORDERS[[#This Row],[UnitsOrdered]]*ORDERS[[#This Row],[unit price]])-(ORDERS[[#This Row],[UnitsOrdered]]*ORDERS[[#This Row],[unit price]]*ORDERS[[#This Row],[Discount]])</f>
        <v>2014</v>
      </c>
      <c r="I1789" t="str">
        <f>VLOOKUP(ORDERS[[#This Row],[CustomerID]],customers[],2,FALSE)</f>
        <v>Rags to Riches</v>
      </c>
      <c r="J1789" s="2" t="str">
        <f>VLOOKUP(ORDERS[[#This Row],[CustomerID]],customers[],4,FALSE)</f>
        <v>Las Vegas</v>
      </c>
      <c r="K1789" s="2" t="str">
        <f>VLOOKUP(ORDERS[[#This Row],[ProductID]],Products[],3,FALSE)</f>
        <v>Female</v>
      </c>
      <c r="L1789" s="2">
        <f>DAY(ORDERS[[#This Row],[OrderDate]])</f>
        <v>7</v>
      </c>
      <c r="M1789" s="2">
        <f>YEAR(ORDERS[[#This Row],[OrderDate]])</f>
        <v>2015</v>
      </c>
    </row>
    <row r="1790" spans="1:13" x14ac:dyDescent="0.3">
      <c r="A1790">
        <v>1789</v>
      </c>
      <c r="B1790">
        <v>1</v>
      </c>
      <c r="C1790">
        <v>5</v>
      </c>
      <c r="D1790" s="1">
        <v>42346</v>
      </c>
      <c r="E1790">
        <v>48</v>
      </c>
      <c r="F1790">
        <f>VLOOKUP(ORDERS[[#This Row],[ProductID]],Products[],4,FALSE)</f>
        <v>16</v>
      </c>
      <c r="G1790">
        <v>0</v>
      </c>
      <c r="H1790">
        <f>(ORDERS[[#This Row],[UnitsOrdered]]*ORDERS[[#This Row],[unit price]])-(ORDERS[[#This Row],[UnitsOrdered]]*ORDERS[[#This Row],[unit price]]*ORDERS[[#This Row],[Discount]])</f>
        <v>768</v>
      </c>
      <c r="I1790" t="str">
        <f>VLOOKUP(ORDERS[[#This Row],[CustomerID]],customers[],2,FALSE)</f>
        <v>Threads</v>
      </c>
      <c r="J1790" s="2" t="str">
        <f>VLOOKUP(ORDERS[[#This Row],[CustomerID]],customers[],4,FALSE)</f>
        <v>Seattle</v>
      </c>
      <c r="K1790" s="2" t="str">
        <f>VLOOKUP(ORDERS[[#This Row],[ProductID]],Products[],3,FALSE)</f>
        <v>Female</v>
      </c>
      <c r="L1790" s="2">
        <f>DAY(ORDERS[[#This Row],[OrderDate]])</f>
        <v>8</v>
      </c>
      <c r="M1790" s="2">
        <f>YEAR(ORDERS[[#This Row],[OrderDate]])</f>
        <v>2015</v>
      </c>
    </row>
    <row r="1791" spans="1:13" x14ac:dyDescent="0.3">
      <c r="A1791">
        <v>1790</v>
      </c>
      <c r="B1791">
        <v>7</v>
      </c>
      <c r="C1791">
        <v>8</v>
      </c>
      <c r="D1791" s="1">
        <v>42346</v>
      </c>
      <c r="E1791">
        <v>79</v>
      </c>
      <c r="F1791">
        <f>VLOOKUP(ORDERS[[#This Row],[ProductID]],Products[],4,FALSE)</f>
        <v>27</v>
      </c>
      <c r="G1791">
        <v>0</v>
      </c>
      <c r="H1791">
        <f>(ORDERS[[#This Row],[UnitsOrdered]]*ORDERS[[#This Row],[unit price]])-(ORDERS[[#This Row],[UnitsOrdered]]*ORDERS[[#This Row],[unit price]]*ORDERS[[#This Row],[Discount]])</f>
        <v>2133</v>
      </c>
      <c r="I1791" t="str">
        <f>VLOOKUP(ORDERS[[#This Row],[CustomerID]],customers[],2,FALSE)</f>
        <v>The Shirt on Your Back</v>
      </c>
      <c r="J1791" s="2" t="str">
        <f>VLOOKUP(ORDERS[[#This Row],[CustomerID]],customers[],4,FALSE)</f>
        <v>Bonners Ferry</v>
      </c>
      <c r="K1791" s="2" t="str">
        <f>VLOOKUP(ORDERS[[#This Row],[ProductID]],Products[],3,FALSE)</f>
        <v>Female</v>
      </c>
      <c r="L1791" s="2">
        <f>DAY(ORDERS[[#This Row],[OrderDate]])</f>
        <v>8</v>
      </c>
      <c r="M1791" s="2">
        <f>YEAR(ORDERS[[#This Row],[OrderDate]])</f>
        <v>2015</v>
      </c>
    </row>
    <row r="1792" spans="1:13" x14ac:dyDescent="0.3">
      <c r="A1792">
        <v>1791</v>
      </c>
      <c r="B1792">
        <v>4</v>
      </c>
      <c r="C1792">
        <v>4</v>
      </c>
      <c r="D1792" s="1">
        <v>42348</v>
      </c>
      <c r="E1792">
        <v>101</v>
      </c>
      <c r="F1792">
        <f>VLOOKUP(ORDERS[[#This Row],[ProductID]],Products[],4,FALSE)</f>
        <v>30</v>
      </c>
      <c r="G1792">
        <v>5.0000001000000002E-2</v>
      </c>
      <c r="H1792">
        <f>(ORDERS[[#This Row],[UnitsOrdered]]*ORDERS[[#This Row],[unit price]])-(ORDERS[[#This Row],[UnitsOrdered]]*ORDERS[[#This Row],[unit price]]*ORDERS[[#This Row],[Discount]])</f>
        <v>2878.4999969700002</v>
      </c>
      <c r="I1792" t="str">
        <f>VLOOKUP(ORDERS[[#This Row],[CustomerID]],customers[],2,FALSE)</f>
        <v>Tshirt Unlimited</v>
      </c>
      <c r="J1792" s="2" t="str">
        <f>VLOOKUP(ORDERS[[#This Row],[CustomerID]],customers[],4,FALSE)</f>
        <v>Phoenix</v>
      </c>
      <c r="K1792" s="2" t="str">
        <f>VLOOKUP(ORDERS[[#This Row],[ProductID]],Products[],3,FALSE)</f>
        <v>Both</v>
      </c>
      <c r="L1792" s="2">
        <f>DAY(ORDERS[[#This Row],[OrderDate]])</f>
        <v>10</v>
      </c>
      <c r="M1792" s="2">
        <f>YEAR(ORDERS[[#This Row],[OrderDate]])</f>
        <v>2015</v>
      </c>
    </row>
    <row r="1793" spans="1:13" x14ac:dyDescent="0.3">
      <c r="A1793">
        <v>1792</v>
      </c>
      <c r="B1793">
        <v>3</v>
      </c>
      <c r="C1793">
        <v>5</v>
      </c>
      <c r="D1793" s="1">
        <v>42349</v>
      </c>
      <c r="E1793">
        <v>101</v>
      </c>
      <c r="F1793">
        <f>VLOOKUP(ORDERS[[#This Row],[ProductID]],Products[],4,FALSE)</f>
        <v>16</v>
      </c>
      <c r="G1793">
        <v>0</v>
      </c>
      <c r="H1793">
        <f>(ORDERS[[#This Row],[UnitsOrdered]]*ORDERS[[#This Row],[unit price]])-(ORDERS[[#This Row],[UnitsOrdered]]*ORDERS[[#This Row],[unit price]]*ORDERS[[#This Row],[Discount]])</f>
        <v>1616</v>
      </c>
      <c r="I1793" t="str">
        <f>VLOOKUP(ORDERS[[#This Row],[CustomerID]],customers[],2,FALSE)</f>
        <v>Shirts R Us</v>
      </c>
      <c r="J1793" s="2" t="str">
        <f>VLOOKUP(ORDERS[[#This Row],[CustomerID]],customers[],4,FALSE)</f>
        <v>Los Angeles</v>
      </c>
      <c r="K1793" s="2" t="str">
        <f>VLOOKUP(ORDERS[[#This Row],[ProductID]],Products[],3,FALSE)</f>
        <v>Female</v>
      </c>
      <c r="L1793" s="2">
        <f>DAY(ORDERS[[#This Row],[OrderDate]])</f>
        <v>11</v>
      </c>
      <c r="M1793" s="2">
        <f>YEAR(ORDERS[[#This Row],[OrderDate]])</f>
        <v>2015</v>
      </c>
    </row>
    <row r="1794" spans="1:13" x14ac:dyDescent="0.3">
      <c r="A1794">
        <v>1793</v>
      </c>
      <c r="B1794">
        <v>7</v>
      </c>
      <c r="C1794">
        <v>9</v>
      </c>
      <c r="D1794" s="1">
        <v>42349</v>
      </c>
      <c r="E1794">
        <v>49</v>
      </c>
      <c r="F1794">
        <f>VLOOKUP(ORDERS[[#This Row],[ProductID]],Products[],4,FALSE)</f>
        <v>25</v>
      </c>
      <c r="G1794">
        <v>0.10000000100000001</v>
      </c>
      <c r="H1794">
        <f>(ORDERS[[#This Row],[UnitsOrdered]]*ORDERS[[#This Row],[unit price]])-(ORDERS[[#This Row],[UnitsOrdered]]*ORDERS[[#This Row],[unit price]]*ORDERS[[#This Row],[Discount]])</f>
        <v>1102.499998775</v>
      </c>
      <c r="I1794" t="str">
        <f>VLOOKUP(ORDERS[[#This Row],[CustomerID]],customers[],2,FALSE)</f>
        <v>The Shirt on Your Back</v>
      </c>
      <c r="J1794" s="2" t="str">
        <f>VLOOKUP(ORDERS[[#This Row],[CustomerID]],customers[],4,FALSE)</f>
        <v>Bonners Ferry</v>
      </c>
      <c r="K1794" s="2" t="str">
        <f>VLOOKUP(ORDERS[[#This Row],[ProductID]],Products[],3,FALSE)</f>
        <v>Male</v>
      </c>
      <c r="L1794" s="2">
        <f>DAY(ORDERS[[#This Row],[OrderDate]])</f>
        <v>11</v>
      </c>
      <c r="M1794" s="2">
        <f>YEAR(ORDERS[[#This Row],[OrderDate]])</f>
        <v>2015</v>
      </c>
    </row>
    <row r="1795" spans="1:13" x14ac:dyDescent="0.3">
      <c r="A1795">
        <v>1794</v>
      </c>
      <c r="B1795">
        <v>4</v>
      </c>
      <c r="C1795">
        <v>5</v>
      </c>
      <c r="D1795" s="1">
        <v>42350</v>
      </c>
      <c r="E1795">
        <v>128</v>
      </c>
      <c r="F1795">
        <f>VLOOKUP(ORDERS[[#This Row],[ProductID]],Products[],4,FALSE)</f>
        <v>16</v>
      </c>
      <c r="G1795">
        <v>0</v>
      </c>
      <c r="H1795">
        <f>(ORDERS[[#This Row],[UnitsOrdered]]*ORDERS[[#This Row],[unit price]])-(ORDERS[[#This Row],[UnitsOrdered]]*ORDERS[[#This Row],[unit price]]*ORDERS[[#This Row],[Discount]])</f>
        <v>2048</v>
      </c>
      <c r="I1795" t="str">
        <f>VLOOKUP(ORDERS[[#This Row],[CustomerID]],customers[],2,FALSE)</f>
        <v>Tshirt Unlimited</v>
      </c>
      <c r="J1795" s="2" t="str">
        <f>VLOOKUP(ORDERS[[#This Row],[CustomerID]],customers[],4,FALSE)</f>
        <v>Phoenix</v>
      </c>
      <c r="K1795" s="2" t="str">
        <f>VLOOKUP(ORDERS[[#This Row],[ProductID]],Products[],3,FALSE)</f>
        <v>Female</v>
      </c>
      <c r="L1795" s="2">
        <f>DAY(ORDERS[[#This Row],[OrderDate]])</f>
        <v>12</v>
      </c>
      <c r="M1795" s="2">
        <f>YEAR(ORDERS[[#This Row],[OrderDate]])</f>
        <v>2015</v>
      </c>
    </row>
    <row r="1796" spans="1:13" x14ac:dyDescent="0.3">
      <c r="A1796">
        <v>1795</v>
      </c>
      <c r="B1796">
        <v>4</v>
      </c>
      <c r="C1796">
        <v>8</v>
      </c>
      <c r="D1796" s="1">
        <v>42350</v>
      </c>
      <c r="E1796">
        <v>148</v>
      </c>
      <c r="F1796">
        <f>VLOOKUP(ORDERS[[#This Row],[ProductID]],Products[],4,FALSE)</f>
        <v>27</v>
      </c>
      <c r="G1796">
        <v>0</v>
      </c>
      <c r="H1796">
        <f>(ORDERS[[#This Row],[UnitsOrdered]]*ORDERS[[#This Row],[unit price]])-(ORDERS[[#This Row],[UnitsOrdered]]*ORDERS[[#This Row],[unit price]]*ORDERS[[#This Row],[Discount]])</f>
        <v>3996</v>
      </c>
      <c r="I1796" t="str">
        <f>VLOOKUP(ORDERS[[#This Row],[CustomerID]],customers[],2,FALSE)</f>
        <v>Tshirt Unlimited</v>
      </c>
      <c r="J1796" s="2" t="str">
        <f>VLOOKUP(ORDERS[[#This Row],[CustomerID]],customers[],4,FALSE)</f>
        <v>Phoenix</v>
      </c>
      <c r="K1796" s="2" t="str">
        <f>VLOOKUP(ORDERS[[#This Row],[ProductID]],Products[],3,FALSE)</f>
        <v>Female</v>
      </c>
      <c r="L1796" s="2">
        <f>DAY(ORDERS[[#This Row],[OrderDate]])</f>
        <v>12</v>
      </c>
      <c r="M1796" s="2">
        <f>YEAR(ORDERS[[#This Row],[OrderDate]])</f>
        <v>2015</v>
      </c>
    </row>
    <row r="1797" spans="1:13" x14ac:dyDescent="0.3">
      <c r="A1797">
        <v>1796</v>
      </c>
      <c r="B1797">
        <v>5</v>
      </c>
      <c r="C1797">
        <v>1</v>
      </c>
      <c r="D1797" s="1">
        <v>42351</v>
      </c>
      <c r="E1797">
        <v>51</v>
      </c>
      <c r="F1797">
        <f>VLOOKUP(ORDERS[[#This Row],[ProductID]],Products[],4,FALSE)</f>
        <v>20</v>
      </c>
      <c r="G1797">
        <v>0</v>
      </c>
      <c r="H1797">
        <f>(ORDERS[[#This Row],[UnitsOrdered]]*ORDERS[[#This Row],[unit price]])-(ORDERS[[#This Row],[UnitsOrdered]]*ORDERS[[#This Row],[unit price]]*ORDERS[[#This Row],[Discount]])</f>
        <v>1020</v>
      </c>
      <c r="I1797" t="str">
        <f>VLOOKUP(ORDERS[[#This Row],[CustomerID]],customers[],2,FALSE)</f>
        <v>Rags to Riches</v>
      </c>
      <c r="J1797" s="2" t="str">
        <f>VLOOKUP(ORDERS[[#This Row],[CustomerID]],customers[],4,FALSE)</f>
        <v>Las Vegas</v>
      </c>
      <c r="K1797" s="2" t="str">
        <f>VLOOKUP(ORDERS[[#This Row],[ProductID]],Products[],3,FALSE)</f>
        <v>Both</v>
      </c>
      <c r="L1797" s="2">
        <f>DAY(ORDERS[[#This Row],[OrderDate]])</f>
        <v>13</v>
      </c>
      <c r="M1797" s="2">
        <f>YEAR(ORDERS[[#This Row],[OrderDate]])</f>
        <v>2015</v>
      </c>
    </row>
    <row r="1798" spans="1:13" x14ac:dyDescent="0.3">
      <c r="A1798">
        <v>1797</v>
      </c>
      <c r="B1798">
        <v>3</v>
      </c>
      <c r="C1798">
        <v>3</v>
      </c>
      <c r="D1798" s="1">
        <v>42353</v>
      </c>
      <c r="E1798">
        <v>89</v>
      </c>
      <c r="F1798">
        <f>VLOOKUP(ORDERS[[#This Row],[ProductID]],Products[],4,FALSE)</f>
        <v>22</v>
      </c>
      <c r="G1798">
        <v>0.10000000100000001</v>
      </c>
      <c r="H1798">
        <f>(ORDERS[[#This Row],[UnitsOrdered]]*ORDERS[[#This Row],[unit price]])-(ORDERS[[#This Row],[UnitsOrdered]]*ORDERS[[#This Row],[unit price]]*ORDERS[[#This Row],[Discount]])</f>
        <v>1762.1999980420001</v>
      </c>
      <c r="I1798" t="str">
        <f>VLOOKUP(ORDERS[[#This Row],[CustomerID]],customers[],2,FALSE)</f>
        <v>Shirts R Us</v>
      </c>
      <c r="J1798" s="2" t="str">
        <f>VLOOKUP(ORDERS[[#This Row],[CustomerID]],customers[],4,FALSE)</f>
        <v>Los Angeles</v>
      </c>
      <c r="K1798" s="2" t="str">
        <f>VLOOKUP(ORDERS[[#This Row],[ProductID]],Products[],3,FALSE)</f>
        <v>Both</v>
      </c>
      <c r="L1798" s="2">
        <f>DAY(ORDERS[[#This Row],[OrderDate]])</f>
        <v>15</v>
      </c>
      <c r="M1798" s="2">
        <f>YEAR(ORDERS[[#This Row],[OrderDate]])</f>
        <v>2015</v>
      </c>
    </row>
    <row r="1799" spans="1:13" x14ac:dyDescent="0.3">
      <c r="A1799">
        <v>1798</v>
      </c>
      <c r="B1799">
        <v>3</v>
      </c>
      <c r="C1799">
        <v>10</v>
      </c>
      <c r="D1799" s="1">
        <v>42355</v>
      </c>
      <c r="E1799">
        <v>42</v>
      </c>
      <c r="F1799">
        <f>VLOOKUP(ORDERS[[#This Row],[ProductID]],Products[],4,FALSE)</f>
        <v>35</v>
      </c>
      <c r="G1799">
        <v>0</v>
      </c>
      <c r="H1799">
        <f>(ORDERS[[#This Row],[UnitsOrdered]]*ORDERS[[#This Row],[unit price]])-(ORDERS[[#This Row],[UnitsOrdered]]*ORDERS[[#This Row],[unit price]]*ORDERS[[#This Row],[Discount]])</f>
        <v>1470</v>
      </c>
      <c r="I1799" t="str">
        <f>VLOOKUP(ORDERS[[#This Row],[CustomerID]],customers[],2,FALSE)</f>
        <v>Shirts R Us</v>
      </c>
      <c r="J1799" s="2" t="str">
        <f>VLOOKUP(ORDERS[[#This Row],[CustomerID]],customers[],4,FALSE)</f>
        <v>Los Angeles</v>
      </c>
      <c r="K1799" s="2" t="str">
        <f>VLOOKUP(ORDERS[[#This Row],[ProductID]],Products[],3,FALSE)</f>
        <v>Male</v>
      </c>
      <c r="L1799" s="2">
        <f>DAY(ORDERS[[#This Row],[OrderDate]])</f>
        <v>17</v>
      </c>
      <c r="M1799" s="2">
        <f>YEAR(ORDERS[[#This Row],[OrderDate]])</f>
        <v>2015</v>
      </c>
    </row>
    <row r="1800" spans="1:13" x14ac:dyDescent="0.3">
      <c r="A1800">
        <v>1799</v>
      </c>
      <c r="B1800">
        <v>7</v>
      </c>
      <c r="C1800">
        <v>5</v>
      </c>
      <c r="D1800" s="1">
        <v>42356</v>
      </c>
      <c r="E1800">
        <v>75</v>
      </c>
      <c r="F1800">
        <f>VLOOKUP(ORDERS[[#This Row],[ProductID]],Products[],4,FALSE)</f>
        <v>16</v>
      </c>
      <c r="G1800">
        <v>5.0000001000000002E-2</v>
      </c>
      <c r="H1800">
        <f>(ORDERS[[#This Row],[UnitsOrdered]]*ORDERS[[#This Row],[unit price]])-(ORDERS[[#This Row],[UnitsOrdered]]*ORDERS[[#This Row],[unit price]]*ORDERS[[#This Row],[Discount]])</f>
        <v>1139.9999988</v>
      </c>
      <c r="I1800" t="str">
        <f>VLOOKUP(ORDERS[[#This Row],[CustomerID]],customers[],2,FALSE)</f>
        <v>The Shirt on Your Back</v>
      </c>
      <c r="J1800" s="2" t="str">
        <f>VLOOKUP(ORDERS[[#This Row],[CustomerID]],customers[],4,FALSE)</f>
        <v>Bonners Ferry</v>
      </c>
      <c r="K1800" s="2" t="str">
        <f>VLOOKUP(ORDERS[[#This Row],[ProductID]],Products[],3,FALSE)</f>
        <v>Female</v>
      </c>
      <c r="L1800" s="2">
        <f>DAY(ORDERS[[#This Row],[OrderDate]])</f>
        <v>18</v>
      </c>
      <c r="M1800" s="2">
        <f>YEAR(ORDERS[[#This Row],[OrderDate]])</f>
        <v>2015</v>
      </c>
    </row>
    <row r="1801" spans="1:13" x14ac:dyDescent="0.3">
      <c r="A1801">
        <v>1800</v>
      </c>
      <c r="B1801">
        <v>4</v>
      </c>
      <c r="C1801">
        <v>6</v>
      </c>
      <c r="D1801" s="1">
        <v>42357</v>
      </c>
      <c r="E1801">
        <v>144</v>
      </c>
      <c r="F1801">
        <f>VLOOKUP(ORDERS[[#This Row],[ProductID]],Products[],4,FALSE)</f>
        <v>28</v>
      </c>
      <c r="G1801">
        <v>0</v>
      </c>
      <c r="H1801">
        <f>(ORDERS[[#This Row],[UnitsOrdered]]*ORDERS[[#This Row],[unit price]])-(ORDERS[[#This Row],[UnitsOrdered]]*ORDERS[[#This Row],[unit price]]*ORDERS[[#This Row],[Discount]])</f>
        <v>4032</v>
      </c>
      <c r="I1801" t="str">
        <f>VLOOKUP(ORDERS[[#This Row],[CustomerID]],customers[],2,FALSE)</f>
        <v>Tshirt Unlimited</v>
      </c>
      <c r="J1801" s="2" t="str">
        <f>VLOOKUP(ORDERS[[#This Row],[CustomerID]],customers[],4,FALSE)</f>
        <v>Phoenix</v>
      </c>
      <c r="K1801" s="2" t="str">
        <f>VLOOKUP(ORDERS[[#This Row],[ProductID]],Products[],3,FALSE)</f>
        <v>Female</v>
      </c>
      <c r="L1801" s="2">
        <f>DAY(ORDERS[[#This Row],[OrderDate]])</f>
        <v>19</v>
      </c>
      <c r="M1801" s="2">
        <f>YEAR(ORDERS[[#This Row],[OrderDate]])</f>
        <v>2015</v>
      </c>
    </row>
    <row r="1802" spans="1:13" x14ac:dyDescent="0.3">
      <c r="A1802">
        <v>1801</v>
      </c>
      <c r="B1802">
        <v>5</v>
      </c>
      <c r="C1802">
        <v>6</v>
      </c>
      <c r="D1802" s="1">
        <v>42357</v>
      </c>
      <c r="E1802">
        <v>106</v>
      </c>
      <c r="F1802">
        <f>VLOOKUP(ORDERS[[#This Row],[ProductID]],Products[],4,FALSE)</f>
        <v>28</v>
      </c>
      <c r="G1802">
        <v>0</v>
      </c>
      <c r="H1802">
        <f>(ORDERS[[#This Row],[UnitsOrdered]]*ORDERS[[#This Row],[unit price]])-(ORDERS[[#This Row],[UnitsOrdered]]*ORDERS[[#This Row],[unit price]]*ORDERS[[#This Row],[Discount]])</f>
        <v>2968</v>
      </c>
      <c r="I1802" t="str">
        <f>VLOOKUP(ORDERS[[#This Row],[CustomerID]],customers[],2,FALSE)</f>
        <v>Rags to Riches</v>
      </c>
      <c r="J1802" s="2" t="str">
        <f>VLOOKUP(ORDERS[[#This Row],[CustomerID]],customers[],4,FALSE)</f>
        <v>Las Vegas</v>
      </c>
      <c r="K1802" s="2" t="str">
        <f>VLOOKUP(ORDERS[[#This Row],[ProductID]],Products[],3,FALSE)</f>
        <v>Female</v>
      </c>
      <c r="L1802" s="2">
        <f>DAY(ORDERS[[#This Row],[OrderDate]])</f>
        <v>19</v>
      </c>
      <c r="M1802" s="2">
        <f>YEAR(ORDERS[[#This Row],[OrderDate]])</f>
        <v>2015</v>
      </c>
    </row>
    <row r="1803" spans="1:13" x14ac:dyDescent="0.3">
      <c r="A1803">
        <v>1802</v>
      </c>
      <c r="B1803">
        <v>3</v>
      </c>
      <c r="C1803">
        <v>5</v>
      </c>
      <c r="D1803" s="1">
        <v>42358</v>
      </c>
      <c r="E1803">
        <v>90</v>
      </c>
      <c r="F1803">
        <f>VLOOKUP(ORDERS[[#This Row],[ProductID]],Products[],4,FALSE)</f>
        <v>16</v>
      </c>
      <c r="G1803">
        <v>5.0000001000000002E-2</v>
      </c>
      <c r="H1803">
        <f>(ORDERS[[#This Row],[UnitsOrdered]]*ORDERS[[#This Row],[unit price]])-(ORDERS[[#This Row],[UnitsOrdered]]*ORDERS[[#This Row],[unit price]]*ORDERS[[#This Row],[Discount]])</f>
        <v>1367.99999856</v>
      </c>
      <c r="I1803" t="str">
        <f>VLOOKUP(ORDERS[[#This Row],[CustomerID]],customers[],2,FALSE)</f>
        <v>Shirts R Us</v>
      </c>
      <c r="J1803" s="2" t="str">
        <f>VLOOKUP(ORDERS[[#This Row],[CustomerID]],customers[],4,FALSE)</f>
        <v>Los Angeles</v>
      </c>
      <c r="K1803" s="2" t="str">
        <f>VLOOKUP(ORDERS[[#This Row],[ProductID]],Products[],3,FALSE)</f>
        <v>Female</v>
      </c>
      <c r="L1803" s="2">
        <f>DAY(ORDERS[[#This Row],[OrderDate]])</f>
        <v>20</v>
      </c>
      <c r="M1803" s="2">
        <f>YEAR(ORDERS[[#This Row],[OrderDate]])</f>
        <v>2015</v>
      </c>
    </row>
    <row r="1804" spans="1:13" x14ac:dyDescent="0.3">
      <c r="A1804">
        <v>1803</v>
      </c>
      <c r="B1804">
        <v>5</v>
      </c>
      <c r="C1804">
        <v>2</v>
      </c>
      <c r="D1804" s="1">
        <v>42358</v>
      </c>
      <c r="E1804">
        <v>101</v>
      </c>
      <c r="F1804">
        <f>VLOOKUP(ORDERS[[#This Row],[ProductID]],Products[],4,FALSE)</f>
        <v>30</v>
      </c>
      <c r="G1804">
        <v>0</v>
      </c>
      <c r="H1804">
        <f>(ORDERS[[#This Row],[UnitsOrdered]]*ORDERS[[#This Row],[unit price]])-(ORDERS[[#This Row],[UnitsOrdered]]*ORDERS[[#This Row],[unit price]]*ORDERS[[#This Row],[Discount]])</f>
        <v>3030</v>
      </c>
      <c r="I1804" t="str">
        <f>VLOOKUP(ORDERS[[#This Row],[CustomerID]],customers[],2,FALSE)</f>
        <v>Rags to Riches</v>
      </c>
      <c r="J1804" s="2" t="str">
        <f>VLOOKUP(ORDERS[[#This Row],[CustomerID]],customers[],4,FALSE)</f>
        <v>Las Vegas</v>
      </c>
      <c r="K1804" s="2" t="str">
        <f>VLOOKUP(ORDERS[[#This Row],[ProductID]],Products[],3,FALSE)</f>
        <v>Both</v>
      </c>
      <c r="L1804" s="2">
        <f>DAY(ORDERS[[#This Row],[OrderDate]])</f>
        <v>20</v>
      </c>
      <c r="M1804" s="2">
        <f>YEAR(ORDERS[[#This Row],[OrderDate]])</f>
        <v>2015</v>
      </c>
    </row>
    <row r="1805" spans="1:13" x14ac:dyDescent="0.3">
      <c r="A1805">
        <v>1804</v>
      </c>
      <c r="B1805">
        <v>1</v>
      </c>
      <c r="C1805">
        <v>2</v>
      </c>
      <c r="D1805" s="1">
        <v>42359</v>
      </c>
      <c r="E1805">
        <v>80</v>
      </c>
      <c r="F1805">
        <f>VLOOKUP(ORDERS[[#This Row],[ProductID]],Products[],4,FALSE)</f>
        <v>30</v>
      </c>
      <c r="G1805">
        <v>0</v>
      </c>
      <c r="H1805">
        <f>(ORDERS[[#This Row],[UnitsOrdered]]*ORDERS[[#This Row],[unit price]])-(ORDERS[[#This Row],[UnitsOrdered]]*ORDERS[[#This Row],[unit price]]*ORDERS[[#This Row],[Discount]])</f>
        <v>2400</v>
      </c>
      <c r="I1805" t="str">
        <f>VLOOKUP(ORDERS[[#This Row],[CustomerID]],customers[],2,FALSE)</f>
        <v>Threads</v>
      </c>
      <c r="J1805" s="2" t="str">
        <f>VLOOKUP(ORDERS[[#This Row],[CustomerID]],customers[],4,FALSE)</f>
        <v>Seattle</v>
      </c>
      <c r="K1805" s="2" t="str">
        <f>VLOOKUP(ORDERS[[#This Row],[ProductID]],Products[],3,FALSE)</f>
        <v>Both</v>
      </c>
      <c r="L1805" s="2">
        <f>DAY(ORDERS[[#This Row],[OrderDate]])</f>
        <v>21</v>
      </c>
      <c r="M1805" s="2">
        <f>YEAR(ORDERS[[#This Row],[OrderDate]])</f>
        <v>2015</v>
      </c>
    </row>
    <row r="1806" spans="1:13" x14ac:dyDescent="0.3">
      <c r="A1806">
        <v>1805</v>
      </c>
      <c r="B1806">
        <v>2</v>
      </c>
      <c r="C1806">
        <v>1</v>
      </c>
      <c r="D1806" s="1">
        <v>42359</v>
      </c>
      <c r="E1806">
        <v>57</v>
      </c>
      <c r="F1806">
        <f>VLOOKUP(ORDERS[[#This Row],[ProductID]],Products[],4,FALSE)</f>
        <v>20</v>
      </c>
      <c r="G1806">
        <v>0</v>
      </c>
      <c r="H1806">
        <f>(ORDERS[[#This Row],[UnitsOrdered]]*ORDERS[[#This Row],[unit price]])-(ORDERS[[#This Row],[UnitsOrdered]]*ORDERS[[#This Row],[unit price]]*ORDERS[[#This Row],[Discount]])</f>
        <v>1140</v>
      </c>
      <c r="I1806" t="str">
        <f>VLOOKUP(ORDERS[[#This Row],[CustomerID]],customers[],2,FALSE)</f>
        <v>A Shirts Life</v>
      </c>
      <c r="J1806" s="2" t="str">
        <f>VLOOKUP(ORDERS[[#This Row],[CustomerID]],customers[],4,FALSE)</f>
        <v>Portland</v>
      </c>
      <c r="K1806" s="2" t="str">
        <f>VLOOKUP(ORDERS[[#This Row],[ProductID]],Products[],3,FALSE)</f>
        <v>Both</v>
      </c>
      <c r="L1806" s="2">
        <f>DAY(ORDERS[[#This Row],[OrderDate]])</f>
        <v>21</v>
      </c>
      <c r="M1806" s="2">
        <f>YEAR(ORDERS[[#This Row],[OrderDate]])</f>
        <v>2015</v>
      </c>
    </row>
    <row r="1807" spans="1:13" x14ac:dyDescent="0.3">
      <c r="A1807">
        <v>1806</v>
      </c>
      <c r="B1807">
        <v>2</v>
      </c>
      <c r="C1807">
        <v>7</v>
      </c>
      <c r="D1807" s="1">
        <v>42359</v>
      </c>
      <c r="E1807">
        <v>55</v>
      </c>
      <c r="F1807">
        <f>VLOOKUP(ORDERS[[#This Row],[ProductID]],Products[],4,FALSE)</f>
        <v>38</v>
      </c>
      <c r="G1807">
        <v>0</v>
      </c>
      <c r="H1807">
        <f>(ORDERS[[#This Row],[UnitsOrdered]]*ORDERS[[#This Row],[unit price]])-(ORDERS[[#This Row],[UnitsOrdered]]*ORDERS[[#This Row],[unit price]]*ORDERS[[#This Row],[Discount]])</f>
        <v>2090</v>
      </c>
      <c r="I1807" t="str">
        <f>VLOOKUP(ORDERS[[#This Row],[CustomerID]],customers[],2,FALSE)</f>
        <v>A Shirts Life</v>
      </c>
      <c r="J1807" s="2" t="str">
        <f>VLOOKUP(ORDERS[[#This Row],[CustomerID]],customers[],4,FALSE)</f>
        <v>Portland</v>
      </c>
      <c r="K1807" s="2" t="str">
        <f>VLOOKUP(ORDERS[[#This Row],[ProductID]],Products[],3,FALSE)</f>
        <v>Female</v>
      </c>
      <c r="L1807" s="2">
        <f>DAY(ORDERS[[#This Row],[OrderDate]])</f>
        <v>21</v>
      </c>
      <c r="M1807" s="2">
        <f>YEAR(ORDERS[[#This Row],[OrderDate]])</f>
        <v>2015</v>
      </c>
    </row>
    <row r="1808" spans="1:13" x14ac:dyDescent="0.3">
      <c r="A1808">
        <v>1807</v>
      </c>
      <c r="B1808">
        <v>2</v>
      </c>
      <c r="C1808">
        <v>10</v>
      </c>
      <c r="D1808" s="1">
        <v>42359</v>
      </c>
      <c r="E1808">
        <v>111</v>
      </c>
      <c r="F1808">
        <f>VLOOKUP(ORDERS[[#This Row],[ProductID]],Products[],4,FALSE)</f>
        <v>35</v>
      </c>
      <c r="G1808">
        <v>5.0000001000000002E-2</v>
      </c>
      <c r="H1808">
        <f>(ORDERS[[#This Row],[UnitsOrdered]]*ORDERS[[#This Row],[unit price]])-(ORDERS[[#This Row],[UnitsOrdered]]*ORDERS[[#This Row],[unit price]]*ORDERS[[#This Row],[Discount]])</f>
        <v>3690.7499961150002</v>
      </c>
      <c r="I1808" t="str">
        <f>VLOOKUP(ORDERS[[#This Row],[CustomerID]],customers[],2,FALSE)</f>
        <v>A Shirts Life</v>
      </c>
      <c r="J1808" s="2" t="str">
        <f>VLOOKUP(ORDERS[[#This Row],[CustomerID]],customers[],4,FALSE)</f>
        <v>Portland</v>
      </c>
      <c r="K1808" s="2" t="str">
        <f>VLOOKUP(ORDERS[[#This Row],[ProductID]],Products[],3,FALSE)</f>
        <v>Male</v>
      </c>
      <c r="L1808" s="2">
        <f>DAY(ORDERS[[#This Row],[OrderDate]])</f>
        <v>21</v>
      </c>
      <c r="M1808" s="2">
        <f>YEAR(ORDERS[[#This Row],[OrderDate]])</f>
        <v>2015</v>
      </c>
    </row>
    <row r="1809" spans="1:13" x14ac:dyDescent="0.3">
      <c r="A1809">
        <v>1808</v>
      </c>
      <c r="B1809">
        <v>3</v>
      </c>
      <c r="C1809">
        <v>4</v>
      </c>
      <c r="D1809" s="1">
        <v>42359</v>
      </c>
      <c r="E1809">
        <v>102</v>
      </c>
      <c r="F1809">
        <f>VLOOKUP(ORDERS[[#This Row],[ProductID]],Products[],4,FALSE)</f>
        <v>30</v>
      </c>
      <c r="G1809">
        <v>0</v>
      </c>
      <c r="H1809">
        <f>(ORDERS[[#This Row],[UnitsOrdered]]*ORDERS[[#This Row],[unit price]])-(ORDERS[[#This Row],[UnitsOrdered]]*ORDERS[[#This Row],[unit price]]*ORDERS[[#This Row],[Discount]])</f>
        <v>3060</v>
      </c>
      <c r="I1809" t="str">
        <f>VLOOKUP(ORDERS[[#This Row],[CustomerID]],customers[],2,FALSE)</f>
        <v>Shirts R Us</v>
      </c>
      <c r="J1809" s="2" t="str">
        <f>VLOOKUP(ORDERS[[#This Row],[CustomerID]],customers[],4,FALSE)</f>
        <v>Los Angeles</v>
      </c>
      <c r="K1809" s="2" t="str">
        <f>VLOOKUP(ORDERS[[#This Row],[ProductID]],Products[],3,FALSE)</f>
        <v>Both</v>
      </c>
      <c r="L1809" s="2">
        <f>DAY(ORDERS[[#This Row],[OrderDate]])</f>
        <v>21</v>
      </c>
      <c r="M1809" s="2">
        <f>YEAR(ORDERS[[#This Row],[OrderDate]])</f>
        <v>2015</v>
      </c>
    </row>
    <row r="1810" spans="1:13" x14ac:dyDescent="0.3">
      <c r="A1810">
        <v>1809</v>
      </c>
      <c r="B1810">
        <v>5</v>
      </c>
      <c r="C1810">
        <v>3</v>
      </c>
      <c r="D1810" s="1">
        <v>42359</v>
      </c>
      <c r="E1810">
        <v>83</v>
      </c>
      <c r="F1810">
        <f>VLOOKUP(ORDERS[[#This Row],[ProductID]],Products[],4,FALSE)</f>
        <v>22</v>
      </c>
      <c r="G1810">
        <v>5.0000001000000002E-2</v>
      </c>
      <c r="H1810">
        <f>(ORDERS[[#This Row],[UnitsOrdered]]*ORDERS[[#This Row],[unit price]])-(ORDERS[[#This Row],[UnitsOrdered]]*ORDERS[[#This Row],[unit price]]*ORDERS[[#This Row],[Discount]])</f>
        <v>1734.699998174</v>
      </c>
      <c r="I1810" t="str">
        <f>VLOOKUP(ORDERS[[#This Row],[CustomerID]],customers[],2,FALSE)</f>
        <v>Rags to Riches</v>
      </c>
      <c r="J1810" s="2" t="str">
        <f>VLOOKUP(ORDERS[[#This Row],[CustomerID]],customers[],4,FALSE)</f>
        <v>Las Vegas</v>
      </c>
      <c r="K1810" s="2" t="str">
        <f>VLOOKUP(ORDERS[[#This Row],[ProductID]],Products[],3,FALSE)</f>
        <v>Both</v>
      </c>
      <c r="L1810" s="2">
        <f>DAY(ORDERS[[#This Row],[OrderDate]])</f>
        <v>21</v>
      </c>
      <c r="M1810" s="2">
        <f>YEAR(ORDERS[[#This Row],[OrderDate]])</f>
        <v>2015</v>
      </c>
    </row>
    <row r="1811" spans="1:13" x14ac:dyDescent="0.3">
      <c r="A1811">
        <v>1810</v>
      </c>
      <c r="B1811">
        <v>1</v>
      </c>
      <c r="C1811">
        <v>6</v>
      </c>
      <c r="D1811" s="1">
        <v>42361</v>
      </c>
      <c r="E1811">
        <v>67</v>
      </c>
      <c r="F1811">
        <f>VLOOKUP(ORDERS[[#This Row],[ProductID]],Products[],4,FALSE)</f>
        <v>28</v>
      </c>
      <c r="G1811">
        <v>0</v>
      </c>
      <c r="H1811">
        <f>(ORDERS[[#This Row],[UnitsOrdered]]*ORDERS[[#This Row],[unit price]])-(ORDERS[[#This Row],[UnitsOrdered]]*ORDERS[[#This Row],[unit price]]*ORDERS[[#This Row],[Discount]])</f>
        <v>1876</v>
      </c>
      <c r="I1811" t="str">
        <f>VLOOKUP(ORDERS[[#This Row],[CustomerID]],customers[],2,FALSE)</f>
        <v>Threads</v>
      </c>
      <c r="J1811" s="2" t="str">
        <f>VLOOKUP(ORDERS[[#This Row],[CustomerID]],customers[],4,FALSE)</f>
        <v>Seattle</v>
      </c>
      <c r="K1811" s="2" t="str">
        <f>VLOOKUP(ORDERS[[#This Row],[ProductID]],Products[],3,FALSE)</f>
        <v>Female</v>
      </c>
      <c r="L1811" s="2">
        <f>DAY(ORDERS[[#This Row],[OrderDate]])</f>
        <v>23</v>
      </c>
      <c r="M1811" s="2">
        <f>YEAR(ORDERS[[#This Row],[OrderDate]])</f>
        <v>2015</v>
      </c>
    </row>
    <row r="1812" spans="1:13" x14ac:dyDescent="0.3">
      <c r="A1812">
        <v>1811</v>
      </c>
      <c r="B1812">
        <v>4</v>
      </c>
      <c r="C1812">
        <v>6</v>
      </c>
      <c r="D1812" s="1">
        <v>42362</v>
      </c>
      <c r="E1812">
        <v>70</v>
      </c>
      <c r="F1812">
        <f>VLOOKUP(ORDERS[[#This Row],[ProductID]],Products[],4,FALSE)</f>
        <v>28</v>
      </c>
      <c r="G1812">
        <v>5.0000001000000002E-2</v>
      </c>
      <c r="H1812">
        <f>(ORDERS[[#This Row],[UnitsOrdered]]*ORDERS[[#This Row],[unit price]])-(ORDERS[[#This Row],[UnitsOrdered]]*ORDERS[[#This Row],[unit price]]*ORDERS[[#This Row],[Discount]])</f>
        <v>1861.99999804</v>
      </c>
      <c r="I1812" t="str">
        <f>VLOOKUP(ORDERS[[#This Row],[CustomerID]],customers[],2,FALSE)</f>
        <v>Tshirt Unlimited</v>
      </c>
      <c r="J1812" s="2" t="str">
        <f>VLOOKUP(ORDERS[[#This Row],[CustomerID]],customers[],4,FALSE)</f>
        <v>Phoenix</v>
      </c>
      <c r="K1812" s="2" t="str">
        <f>VLOOKUP(ORDERS[[#This Row],[ProductID]],Products[],3,FALSE)</f>
        <v>Female</v>
      </c>
      <c r="L1812" s="2">
        <f>DAY(ORDERS[[#This Row],[OrderDate]])</f>
        <v>24</v>
      </c>
      <c r="M1812" s="2">
        <f>YEAR(ORDERS[[#This Row],[OrderDate]])</f>
        <v>2015</v>
      </c>
    </row>
    <row r="1813" spans="1:13" x14ac:dyDescent="0.3">
      <c r="A1813">
        <v>1812</v>
      </c>
      <c r="B1813">
        <v>5</v>
      </c>
      <c r="C1813">
        <v>6</v>
      </c>
      <c r="D1813" s="1">
        <v>42362</v>
      </c>
      <c r="E1813">
        <v>97</v>
      </c>
      <c r="F1813">
        <f>VLOOKUP(ORDERS[[#This Row],[ProductID]],Products[],4,FALSE)</f>
        <v>28</v>
      </c>
      <c r="G1813">
        <v>0</v>
      </c>
      <c r="H1813">
        <f>(ORDERS[[#This Row],[UnitsOrdered]]*ORDERS[[#This Row],[unit price]])-(ORDERS[[#This Row],[UnitsOrdered]]*ORDERS[[#This Row],[unit price]]*ORDERS[[#This Row],[Discount]])</f>
        <v>2716</v>
      </c>
      <c r="I1813" t="str">
        <f>VLOOKUP(ORDERS[[#This Row],[CustomerID]],customers[],2,FALSE)</f>
        <v>Rags to Riches</v>
      </c>
      <c r="J1813" s="2" t="str">
        <f>VLOOKUP(ORDERS[[#This Row],[CustomerID]],customers[],4,FALSE)</f>
        <v>Las Vegas</v>
      </c>
      <c r="K1813" s="2" t="str">
        <f>VLOOKUP(ORDERS[[#This Row],[ProductID]],Products[],3,FALSE)</f>
        <v>Female</v>
      </c>
      <c r="L1813" s="2">
        <f>DAY(ORDERS[[#This Row],[OrderDate]])</f>
        <v>24</v>
      </c>
      <c r="M1813" s="2">
        <f>YEAR(ORDERS[[#This Row],[OrderDate]])</f>
        <v>2015</v>
      </c>
    </row>
    <row r="1814" spans="1:13" x14ac:dyDescent="0.3">
      <c r="A1814">
        <v>1813</v>
      </c>
      <c r="B1814">
        <v>7</v>
      </c>
      <c r="C1814">
        <v>4</v>
      </c>
      <c r="D1814" s="1">
        <v>42364</v>
      </c>
      <c r="E1814">
        <v>66</v>
      </c>
      <c r="F1814">
        <f>VLOOKUP(ORDERS[[#This Row],[ProductID]],Products[],4,FALSE)</f>
        <v>30</v>
      </c>
      <c r="G1814">
        <v>0</v>
      </c>
      <c r="H1814">
        <f>(ORDERS[[#This Row],[UnitsOrdered]]*ORDERS[[#This Row],[unit price]])-(ORDERS[[#This Row],[UnitsOrdered]]*ORDERS[[#This Row],[unit price]]*ORDERS[[#This Row],[Discount]])</f>
        <v>1980</v>
      </c>
      <c r="I1814" t="str">
        <f>VLOOKUP(ORDERS[[#This Row],[CustomerID]],customers[],2,FALSE)</f>
        <v>The Shirt on Your Back</v>
      </c>
      <c r="J1814" s="2" t="str">
        <f>VLOOKUP(ORDERS[[#This Row],[CustomerID]],customers[],4,FALSE)</f>
        <v>Bonners Ferry</v>
      </c>
      <c r="K1814" s="2" t="str">
        <f>VLOOKUP(ORDERS[[#This Row],[ProductID]],Products[],3,FALSE)</f>
        <v>Both</v>
      </c>
      <c r="L1814" s="2">
        <f>DAY(ORDERS[[#This Row],[OrderDate]])</f>
        <v>26</v>
      </c>
      <c r="M1814" s="2">
        <f>YEAR(ORDERS[[#This Row],[OrderDate]])</f>
        <v>2015</v>
      </c>
    </row>
    <row r="1815" spans="1:13" x14ac:dyDescent="0.3">
      <c r="A1815">
        <v>1814</v>
      </c>
      <c r="B1815">
        <v>7</v>
      </c>
      <c r="C1815">
        <v>8</v>
      </c>
      <c r="D1815" s="1">
        <v>42364</v>
      </c>
      <c r="E1815">
        <v>104</v>
      </c>
      <c r="F1815">
        <f>VLOOKUP(ORDERS[[#This Row],[ProductID]],Products[],4,FALSE)</f>
        <v>27</v>
      </c>
      <c r="G1815">
        <v>0</v>
      </c>
      <c r="H1815">
        <f>(ORDERS[[#This Row],[UnitsOrdered]]*ORDERS[[#This Row],[unit price]])-(ORDERS[[#This Row],[UnitsOrdered]]*ORDERS[[#This Row],[unit price]]*ORDERS[[#This Row],[Discount]])</f>
        <v>2808</v>
      </c>
      <c r="I1815" t="str">
        <f>VLOOKUP(ORDERS[[#This Row],[CustomerID]],customers[],2,FALSE)</f>
        <v>The Shirt on Your Back</v>
      </c>
      <c r="J1815" s="2" t="str">
        <f>VLOOKUP(ORDERS[[#This Row],[CustomerID]],customers[],4,FALSE)</f>
        <v>Bonners Ferry</v>
      </c>
      <c r="K1815" s="2" t="str">
        <f>VLOOKUP(ORDERS[[#This Row],[ProductID]],Products[],3,FALSE)</f>
        <v>Female</v>
      </c>
      <c r="L1815" s="2">
        <f>DAY(ORDERS[[#This Row],[OrderDate]])</f>
        <v>26</v>
      </c>
      <c r="M1815" s="2">
        <f>YEAR(ORDERS[[#This Row],[OrderDate]])</f>
        <v>2015</v>
      </c>
    </row>
    <row r="1816" spans="1:13" x14ac:dyDescent="0.3">
      <c r="A1816">
        <v>1815</v>
      </c>
      <c r="B1816">
        <v>3</v>
      </c>
      <c r="C1816">
        <v>10</v>
      </c>
      <c r="D1816" s="1">
        <v>42366</v>
      </c>
      <c r="E1816">
        <v>49</v>
      </c>
      <c r="F1816">
        <f>VLOOKUP(ORDERS[[#This Row],[ProductID]],Products[],4,FALSE)</f>
        <v>35</v>
      </c>
      <c r="G1816">
        <v>0</v>
      </c>
      <c r="H1816">
        <f>(ORDERS[[#This Row],[UnitsOrdered]]*ORDERS[[#This Row],[unit price]])-(ORDERS[[#This Row],[UnitsOrdered]]*ORDERS[[#This Row],[unit price]]*ORDERS[[#This Row],[Discount]])</f>
        <v>1715</v>
      </c>
      <c r="I1816" t="str">
        <f>VLOOKUP(ORDERS[[#This Row],[CustomerID]],customers[],2,FALSE)</f>
        <v>Shirts R Us</v>
      </c>
      <c r="J1816" s="2" t="str">
        <f>VLOOKUP(ORDERS[[#This Row],[CustomerID]],customers[],4,FALSE)</f>
        <v>Los Angeles</v>
      </c>
      <c r="K1816" s="2" t="str">
        <f>VLOOKUP(ORDERS[[#This Row],[ProductID]],Products[],3,FALSE)</f>
        <v>Male</v>
      </c>
      <c r="L1816" s="2">
        <f>DAY(ORDERS[[#This Row],[OrderDate]])</f>
        <v>28</v>
      </c>
      <c r="M1816" s="2">
        <f>YEAR(ORDERS[[#This Row],[OrderDate]])</f>
        <v>2015</v>
      </c>
    </row>
    <row r="1817" spans="1:13" x14ac:dyDescent="0.3">
      <c r="A1817">
        <v>1816</v>
      </c>
      <c r="B1817">
        <v>4</v>
      </c>
      <c r="C1817">
        <v>9</v>
      </c>
      <c r="D1817" s="1">
        <v>42370</v>
      </c>
      <c r="E1817">
        <v>125</v>
      </c>
      <c r="F1817">
        <f>VLOOKUP(ORDERS[[#This Row],[ProductID]],Products[],4,FALSE)</f>
        <v>25</v>
      </c>
      <c r="G1817">
        <v>0</v>
      </c>
      <c r="H1817">
        <f>(ORDERS[[#This Row],[UnitsOrdered]]*ORDERS[[#This Row],[unit price]])-(ORDERS[[#This Row],[UnitsOrdered]]*ORDERS[[#This Row],[unit price]]*ORDERS[[#This Row],[Discount]])</f>
        <v>3125</v>
      </c>
      <c r="I1817" t="str">
        <f>VLOOKUP(ORDERS[[#This Row],[CustomerID]],customers[],2,FALSE)</f>
        <v>Tshirt Unlimited</v>
      </c>
      <c r="J1817" s="2" t="str">
        <f>VLOOKUP(ORDERS[[#This Row],[CustomerID]],customers[],4,FALSE)</f>
        <v>Phoenix</v>
      </c>
      <c r="K1817" s="2" t="str">
        <f>VLOOKUP(ORDERS[[#This Row],[ProductID]],Products[],3,FALSE)</f>
        <v>Male</v>
      </c>
      <c r="L1817" s="2">
        <f>DAY(ORDERS[[#This Row],[OrderDate]])</f>
        <v>1</v>
      </c>
      <c r="M1817" s="2">
        <f>YEAR(ORDERS[[#This Row],[OrderDate]])</f>
        <v>2016</v>
      </c>
    </row>
    <row r="1818" spans="1:13" x14ac:dyDescent="0.3">
      <c r="A1818">
        <v>1817</v>
      </c>
      <c r="B1818">
        <v>6</v>
      </c>
      <c r="C1818">
        <v>4</v>
      </c>
      <c r="D1818" s="1">
        <v>42372</v>
      </c>
      <c r="E1818">
        <v>122</v>
      </c>
      <c r="F1818">
        <f>VLOOKUP(ORDERS[[#This Row],[ProductID]],Products[],4,FALSE)</f>
        <v>30</v>
      </c>
      <c r="G1818">
        <v>0</v>
      </c>
      <c r="H1818">
        <f>(ORDERS[[#This Row],[UnitsOrdered]]*ORDERS[[#This Row],[unit price]])-(ORDERS[[#This Row],[UnitsOrdered]]*ORDERS[[#This Row],[unit price]]*ORDERS[[#This Row],[Discount]])</f>
        <v>3660</v>
      </c>
      <c r="I1818" t="str">
        <f>VLOOKUP(ORDERS[[#This Row],[CustomerID]],customers[],2,FALSE)</f>
        <v>Abracadaba Ink</v>
      </c>
      <c r="J1818" s="2" t="str">
        <f>VLOOKUP(ORDERS[[#This Row],[CustomerID]],customers[],4,FALSE)</f>
        <v>Salt Lake City</v>
      </c>
      <c r="K1818" s="2" t="str">
        <f>VLOOKUP(ORDERS[[#This Row],[ProductID]],Products[],3,FALSE)</f>
        <v>Both</v>
      </c>
      <c r="L1818" s="2">
        <f>DAY(ORDERS[[#This Row],[OrderDate]])</f>
        <v>3</v>
      </c>
      <c r="M1818" s="2">
        <f>YEAR(ORDERS[[#This Row],[OrderDate]])</f>
        <v>2016</v>
      </c>
    </row>
    <row r="1819" spans="1:13" x14ac:dyDescent="0.3">
      <c r="A1819">
        <v>1818</v>
      </c>
      <c r="B1819">
        <v>7</v>
      </c>
      <c r="C1819">
        <v>8</v>
      </c>
      <c r="D1819" s="1">
        <v>42372</v>
      </c>
      <c r="E1819">
        <v>78</v>
      </c>
      <c r="F1819">
        <f>VLOOKUP(ORDERS[[#This Row],[ProductID]],Products[],4,FALSE)</f>
        <v>27</v>
      </c>
      <c r="G1819">
        <v>5.0000001000000002E-2</v>
      </c>
      <c r="H1819">
        <f>(ORDERS[[#This Row],[UnitsOrdered]]*ORDERS[[#This Row],[unit price]])-(ORDERS[[#This Row],[UnitsOrdered]]*ORDERS[[#This Row],[unit price]]*ORDERS[[#This Row],[Discount]])</f>
        <v>2000.699997894</v>
      </c>
      <c r="I1819" t="str">
        <f>VLOOKUP(ORDERS[[#This Row],[CustomerID]],customers[],2,FALSE)</f>
        <v>The Shirt on Your Back</v>
      </c>
      <c r="J1819" s="2" t="str">
        <f>VLOOKUP(ORDERS[[#This Row],[CustomerID]],customers[],4,FALSE)</f>
        <v>Bonners Ferry</v>
      </c>
      <c r="K1819" s="2" t="str">
        <f>VLOOKUP(ORDERS[[#This Row],[ProductID]],Products[],3,FALSE)</f>
        <v>Female</v>
      </c>
      <c r="L1819" s="2">
        <f>DAY(ORDERS[[#This Row],[OrderDate]])</f>
        <v>3</v>
      </c>
      <c r="M1819" s="2">
        <f>YEAR(ORDERS[[#This Row],[OrderDate]])</f>
        <v>2016</v>
      </c>
    </row>
    <row r="1820" spans="1:13" x14ac:dyDescent="0.3">
      <c r="A1820">
        <v>1819</v>
      </c>
      <c r="B1820">
        <v>1</v>
      </c>
      <c r="C1820">
        <v>1</v>
      </c>
      <c r="D1820" s="1">
        <v>42373</v>
      </c>
      <c r="E1820">
        <v>27</v>
      </c>
      <c r="F1820">
        <f>VLOOKUP(ORDERS[[#This Row],[ProductID]],Products[],4,FALSE)</f>
        <v>20</v>
      </c>
      <c r="G1820">
        <v>0</v>
      </c>
      <c r="H1820">
        <f>(ORDERS[[#This Row],[UnitsOrdered]]*ORDERS[[#This Row],[unit price]])-(ORDERS[[#This Row],[UnitsOrdered]]*ORDERS[[#This Row],[unit price]]*ORDERS[[#This Row],[Discount]])</f>
        <v>540</v>
      </c>
      <c r="I1820" t="str">
        <f>VLOOKUP(ORDERS[[#This Row],[CustomerID]],customers[],2,FALSE)</f>
        <v>Threads</v>
      </c>
      <c r="J1820" s="2" t="str">
        <f>VLOOKUP(ORDERS[[#This Row],[CustomerID]],customers[],4,FALSE)</f>
        <v>Seattle</v>
      </c>
      <c r="K1820" s="2" t="str">
        <f>VLOOKUP(ORDERS[[#This Row],[ProductID]],Products[],3,FALSE)</f>
        <v>Both</v>
      </c>
      <c r="L1820" s="2">
        <f>DAY(ORDERS[[#This Row],[OrderDate]])</f>
        <v>4</v>
      </c>
      <c r="M1820" s="2">
        <f>YEAR(ORDERS[[#This Row],[OrderDate]])</f>
        <v>2016</v>
      </c>
    </row>
    <row r="1821" spans="1:13" x14ac:dyDescent="0.3">
      <c r="A1821">
        <v>1820</v>
      </c>
      <c r="B1821">
        <v>3</v>
      </c>
      <c r="C1821">
        <v>7</v>
      </c>
      <c r="D1821" s="1">
        <v>42373</v>
      </c>
      <c r="E1821">
        <v>144</v>
      </c>
      <c r="F1821">
        <f>VLOOKUP(ORDERS[[#This Row],[ProductID]],Products[],4,FALSE)</f>
        <v>38</v>
      </c>
      <c r="G1821">
        <v>0</v>
      </c>
      <c r="H1821">
        <f>(ORDERS[[#This Row],[UnitsOrdered]]*ORDERS[[#This Row],[unit price]])-(ORDERS[[#This Row],[UnitsOrdered]]*ORDERS[[#This Row],[unit price]]*ORDERS[[#This Row],[Discount]])</f>
        <v>5472</v>
      </c>
      <c r="I1821" t="str">
        <f>VLOOKUP(ORDERS[[#This Row],[CustomerID]],customers[],2,FALSE)</f>
        <v>Shirts R Us</v>
      </c>
      <c r="J1821" s="2" t="str">
        <f>VLOOKUP(ORDERS[[#This Row],[CustomerID]],customers[],4,FALSE)</f>
        <v>Los Angeles</v>
      </c>
      <c r="K1821" s="2" t="str">
        <f>VLOOKUP(ORDERS[[#This Row],[ProductID]],Products[],3,FALSE)</f>
        <v>Female</v>
      </c>
      <c r="L1821" s="2">
        <f>DAY(ORDERS[[#This Row],[OrderDate]])</f>
        <v>4</v>
      </c>
      <c r="M1821" s="2">
        <f>YEAR(ORDERS[[#This Row],[OrderDate]])</f>
        <v>2016</v>
      </c>
    </row>
    <row r="1822" spans="1:13" x14ac:dyDescent="0.3">
      <c r="A1822">
        <v>1821</v>
      </c>
      <c r="B1822">
        <v>4</v>
      </c>
      <c r="C1822">
        <v>7</v>
      </c>
      <c r="D1822" s="1">
        <v>42373</v>
      </c>
      <c r="E1822">
        <v>29</v>
      </c>
      <c r="F1822">
        <f>VLOOKUP(ORDERS[[#This Row],[ProductID]],Products[],4,FALSE)</f>
        <v>38</v>
      </c>
      <c r="G1822">
        <v>0</v>
      </c>
      <c r="H1822">
        <f>(ORDERS[[#This Row],[UnitsOrdered]]*ORDERS[[#This Row],[unit price]])-(ORDERS[[#This Row],[UnitsOrdered]]*ORDERS[[#This Row],[unit price]]*ORDERS[[#This Row],[Discount]])</f>
        <v>1102</v>
      </c>
      <c r="I1822" t="str">
        <f>VLOOKUP(ORDERS[[#This Row],[CustomerID]],customers[],2,FALSE)</f>
        <v>Tshirt Unlimited</v>
      </c>
      <c r="J1822" s="2" t="str">
        <f>VLOOKUP(ORDERS[[#This Row],[CustomerID]],customers[],4,FALSE)</f>
        <v>Phoenix</v>
      </c>
      <c r="K1822" s="2" t="str">
        <f>VLOOKUP(ORDERS[[#This Row],[ProductID]],Products[],3,FALSE)</f>
        <v>Female</v>
      </c>
      <c r="L1822" s="2">
        <f>DAY(ORDERS[[#This Row],[OrderDate]])</f>
        <v>4</v>
      </c>
      <c r="M1822" s="2">
        <f>YEAR(ORDERS[[#This Row],[OrderDate]])</f>
        <v>2016</v>
      </c>
    </row>
    <row r="1823" spans="1:13" x14ac:dyDescent="0.3">
      <c r="A1823">
        <v>1822</v>
      </c>
      <c r="B1823">
        <v>4</v>
      </c>
      <c r="C1823">
        <v>8</v>
      </c>
      <c r="D1823" s="1">
        <v>42376</v>
      </c>
      <c r="E1823">
        <v>38</v>
      </c>
      <c r="F1823">
        <f>VLOOKUP(ORDERS[[#This Row],[ProductID]],Products[],4,FALSE)</f>
        <v>27</v>
      </c>
      <c r="G1823">
        <v>0.10000000100000001</v>
      </c>
      <c r="H1823">
        <f>(ORDERS[[#This Row],[UnitsOrdered]]*ORDERS[[#This Row],[unit price]])-(ORDERS[[#This Row],[UnitsOrdered]]*ORDERS[[#This Row],[unit price]]*ORDERS[[#This Row],[Discount]])</f>
        <v>923.39999897400003</v>
      </c>
      <c r="I1823" t="str">
        <f>VLOOKUP(ORDERS[[#This Row],[CustomerID]],customers[],2,FALSE)</f>
        <v>Tshirt Unlimited</v>
      </c>
      <c r="J1823" s="2" t="str">
        <f>VLOOKUP(ORDERS[[#This Row],[CustomerID]],customers[],4,FALSE)</f>
        <v>Phoenix</v>
      </c>
      <c r="K1823" s="2" t="str">
        <f>VLOOKUP(ORDERS[[#This Row],[ProductID]],Products[],3,FALSE)</f>
        <v>Female</v>
      </c>
      <c r="L1823" s="2">
        <f>DAY(ORDERS[[#This Row],[OrderDate]])</f>
        <v>7</v>
      </c>
      <c r="M1823" s="2">
        <f>YEAR(ORDERS[[#This Row],[OrderDate]])</f>
        <v>2016</v>
      </c>
    </row>
    <row r="1824" spans="1:13" x14ac:dyDescent="0.3">
      <c r="A1824">
        <v>1823</v>
      </c>
      <c r="B1824">
        <v>5</v>
      </c>
      <c r="C1824">
        <v>2</v>
      </c>
      <c r="D1824" s="1">
        <v>42376</v>
      </c>
      <c r="E1824">
        <v>69</v>
      </c>
      <c r="F1824">
        <f>VLOOKUP(ORDERS[[#This Row],[ProductID]],Products[],4,FALSE)</f>
        <v>30</v>
      </c>
      <c r="G1824">
        <v>0</v>
      </c>
      <c r="H1824">
        <f>(ORDERS[[#This Row],[UnitsOrdered]]*ORDERS[[#This Row],[unit price]])-(ORDERS[[#This Row],[UnitsOrdered]]*ORDERS[[#This Row],[unit price]]*ORDERS[[#This Row],[Discount]])</f>
        <v>2070</v>
      </c>
      <c r="I1824" t="str">
        <f>VLOOKUP(ORDERS[[#This Row],[CustomerID]],customers[],2,FALSE)</f>
        <v>Rags to Riches</v>
      </c>
      <c r="J1824" s="2" t="str">
        <f>VLOOKUP(ORDERS[[#This Row],[CustomerID]],customers[],4,FALSE)</f>
        <v>Las Vegas</v>
      </c>
      <c r="K1824" s="2" t="str">
        <f>VLOOKUP(ORDERS[[#This Row],[ProductID]],Products[],3,FALSE)</f>
        <v>Both</v>
      </c>
      <c r="L1824" s="2">
        <f>DAY(ORDERS[[#This Row],[OrderDate]])</f>
        <v>7</v>
      </c>
      <c r="M1824" s="2">
        <f>YEAR(ORDERS[[#This Row],[OrderDate]])</f>
        <v>2016</v>
      </c>
    </row>
    <row r="1825" spans="1:13" x14ac:dyDescent="0.3">
      <c r="A1825">
        <v>1824</v>
      </c>
      <c r="B1825">
        <v>4</v>
      </c>
      <c r="C1825">
        <v>6</v>
      </c>
      <c r="D1825" s="1">
        <v>42377</v>
      </c>
      <c r="E1825">
        <v>54</v>
      </c>
      <c r="F1825">
        <f>VLOOKUP(ORDERS[[#This Row],[ProductID]],Products[],4,FALSE)</f>
        <v>28</v>
      </c>
      <c r="G1825">
        <v>0</v>
      </c>
      <c r="H1825">
        <f>(ORDERS[[#This Row],[UnitsOrdered]]*ORDERS[[#This Row],[unit price]])-(ORDERS[[#This Row],[UnitsOrdered]]*ORDERS[[#This Row],[unit price]]*ORDERS[[#This Row],[Discount]])</f>
        <v>1512</v>
      </c>
      <c r="I1825" t="str">
        <f>VLOOKUP(ORDERS[[#This Row],[CustomerID]],customers[],2,FALSE)</f>
        <v>Tshirt Unlimited</v>
      </c>
      <c r="J1825" s="2" t="str">
        <f>VLOOKUP(ORDERS[[#This Row],[CustomerID]],customers[],4,FALSE)</f>
        <v>Phoenix</v>
      </c>
      <c r="K1825" s="2" t="str">
        <f>VLOOKUP(ORDERS[[#This Row],[ProductID]],Products[],3,FALSE)</f>
        <v>Female</v>
      </c>
      <c r="L1825" s="2">
        <f>DAY(ORDERS[[#This Row],[OrderDate]])</f>
        <v>8</v>
      </c>
      <c r="M1825" s="2">
        <f>YEAR(ORDERS[[#This Row],[OrderDate]])</f>
        <v>2016</v>
      </c>
    </row>
    <row r="1826" spans="1:13" x14ac:dyDescent="0.3">
      <c r="A1826">
        <v>1825</v>
      </c>
      <c r="B1826">
        <v>3</v>
      </c>
      <c r="C1826">
        <v>9</v>
      </c>
      <c r="D1826" s="1">
        <v>42378</v>
      </c>
      <c r="E1826">
        <v>65</v>
      </c>
      <c r="F1826">
        <f>VLOOKUP(ORDERS[[#This Row],[ProductID]],Products[],4,FALSE)</f>
        <v>25</v>
      </c>
      <c r="G1826">
        <v>0</v>
      </c>
      <c r="H1826">
        <f>(ORDERS[[#This Row],[UnitsOrdered]]*ORDERS[[#This Row],[unit price]])-(ORDERS[[#This Row],[UnitsOrdered]]*ORDERS[[#This Row],[unit price]]*ORDERS[[#This Row],[Discount]])</f>
        <v>1625</v>
      </c>
      <c r="I1826" t="str">
        <f>VLOOKUP(ORDERS[[#This Row],[CustomerID]],customers[],2,FALSE)</f>
        <v>Shirts R Us</v>
      </c>
      <c r="J1826" s="2" t="str">
        <f>VLOOKUP(ORDERS[[#This Row],[CustomerID]],customers[],4,FALSE)</f>
        <v>Los Angeles</v>
      </c>
      <c r="K1826" s="2" t="str">
        <f>VLOOKUP(ORDERS[[#This Row],[ProductID]],Products[],3,FALSE)</f>
        <v>Male</v>
      </c>
      <c r="L1826" s="2">
        <f>DAY(ORDERS[[#This Row],[OrderDate]])</f>
        <v>9</v>
      </c>
      <c r="M1826" s="2">
        <f>YEAR(ORDERS[[#This Row],[OrderDate]])</f>
        <v>2016</v>
      </c>
    </row>
    <row r="1827" spans="1:13" x14ac:dyDescent="0.3">
      <c r="A1827">
        <v>1826</v>
      </c>
      <c r="B1827">
        <v>2</v>
      </c>
      <c r="C1827">
        <v>4</v>
      </c>
      <c r="D1827" s="1">
        <v>42379</v>
      </c>
      <c r="E1827">
        <v>66</v>
      </c>
      <c r="F1827">
        <f>VLOOKUP(ORDERS[[#This Row],[ProductID]],Products[],4,FALSE)</f>
        <v>30</v>
      </c>
      <c r="G1827">
        <v>0</v>
      </c>
      <c r="H1827">
        <f>(ORDERS[[#This Row],[UnitsOrdered]]*ORDERS[[#This Row],[unit price]])-(ORDERS[[#This Row],[UnitsOrdered]]*ORDERS[[#This Row],[unit price]]*ORDERS[[#This Row],[Discount]])</f>
        <v>1980</v>
      </c>
      <c r="I1827" t="str">
        <f>VLOOKUP(ORDERS[[#This Row],[CustomerID]],customers[],2,FALSE)</f>
        <v>A Shirts Life</v>
      </c>
      <c r="J1827" s="2" t="str">
        <f>VLOOKUP(ORDERS[[#This Row],[CustomerID]],customers[],4,FALSE)</f>
        <v>Portland</v>
      </c>
      <c r="K1827" s="2" t="str">
        <f>VLOOKUP(ORDERS[[#This Row],[ProductID]],Products[],3,FALSE)</f>
        <v>Both</v>
      </c>
      <c r="L1827" s="2">
        <f>DAY(ORDERS[[#This Row],[OrderDate]])</f>
        <v>10</v>
      </c>
      <c r="M1827" s="2">
        <f>YEAR(ORDERS[[#This Row],[OrderDate]])</f>
        <v>2016</v>
      </c>
    </row>
    <row r="1828" spans="1:13" x14ac:dyDescent="0.3">
      <c r="A1828">
        <v>1827</v>
      </c>
      <c r="B1828">
        <v>4</v>
      </c>
      <c r="C1828">
        <v>2</v>
      </c>
      <c r="D1828" s="1">
        <v>42379</v>
      </c>
      <c r="E1828">
        <v>67</v>
      </c>
      <c r="F1828">
        <f>VLOOKUP(ORDERS[[#This Row],[ProductID]],Products[],4,FALSE)</f>
        <v>30</v>
      </c>
      <c r="G1828">
        <v>0</v>
      </c>
      <c r="H1828">
        <f>(ORDERS[[#This Row],[UnitsOrdered]]*ORDERS[[#This Row],[unit price]])-(ORDERS[[#This Row],[UnitsOrdered]]*ORDERS[[#This Row],[unit price]]*ORDERS[[#This Row],[Discount]])</f>
        <v>2010</v>
      </c>
      <c r="I1828" t="str">
        <f>VLOOKUP(ORDERS[[#This Row],[CustomerID]],customers[],2,FALSE)</f>
        <v>Tshirt Unlimited</v>
      </c>
      <c r="J1828" s="2" t="str">
        <f>VLOOKUP(ORDERS[[#This Row],[CustomerID]],customers[],4,FALSE)</f>
        <v>Phoenix</v>
      </c>
      <c r="K1828" s="2" t="str">
        <f>VLOOKUP(ORDERS[[#This Row],[ProductID]],Products[],3,FALSE)</f>
        <v>Both</v>
      </c>
      <c r="L1828" s="2">
        <f>DAY(ORDERS[[#This Row],[OrderDate]])</f>
        <v>10</v>
      </c>
      <c r="M1828" s="2">
        <f>YEAR(ORDERS[[#This Row],[OrderDate]])</f>
        <v>2016</v>
      </c>
    </row>
    <row r="1829" spans="1:13" x14ac:dyDescent="0.3">
      <c r="A1829">
        <v>1828</v>
      </c>
      <c r="B1829">
        <v>1</v>
      </c>
      <c r="C1829">
        <v>8</v>
      </c>
      <c r="D1829" s="1">
        <v>42380</v>
      </c>
      <c r="E1829">
        <v>125</v>
      </c>
      <c r="F1829">
        <f>VLOOKUP(ORDERS[[#This Row],[ProductID]],Products[],4,FALSE)</f>
        <v>27</v>
      </c>
      <c r="G1829">
        <v>0</v>
      </c>
      <c r="H1829">
        <f>(ORDERS[[#This Row],[UnitsOrdered]]*ORDERS[[#This Row],[unit price]])-(ORDERS[[#This Row],[UnitsOrdered]]*ORDERS[[#This Row],[unit price]]*ORDERS[[#This Row],[Discount]])</f>
        <v>3375</v>
      </c>
      <c r="I1829" t="str">
        <f>VLOOKUP(ORDERS[[#This Row],[CustomerID]],customers[],2,FALSE)</f>
        <v>Threads</v>
      </c>
      <c r="J1829" s="2" t="str">
        <f>VLOOKUP(ORDERS[[#This Row],[CustomerID]],customers[],4,FALSE)</f>
        <v>Seattle</v>
      </c>
      <c r="K1829" s="2" t="str">
        <f>VLOOKUP(ORDERS[[#This Row],[ProductID]],Products[],3,FALSE)</f>
        <v>Female</v>
      </c>
      <c r="L1829" s="2">
        <f>DAY(ORDERS[[#This Row],[OrderDate]])</f>
        <v>11</v>
      </c>
      <c r="M1829" s="2">
        <f>YEAR(ORDERS[[#This Row],[OrderDate]])</f>
        <v>2016</v>
      </c>
    </row>
    <row r="1830" spans="1:13" x14ac:dyDescent="0.3">
      <c r="A1830">
        <v>1829</v>
      </c>
      <c r="B1830">
        <v>1</v>
      </c>
      <c r="C1830">
        <v>7</v>
      </c>
      <c r="D1830" s="1">
        <v>42381</v>
      </c>
      <c r="E1830">
        <v>148</v>
      </c>
      <c r="F1830">
        <f>VLOOKUP(ORDERS[[#This Row],[ProductID]],Products[],4,FALSE)</f>
        <v>38</v>
      </c>
      <c r="G1830">
        <v>0</v>
      </c>
      <c r="H1830">
        <f>(ORDERS[[#This Row],[UnitsOrdered]]*ORDERS[[#This Row],[unit price]])-(ORDERS[[#This Row],[UnitsOrdered]]*ORDERS[[#This Row],[unit price]]*ORDERS[[#This Row],[Discount]])</f>
        <v>5624</v>
      </c>
      <c r="I1830" t="str">
        <f>VLOOKUP(ORDERS[[#This Row],[CustomerID]],customers[],2,FALSE)</f>
        <v>Threads</v>
      </c>
      <c r="J1830" s="2" t="str">
        <f>VLOOKUP(ORDERS[[#This Row],[CustomerID]],customers[],4,FALSE)</f>
        <v>Seattle</v>
      </c>
      <c r="K1830" s="2" t="str">
        <f>VLOOKUP(ORDERS[[#This Row],[ProductID]],Products[],3,FALSE)</f>
        <v>Female</v>
      </c>
      <c r="L1830" s="2">
        <f>DAY(ORDERS[[#This Row],[OrderDate]])</f>
        <v>12</v>
      </c>
      <c r="M1830" s="2">
        <f>YEAR(ORDERS[[#This Row],[OrderDate]])</f>
        <v>2016</v>
      </c>
    </row>
    <row r="1831" spans="1:13" x14ac:dyDescent="0.3">
      <c r="A1831">
        <v>1830</v>
      </c>
      <c r="B1831">
        <v>2</v>
      </c>
      <c r="C1831">
        <v>8</v>
      </c>
      <c r="D1831" s="1">
        <v>42381</v>
      </c>
      <c r="E1831">
        <v>62</v>
      </c>
      <c r="F1831">
        <f>VLOOKUP(ORDERS[[#This Row],[ProductID]],Products[],4,FALSE)</f>
        <v>27</v>
      </c>
      <c r="G1831">
        <v>0</v>
      </c>
      <c r="H1831">
        <f>(ORDERS[[#This Row],[UnitsOrdered]]*ORDERS[[#This Row],[unit price]])-(ORDERS[[#This Row],[UnitsOrdered]]*ORDERS[[#This Row],[unit price]]*ORDERS[[#This Row],[Discount]])</f>
        <v>1674</v>
      </c>
      <c r="I1831" t="str">
        <f>VLOOKUP(ORDERS[[#This Row],[CustomerID]],customers[],2,FALSE)</f>
        <v>A Shirts Life</v>
      </c>
      <c r="J1831" s="2" t="str">
        <f>VLOOKUP(ORDERS[[#This Row],[CustomerID]],customers[],4,FALSE)</f>
        <v>Portland</v>
      </c>
      <c r="K1831" s="2" t="str">
        <f>VLOOKUP(ORDERS[[#This Row],[ProductID]],Products[],3,FALSE)</f>
        <v>Female</v>
      </c>
      <c r="L1831" s="2">
        <f>DAY(ORDERS[[#This Row],[OrderDate]])</f>
        <v>12</v>
      </c>
      <c r="M1831" s="2">
        <f>YEAR(ORDERS[[#This Row],[OrderDate]])</f>
        <v>2016</v>
      </c>
    </row>
    <row r="1832" spans="1:13" x14ac:dyDescent="0.3">
      <c r="A1832">
        <v>1831</v>
      </c>
      <c r="B1832">
        <v>3</v>
      </c>
      <c r="C1832">
        <v>6</v>
      </c>
      <c r="D1832" s="1">
        <v>42381</v>
      </c>
      <c r="E1832">
        <v>31</v>
      </c>
      <c r="F1832">
        <f>VLOOKUP(ORDERS[[#This Row],[ProductID]],Products[],4,FALSE)</f>
        <v>28</v>
      </c>
      <c r="G1832">
        <v>0</v>
      </c>
      <c r="H1832">
        <f>(ORDERS[[#This Row],[UnitsOrdered]]*ORDERS[[#This Row],[unit price]])-(ORDERS[[#This Row],[UnitsOrdered]]*ORDERS[[#This Row],[unit price]]*ORDERS[[#This Row],[Discount]])</f>
        <v>868</v>
      </c>
      <c r="I1832" t="str">
        <f>VLOOKUP(ORDERS[[#This Row],[CustomerID]],customers[],2,FALSE)</f>
        <v>Shirts R Us</v>
      </c>
      <c r="J1832" s="2" t="str">
        <f>VLOOKUP(ORDERS[[#This Row],[CustomerID]],customers[],4,FALSE)</f>
        <v>Los Angeles</v>
      </c>
      <c r="K1832" s="2" t="str">
        <f>VLOOKUP(ORDERS[[#This Row],[ProductID]],Products[],3,FALSE)</f>
        <v>Female</v>
      </c>
      <c r="L1832" s="2">
        <f>DAY(ORDERS[[#This Row],[OrderDate]])</f>
        <v>12</v>
      </c>
      <c r="M1832" s="2">
        <f>YEAR(ORDERS[[#This Row],[OrderDate]])</f>
        <v>2016</v>
      </c>
    </row>
    <row r="1833" spans="1:13" x14ac:dyDescent="0.3">
      <c r="A1833">
        <v>1832</v>
      </c>
      <c r="B1833">
        <v>4</v>
      </c>
      <c r="C1833">
        <v>9</v>
      </c>
      <c r="D1833" s="1">
        <v>42383</v>
      </c>
      <c r="E1833">
        <v>39</v>
      </c>
      <c r="F1833">
        <f>VLOOKUP(ORDERS[[#This Row],[ProductID]],Products[],4,FALSE)</f>
        <v>25</v>
      </c>
      <c r="G1833">
        <v>0.10000000100000001</v>
      </c>
      <c r="H1833">
        <f>(ORDERS[[#This Row],[UnitsOrdered]]*ORDERS[[#This Row],[unit price]])-(ORDERS[[#This Row],[UnitsOrdered]]*ORDERS[[#This Row],[unit price]]*ORDERS[[#This Row],[Discount]])</f>
        <v>877.49999902499997</v>
      </c>
      <c r="I1833" t="str">
        <f>VLOOKUP(ORDERS[[#This Row],[CustomerID]],customers[],2,FALSE)</f>
        <v>Tshirt Unlimited</v>
      </c>
      <c r="J1833" s="2" t="str">
        <f>VLOOKUP(ORDERS[[#This Row],[CustomerID]],customers[],4,FALSE)</f>
        <v>Phoenix</v>
      </c>
      <c r="K1833" s="2" t="str">
        <f>VLOOKUP(ORDERS[[#This Row],[ProductID]],Products[],3,FALSE)</f>
        <v>Male</v>
      </c>
      <c r="L1833" s="2">
        <f>DAY(ORDERS[[#This Row],[OrderDate]])</f>
        <v>14</v>
      </c>
      <c r="M1833" s="2">
        <f>YEAR(ORDERS[[#This Row],[OrderDate]])</f>
        <v>2016</v>
      </c>
    </row>
    <row r="1834" spans="1:13" x14ac:dyDescent="0.3">
      <c r="A1834">
        <v>1833</v>
      </c>
      <c r="B1834">
        <v>7</v>
      </c>
      <c r="C1834">
        <v>4</v>
      </c>
      <c r="D1834" s="1">
        <v>42383</v>
      </c>
      <c r="E1834">
        <v>117</v>
      </c>
      <c r="F1834">
        <f>VLOOKUP(ORDERS[[#This Row],[ProductID]],Products[],4,FALSE)</f>
        <v>30</v>
      </c>
      <c r="G1834">
        <v>0</v>
      </c>
      <c r="H1834">
        <f>(ORDERS[[#This Row],[UnitsOrdered]]*ORDERS[[#This Row],[unit price]])-(ORDERS[[#This Row],[UnitsOrdered]]*ORDERS[[#This Row],[unit price]]*ORDERS[[#This Row],[Discount]])</f>
        <v>3510</v>
      </c>
      <c r="I1834" t="str">
        <f>VLOOKUP(ORDERS[[#This Row],[CustomerID]],customers[],2,FALSE)</f>
        <v>The Shirt on Your Back</v>
      </c>
      <c r="J1834" s="2" t="str">
        <f>VLOOKUP(ORDERS[[#This Row],[CustomerID]],customers[],4,FALSE)</f>
        <v>Bonners Ferry</v>
      </c>
      <c r="K1834" s="2" t="str">
        <f>VLOOKUP(ORDERS[[#This Row],[ProductID]],Products[],3,FALSE)</f>
        <v>Both</v>
      </c>
      <c r="L1834" s="2">
        <f>DAY(ORDERS[[#This Row],[OrderDate]])</f>
        <v>14</v>
      </c>
      <c r="M1834" s="2">
        <f>YEAR(ORDERS[[#This Row],[OrderDate]])</f>
        <v>2016</v>
      </c>
    </row>
    <row r="1835" spans="1:13" x14ac:dyDescent="0.3">
      <c r="A1835">
        <v>1834</v>
      </c>
      <c r="B1835">
        <v>5</v>
      </c>
      <c r="C1835">
        <v>6</v>
      </c>
      <c r="D1835" s="1">
        <v>42384</v>
      </c>
      <c r="E1835">
        <v>41</v>
      </c>
      <c r="F1835">
        <f>VLOOKUP(ORDERS[[#This Row],[ProductID]],Products[],4,FALSE)</f>
        <v>28</v>
      </c>
      <c r="G1835">
        <v>5.0000001000000002E-2</v>
      </c>
      <c r="H1835">
        <f>(ORDERS[[#This Row],[UnitsOrdered]]*ORDERS[[#This Row],[unit price]])-(ORDERS[[#This Row],[UnitsOrdered]]*ORDERS[[#This Row],[unit price]]*ORDERS[[#This Row],[Discount]])</f>
        <v>1090.599998852</v>
      </c>
      <c r="I1835" t="str">
        <f>VLOOKUP(ORDERS[[#This Row],[CustomerID]],customers[],2,FALSE)</f>
        <v>Rags to Riches</v>
      </c>
      <c r="J1835" s="2" t="str">
        <f>VLOOKUP(ORDERS[[#This Row],[CustomerID]],customers[],4,FALSE)</f>
        <v>Las Vegas</v>
      </c>
      <c r="K1835" s="2" t="str">
        <f>VLOOKUP(ORDERS[[#This Row],[ProductID]],Products[],3,FALSE)</f>
        <v>Female</v>
      </c>
      <c r="L1835" s="2">
        <f>DAY(ORDERS[[#This Row],[OrderDate]])</f>
        <v>15</v>
      </c>
      <c r="M1835" s="2">
        <f>YEAR(ORDERS[[#This Row],[OrderDate]])</f>
        <v>2016</v>
      </c>
    </row>
    <row r="1836" spans="1:13" x14ac:dyDescent="0.3">
      <c r="A1836">
        <v>1835</v>
      </c>
      <c r="B1836">
        <v>7</v>
      </c>
      <c r="C1836">
        <v>5</v>
      </c>
      <c r="D1836" s="1">
        <v>42384</v>
      </c>
      <c r="E1836">
        <v>128</v>
      </c>
      <c r="F1836">
        <f>VLOOKUP(ORDERS[[#This Row],[ProductID]],Products[],4,FALSE)</f>
        <v>16</v>
      </c>
      <c r="G1836">
        <v>0</v>
      </c>
      <c r="H1836">
        <f>(ORDERS[[#This Row],[UnitsOrdered]]*ORDERS[[#This Row],[unit price]])-(ORDERS[[#This Row],[UnitsOrdered]]*ORDERS[[#This Row],[unit price]]*ORDERS[[#This Row],[Discount]])</f>
        <v>2048</v>
      </c>
      <c r="I1836" t="str">
        <f>VLOOKUP(ORDERS[[#This Row],[CustomerID]],customers[],2,FALSE)</f>
        <v>The Shirt on Your Back</v>
      </c>
      <c r="J1836" s="2" t="str">
        <f>VLOOKUP(ORDERS[[#This Row],[CustomerID]],customers[],4,FALSE)</f>
        <v>Bonners Ferry</v>
      </c>
      <c r="K1836" s="2" t="str">
        <f>VLOOKUP(ORDERS[[#This Row],[ProductID]],Products[],3,FALSE)</f>
        <v>Female</v>
      </c>
      <c r="L1836" s="2">
        <f>DAY(ORDERS[[#This Row],[OrderDate]])</f>
        <v>15</v>
      </c>
      <c r="M1836" s="2">
        <f>YEAR(ORDERS[[#This Row],[OrderDate]])</f>
        <v>2016</v>
      </c>
    </row>
    <row r="1837" spans="1:13" x14ac:dyDescent="0.3">
      <c r="A1837">
        <v>1836</v>
      </c>
      <c r="B1837">
        <v>2</v>
      </c>
      <c r="C1837">
        <v>2</v>
      </c>
      <c r="D1837" s="1">
        <v>42387</v>
      </c>
      <c r="E1837">
        <v>147</v>
      </c>
      <c r="F1837">
        <f>VLOOKUP(ORDERS[[#This Row],[ProductID]],Products[],4,FALSE)</f>
        <v>30</v>
      </c>
      <c r="G1837">
        <v>0</v>
      </c>
      <c r="H1837">
        <f>(ORDERS[[#This Row],[UnitsOrdered]]*ORDERS[[#This Row],[unit price]])-(ORDERS[[#This Row],[UnitsOrdered]]*ORDERS[[#This Row],[unit price]]*ORDERS[[#This Row],[Discount]])</f>
        <v>4410</v>
      </c>
      <c r="I1837" t="str">
        <f>VLOOKUP(ORDERS[[#This Row],[CustomerID]],customers[],2,FALSE)</f>
        <v>A Shirts Life</v>
      </c>
      <c r="J1837" s="2" t="str">
        <f>VLOOKUP(ORDERS[[#This Row],[CustomerID]],customers[],4,FALSE)</f>
        <v>Portland</v>
      </c>
      <c r="K1837" s="2" t="str">
        <f>VLOOKUP(ORDERS[[#This Row],[ProductID]],Products[],3,FALSE)</f>
        <v>Both</v>
      </c>
      <c r="L1837" s="2">
        <f>DAY(ORDERS[[#This Row],[OrderDate]])</f>
        <v>18</v>
      </c>
      <c r="M1837" s="2">
        <f>YEAR(ORDERS[[#This Row],[OrderDate]])</f>
        <v>2016</v>
      </c>
    </row>
    <row r="1838" spans="1:13" x14ac:dyDescent="0.3">
      <c r="A1838">
        <v>1837</v>
      </c>
      <c r="B1838">
        <v>4</v>
      </c>
      <c r="C1838">
        <v>3</v>
      </c>
      <c r="D1838" s="1">
        <v>42388</v>
      </c>
      <c r="E1838">
        <v>143</v>
      </c>
      <c r="F1838">
        <f>VLOOKUP(ORDERS[[#This Row],[ProductID]],Products[],4,FALSE)</f>
        <v>22</v>
      </c>
      <c r="G1838">
        <v>0</v>
      </c>
      <c r="H1838">
        <f>(ORDERS[[#This Row],[UnitsOrdered]]*ORDERS[[#This Row],[unit price]])-(ORDERS[[#This Row],[UnitsOrdered]]*ORDERS[[#This Row],[unit price]]*ORDERS[[#This Row],[Discount]])</f>
        <v>3146</v>
      </c>
      <c r="I1838" t="str">
        <f>VLOOKUP(ORDERS[[#This Row],[CustomerID]],customers[],2,FALSE)</f>
        <v>Tshirt Unlimited</v>
      </c>
      <c r="J1838" s="2" t="str">
        <f>VLOOKUP(ORDERS[[#This Row],[CustomerID]],customers[],4,FALSE)</f>
        <v>Phoenix</v>
      </c>
      <c r="K1838" s="2" t="str">
        <f>VLOOKUP(ORDERS[[#This Row],[ProductID]],Products[],3,FALSE)</f>
        <v>Both</v>
      </c>
      <c r="L1838" s="2">
        <f>DAY(ORDERS[[#This Row],[OrderDate]])</f>
        <v>19</v>
      </c>
      <c r="M1838" s="2">
        <f>YEAR(ORDERS[[#This Row],[OrderDate]])</f>
        <v>2016</v>
      </c>
    </row>
    <row r="1839" spans="1:13" x14ac:dyDescent="0.3">
      <c r="A1839">
        <v>1838</v>
      </c>
      <c r="B1839">
        <v>2</v>
      </c>
      <c r="C1839">
        <v>1</v>
      </c>
      <c r="D1839" s="1">
        <v>42389</v>
      </c>
      <c r="E1839">
        <v>131</v>
      </c>
      <c r="F1839">
        <f>VLOOKUP(ORDERS[[#This Row],[ProductID]],Products[],4,FALSE)</f>
        <v>20</v>
      </c>
      <c r="G1839">
        <v>0</v>
      </c>
      <c r="H1839">
        <f>(ORDERS[[#This Row],[UnitsOrdered]]*ORDERS[[#This Row],[unit price]])-(ORDERS[[#This Row],[UnitsOrdered]]*ORDERS[[#This Row],[unit price]]*ORDERS[[#This Row],[Discount]])</f>
        <v>2620</v>
      </c>
      <c r="I1839" t="str">
        <f>VLOOKUP(ORDERS[[#This Row],[CustomerID]],customers[],2,FALSE)</f>
        <v>A Shirts Life</v>
      </c>
      <c r="J1839" s="2" t="str">
        <f>VLOOKUP(ORDERS[[#This Row],[CustomerID]],customers[],4,FALSE)</f>
        <v>Portland</v>
      </c>
      <c r="K1839" s="2" t="str">
        <f>VLOOKUP(ORDERS[[#This Row],[ProductID]],Products[],3,FALSE)</f>
        <v>Both</v>
      </c>
      <c r="L1839" s="2">
        <f>DAY(ORDERS[[#This Row],[OrderDate]])</f>
        <v>20</v>
      </c>
      <c r="M1839" s="2">
        <f>YEAR(ORDERS[[#This Row],[OrderDate]])</f>
        <v>2016</v>
      </c>
    </row>
    <row r="1840" spans="1:13" x14ac:dyDescent="0.3">
      <c r="A1840">
        <v>1839</v>
      </c>
      <c r="B1840">
        <v>3</v>
      </c>
      <c r="C1840">
        <v>1</v>
      </c>
      <c r="D1840" s="1">
        <v>42389</v>
      </c>
      <c r="E1840">
        <v>33</v>
      </c>
      <c r="F1840">
        <f>VLOOKUP(ORDERS[[#This Row],[ProductID]],Products[],4,FALSE)</f>
        <v>20</v>
      </c>
      <c r="G1840">
        <v>0</v>
      </c>
      <c r="H1840">
        <f>(ORDERS[[#This Row],[UnitsOrdered]]*ORDERS[[#This Row],[unit price]])-(ORDERS[[#This Row],[UnitsOrdered]]*ORDERS[[#This Row],[unit price]]*ORDERS[[#This Row],[Discount]])</f>
        <v>660</v>
      </c>
      <c r="I1840" t="str">
        <f>VLOOKUP(ORDERS[[#This Row],[CustomerID]],customers[],2,FALSE)</f>
        <v>Shirts R Us</v>
      </c>
      <c r="J1840" s="2" t="str">
        <f>VLOOKUP(ORDERS[[#This Row],[CustomerID]],customers[],4,FALSE)</f>
        <v>Los Angeles</v>
      </c>
      <c r="K1840" s="2" t="str">
        <f>VLOOKUP(ORDERS[[#This Row],[ProductID]],Products[],3,FALSE)</f>
        <v>Both</v>
      </c>
      <c r="L1840" s="2">
        <f>DAY(ORDERS[[#This Row],[OrderDate]])</f>
        <v>20</v>
      </c>
      <c r="M1840" s="2">
        <f>YEAR(ORDERS[[#This Row],[OrderDate]])</f>
        <v>2016</v>
      </c>
    </row>
    <row r="1841" spans="1:13" x14ac:dyDescent="0.3">
      <c r="A1841">
        <v>1840</v>
      </c>
      <c r="B1841">
        <v>5</v>
      </c>
      <c r="C1841">
        <v>6</v>
      </c>
      <c r="D1841" s="1">
        <v>42389</v>
      </c>
      <c r="E1841">
        <v>100</v>
      </c>
      <c r="F1841">
        <f>VLOOKUP(ORDERS[[#This Row],[ProductID]],Products[],4,FALSE)</f>
        <v>28</v>
      </c>
      <c r="G1841">
        <v>0</v>
      </c>
      <c r="H1841">
        <f>(ORDERS[[#This Row],[UnitsOrdered]]*ORDERS[[#This Row],[unit price]])-(ORDERS[[#This Row],[UnitsOrdered]]*ORDERS[[#This Row],[unit price]]*ORDERS[[#This Row],[Discount]])</f>
        <v>2800</v>
      </c>
      <c r="I1841" t="str">
        <f>VLOOKUP(ORDERS[[#This Row],[CustomerID]],customers[],2,FALSE)</f>
        <v>Rags to Riches</v>
      </c>
      <c r="J1841" s="2" t="str">
        <f>VLOOKUP(ORDERS[[#This Row],[CustomerID]],customers[],4,FALSE)</f>
        <v>Las Vegas</v>
      </c>
      <c r="K1841" s="2" t="str">
        <f>VLOOKUP(ORDERS[[#This Row],[ProductID]],Products[],3,FALSE)</f>
        <v>Female</v>
      </c>
      <c r="L1841" s="2">
        <f>DAY(ORDERS[[#This Row],[OrderDate]])</f>
        <v>20</v>
      </c>
      <c r="M1841" s="2">
        <f>YEAR(ORDERS[[#This Row],[OrderDate]])</f>
        <v>2016</v>
      </c>
    </row>
    <row r="1842" spans="1:13" x14ac:dyDescent="0.3">
      <c r="A1842">
        <v>1841</v>
      </c>
      <c r="B1842">
        <v>2</v>
      </c>
      <c r="C1842">
        <v>10</v>
      </c>
      <c r="D1842" s="1">
        <v>42391</v>
      </c>
      <c r="E1842">
        <v>33</v>
      </c>
      <c r="F1842">
        <f>VLOOKUP(ORDERS[[#This Row],[ProductID]],Products[],4,FALSE)</f>
        <v>35</v>
      </c>
      <c r="G1842">
        <v>0</v>
      </c>
      <c r="H1842">
        <f>(ORDERS[[#This Row],[UnitsOrdered]]*ORDERS[[#This Row],[unit price]])-(ORDERS[[#This Row],[UnitsOrdered]]*ORDERS[[#This Row],[unit price]]*ORDERS[[#This Row],[Discount]])</f>
        <v>1155</v>
      </c>
      <c r="I1842" t="str">
        <f>VLOOKUP(ORDERS[[#This Row],[CustomerID]],customers[],2,FALSE)</f>
        <v>A Shirts Life</v>
      </c>
      <c r="J1842" s="2" t="str">
        <f>VLOOKUP(ORDERS[[#This Row],[CustomerID]],customers[],4,FALSE)</f>
        <v>Portland</v>
      </c>
      <c r="K1842" s="2" t="str">
        <f>VLOOKUP(ORDERS[[#This Row],[ProductID]],Products[],3,FALSE)</f>
        <v>Male</v>
      </c>
      <c r="L1842" s="2">
        <f>DAY(ORDERS[[#This Row],[OrderDate]])</f>
        <v>22</v>
      </c>
      <c r="M1842" s="2">
        <f>YEAR(ORDERS[[#This Row],[OrderDate]])</f>
        <v>2016</v>
      </c>
    </row>
    <row r="1843" spans="1:13" x14ac:dyDescent="0.3">
      <c r="A1843">
        <v>1842</v>
      </c>
      <c r="B1843">
        <v>5</v>
      </c>
      <c r="C1843">
        <v>3</v>
      </c>
      <c r="D1843" s="1">
        <v>42391</v>
      </c>
      <c r="E1843">
        <v>78</v>
      </c>
      <c r="F1843">
        <f>VLOOKUP(ORDERS[[#This Row],[ProductID]],Products[],4,FALSE)</f>
        <v>22</v>
      </c>
      <c r="G1843">
        <v>0</v>
      </c>
      <c r="H1843">
        <f>(ORDERS[[#This Row],[UnitsOrdered]]*ORDERS[[#This Row],[unit price]])-(ORDERS[[#This Row],[UnitsOrdered]]*ORDERS[[#This Row],[unit price]]*ORDERS[[#This Row],[Discount]])</f>
        <v>1716</v>
      </c>
      <c r="I1843" t="str">
        <f>VLOOKUP(ORDERS[[#This Row],[CustomerID]],customers[],2,FALSE)</f>
        <v>Rags to Riches</v>
      </c>
      <c r="J1843" s="2" t="str">
        <f>VLOOKUP(ORDERS[[#This Row],[CustomerID]],customers[],4,FALSE)</f>
        <v>Las Vegas</v>
      </c>
      <c r="K1843" s="2" t="str">
        <f>VLOOKUP(ORDERS[[#This Row],[ProductID]],Products[],3,FALSE)</f>
        <v>Both</v>
      </c>
      <c r="L1843" s="2">
        <f>DAY(ORDERS[[#This Row],[OrderDate]])</f>
        <v>22</v>
      </c>
      <c r="M1843" s="2">
        <f>YEAR(ORDERS[[#This Row],[OrderDate]])</f>
        <v>2016</v>
      </c>
    </row>
    <row r="1844" spans="1:13" x14ac:dyDescent="0.3">
      <c r="A1844">
        <v>1843</v>
      </c>
      <c r="B1844">
        <v>5</v>
      </c>
      <c r="C1844">
        <v>10</v>
      </c>
      <c r="D1844" s="1">
        <v>42391</v>
      </c>
      <c r="E1844">
        <v>120</v>
      </c>
      <c r="F1844">
        <f>VLOOKUP(ORDERS[[#This Row],[ProductID]],Products[],4,FALSE)</f>
        <v>35</v>
      </c>
      <c r="G1844">
        <v>0</v>
      </c>
      <c r="H1844">
        <f>(ORDERS[[#This Row],[UnitsOrdered]]*ORDERS[[#This Row],[unit price]])-(ORDERS[[#This Row],[UnitsOrdered]]*ORDERS[[#This Row],[unit price]]*ORDERS[[#This Row],[Discount]])</f>
        <v>4200</v>
      </c>
      <c r="I1844" t="str">
        <f>VLOOKUP(ORDERS[[#This Row],[CustomerID]],customers[],2,FALSE)</f>
        <v>Rags to Riches</v>
      </c>
      <c r="J1844" s="2" t="str">
        <f>VLOOKUP(ORDERS[[#This Row],[CustomerID]],customers[],4,FALSE)</f>
        <v>Las Vegas</v>
      </c>
      <c r="K1844" s="2" t="str">
        <f>VLOOKUP(ORDERS[[#This Row],[ProductID]],Products[],3,FALSE)</f>
        <v>Male</v>
      </c>
      <c r="L1844" s="2">
        <f>DAY(ORDERS[[#This Row],[OrderDate]])</f>
        <v>22</v>
      </c>
      <c r="M1844" s="2">
        <f>YEAR(ORDERS[[#This Row],[OrderDate]])</f>
        <v>2016</v>
      </c>
    </row>
    <row r="1845" spans="1:13" x14ac:dyDescent="0.3">
      <c r="A1845">
        <v>1844</v>
      </c>
      <c r="B1845">
        <v>2</v>
      </c>
      <c r="C1845">
        <v>3</v>
      </c>
      <c r="D1845" s="1">
        <v>42393</v>
      </c>
      <c r="E1845">
        <v>85</v>
      </c>
      <c r="F1845">
        <f>VLOOKUP(ORDERS[[#This Row],[ProductID]],Products[],4,FALSE)</f>
        <v>22</v>
      </c>
      <c r="G1845">
        <v>0</v>
      </c>
      <c r="H1845">
        <f>(ORDERS[[#This Row],[UnitsOrdered]]*ORDERS[[#This Row],[unit price]])-(ORDERS[[#This Row],[UnitsOrdered]]*ORDERS[[#This Row],[unit price]]*ORDERS[[#This Row],[Discount]])</f>
        <v>1870</v>
      </c>
      <c r="I1845" t="str">
        <f>VLOOKUP(ORDERS[[#This Row],[CustomerID]],customers[],2,FALSE)</f>
        <v>A Shirts Life</v>
      </c>
      <c r="J1845" s="2" t="str">
        <f>VLOOKUP(ORDERS[[#This Row],[CustomerID]],customers[],4,FALSE)</f>
        <v>Portland</v>
      </c>
      <c r="K1845" s="2" t="str">
        <f>VLOOKUP(ORDERS[[#This Row],[ProductID]],Products[],3,FALSE)</f>
        <v>Both</v>
      </c>
      <c r="L1845" s="2">
        <f>DAY(ORDERS[[#This Row],[OrderDate]])</f>
        <v>24</v>
      </c>
      <c r="M1845" s="2">
        <f>YEAR(ORDERS[[#This Row],[OrderDate]])</f>
        <v>2016</v>
      </c>
    </row>
    <row r="1846" spans="1:13" x14ac:dyDescent="0.3">
      <c r="A1846">
        <v>1845</v>
      </c>
      <c r="B1846">
        <v>7</v>
      </c>
      <c r="C1846">
        <v>8</v>
      </c>
      <c r="D1846" s="1">
        <v>42393</v>
      </c>
      <c r="E1846">
        <v>114</v>
      </c>
      <c r="F1846">
        <f>VLOOKUP(ORDERS[[#This Row],[ProductID]],Products[],4,FALSE)</f>
        <v>27</v>
      </c>
      <c r="G1846">
        <v>0</v>
      </c>
      <c r="H1846">
        <f>(ORDERS[[#This Row],[UnitsOrdered]]*ORDERS[[#This Row],[unit price]])-(ORDERS[[#This Row],[UnitsOrdered]]*ORDERS[[#This Row],[unit price]]*ORDERS[[#This Row],[Discount]])</f>
        <v>3078</v>
      </c>
      <c r="I1846" t="str">
        <f>VLOOKUP(ORDERS[[#This Row],[CustomerID]],customers[],2,FALSE)</f>
        <v>The Shirt on Your Back</v>
      </c>
      <c r="J1846" s="2" t="str">
        <f>VLOOKUP(ORDERS[[#This Row],[CustomerID]],customers[],4,FALSE)</f>
        <v>Bonners Ferry</v>
      </c>
      <c r="K1846" s="2" t="str">
        <f>VLOOKUP(ORDERS[[#This Row],[ProductID]],Products[],3,FALSE)</f>
        <v>Female</v>
      </c>
      <c r="L1846" s="2">
        <f>DAY(ORDERS[[#This Row],[OrderDate]])</f>
        <v>24</v>
      </c>
      <c r="M1846" s="2">
        <f>YEAR(ORDERS[[#This Row],[OrderDate]])</f>
        <v>2016</v>
      </c>
    </row>
    <row r="1847" spans="1:13" x14ac:dyDescent="0.3">
      <c r="A1847">
        <v>1846</v>
      </c>
      <c r="B1847">
        <v>1</v>
      </c>
      <c r="C1847">
        <v>9</v>
      </c>
      <c r="D1847" s="1">
        <v>42394</v>
      </c>
      <c r="E1847">
        <v>149</v>
      </c>
      <c r="F1847">
        <f>VLOOKUP(ORDERS[[#This Row],[ProductID]],Products[],4,FALSE)</f>
        <v>25</v>
      </c>
      <c r="G1847">
        <v>0</v>
      </c>
      <c r="H1847">
        <f>(ORDERS[[#This Row],[UnitsOrdered]]*ORDERS[[#This Row],[unit price]])-(ORDERS[[#This Row],[UnitsOrdered]]*ORDERS[[#This Row],[unit price]]*ORDERS[[#This Row],[Discount]])</f>
        <v>3725</v>
      </c>
      <c r="I1847" t="str">
        <f>VLOOKUP(ORDERS[[#This Row],[CustomerID]],customers[],2,FALSE)</f>
        <v>Threads</v>
      </c>
      <c r="J1847" s="2" t="str">
        <f>VLOOKUP(ORDERS[[#This Row],[CustomerID]],customers[],4,FALSE)</f>
        <v>Seattle</v>
      </c>
      <c r="K1847" s="2" t="str">
        <f>VLOOKUP(ORDERS[[#This Row],[ProductID]],Products[],3,FALSE)</f>
        <v>Male</v>
      </c>
      <c r="L1847" s="2">
        <f>DAY(ORDERS[[#This Row],[OrderDate]])</f>
        <v>25</v>
      </c>
      <c r="M1847" s="2">
        <f>YEAR(ORDERS[[#This Row],[OrderDate]])</f>
        <v>2016</v>
      </c>
    </row>
    <row r="1848" spans="1:13" x14ac:dyDescent="0.3">
      <c r="A1848">
        <v>1847</v>
      </c>
      <c r="B1848">
        <v>2</v>
      </c>
      <c r="C1848">
        <v>8</v>
      </c>
      <c r="D1848" s="1">
        <v>42394</v>
      </c>
      <c r="E1848">
        <v>98</v>
      </c>
      <c r="F1848">
        <f>VLOOKUP(ORDERS[[#This Row],[ProductID]],Products[],4,FALSE)</f>
        <v>27</v>
      </c>
      <c r="G1848">
        <v>0</v>
      </c>
      <c r="H1848">
        <f>(ORDERS[[#This Row],[UnitsOrdered]]*ORDERS[[#This Row],[unit price]])-(ORDERS[[#This Row],[UnitsOrdered]]*ORDERS[[#This Row],[unit price]]*ORDERS[[#This Row],[Discount]])</f>
        <v>2646</v>
      </c>
      <c r="I1848" t="str">
        <f>VLOOKUP(ORDERS[[#This Row],[CustomerID]],customers[],2,FALSE)</f>
        <v>A Shirts Life</v>
      </c>
      <c r="J1848" s="2" t="str">
        <f>VLOOKUP(ORDERS[[#This Row],[CustomerID]],customers[],4,FALSE)</f>
        <v>Portland</v>
      </c>
      <c r="K1848" s="2" t="str">
        <f>VLOOKUP(ORDERS[[#This Row],[ProductID]],Products[],3,FALSE)</f>
        <v>Female</v>
      </c>
      <c r="L1848" s="2">
        <f>DAY(ORDERS[[#This Row],[OrderDate]])</f>
        <v>25</v>
      </c>
      <c r="M1848" s="2">
        <f>YEAR(ORDERS[[#This Row],[OrderDate]])</f>
        <v>2016</v>
      </c>
    </row>
    <row r="1849" spans="1:13" x14ac:dyDescent="0.3">
      <c r="A1849">
        <v>1848</v>
      </c>
      <c r="B1849">
        <v>3</v>
      </c>
      <c r="C1849">
        <v>4</v>
      </c>
      <c r="D1849" s="1">
        <v>42394</v>
      </c>
      <c r="E1849">
        <v>114</v>
      </c>
      <c r="F1849">
        <f>VLOOKUP(ORDERS[[#This Row],[ProductID]],Products[],4,FALSE)</f>
        <v>30</v>
      </c>
      <c r="G1849">
        <v>0</v>
      </c>
      <c r="H1849">
        <f>(ORDERS[[#This Row],[UnitsOrdered]]*ORDERS[[#This Row],[unit price]])-(ORDERS[[#This Row],[UnitsOrdered]]*ORDERS[[#This Row],[unit price]]*ORDERS[[#This Row],[Discount]])</f>
        <v>3420</v>
      </c>
      <c r="I1849" t="str">
        <f>VLOOKUP(ORDERS[[#This Row],[CustomerID]],customers[],2,FALSE)</f>
        <v>Shirts R Us</v>
      </c>
      <c r="J1849" s="2" t="str">
        <f>VLOOKUP(ORDERS[[#This Row],[CustomerID]],customers[],4,FALSE)</f>
        <v>Los Angeles</v>
      </c>
      <c r="K1849" s="2" t="str">
        <f>VLOOKUP(ORDERS[[#This Row],[ProductID]],Products[],3,FALSE)</f>
        <v>Both</v>
      </c>
      <c r="L1849" s="2">
        <f>DAY(ORDERS[[#This Row],[OrderDate]])</f>
        <v>25</v>
      </c>
      <c r="M1849" s="2">
        <f>YEAR(ORDERS[[#This Row],[OrderDate]])</f>
        <v>2016</v>
      </c>
    </row>
    <row r="1850" spans="1:13" x14ac:dyDescent="0.3">
      <c r="A1850">
        <v>1849</v>
      </c>
      <c r="B1850">
        <v>4</v>
      </c>
      <c r="C1850">
        <v>4</v>
      </c>
      <c r="D1850" s="1">
        <v>42395</v>
      </c>
      <c r="E1850">
        <v>77</v>
      </c>
      <c r="F1850">
        <f>VLOOKUP(ORDERS[[#This Row],[ProductID]],Products[],4,FALSE)</f>
        <v>30</v>
      </c>
      <c r="G1850">
        <v>0</v>
      </c>
      <c r="H1850">
        <f>(ORDERS[[#This Row],[UnitsOrdered]]*ORDERS[[#This Row],[unit price]])-(ORDERS[[#This Row],[UnitsOrdered]]*ORDERS[[#This Row],[unit price]]*ORDERS[[#This Row],[Discount]])</f>
        <v>2310</v>
      </c>
      <c r="I1850" t="str">
        <f>VLOOKUP(ORDERS[[#This Row],[CustomerID]],customers[],2,FALSE)</f>
        <v>Tshirt Unlimited</v>
      </c>
      <c r="J1850" s="2" t="str">
        <f>VLOOKUP(ORDERS[[#This Row],[CustomerID]],customers[],4,FALSE)</f>
        <v>Phoenix</v>
      </c>
      <c r="K1850" s="2" t="str">
        <f>VLOOKUP(ORDERS[[#This Row],[ProductID]],Products[],3,FALSE)</f>
        <v>Both</v>
      </c>
      <c r="L1850" s="2">
        <f>DAY(ORDERS[[#This Row],[OrderDate]])</f>
        <v>26</v>
      </c>
      <c r="M1850" s="2">
        <f>YEAR(ORDERS[[#This Row],[OrderDate]])</f>
        <v>2016</v>
      </c>
    </row>
    <row r="1851" spans="1:13" x14ac:dyDescent="0.3">
      <c r="A1851">
        <v>1850</v>
      </c>
      <c r="B1851">
        <v>7</v>
      </c>
      <c r="C1851">
        <v>1</v>
      </c>
      <c r="D1851" s="1">
        <v>42395</v>
      </c>
      <c r="E1851">
        <v>46</v>
      </c>
      <c r="F1851">
        <f>VLOOKUP(ORDERS[[#This Row],[ProductID]],Products[],4,FALSE)</f>
        <v>20</v>
      </c>
      <c r="G1851">
        <v>0</v>
      </c>
      <c r="H1851">
        <f>(ORDERS[[#This Row],[UnitsOrdered]]*ORDERS[[#This Row],[unit price]])-(ORDERS[[#This Row],[UnitsOrdered]]*ORDERS[[#This Row],[unit price]]*ORDERS[[#This Row],[Discount]])</f>
        <v>920</v>
      </c>
      <c r="I1851" t="str">
        <f>VLOOKUP(ORDERS[[#This Row],[CustomerID]],customers[],2,FALSE)</f>
        <v>The Shirt on Your Back</v>
      </c>
      <c r="J1851" s="2" t="str">
        <f>VLOOKUP(ORDERS[[#This Row],[CustomerID]],customers[],4,FALSE)</f>
        <v>Bonners Ferry</v>
      </c>
      <c r="K1851" s="2" t="str">
        <f>VLOOKUP(ORDERS[[#This Row],[ProductID]],Products[],3,FALSE)</f>
        <v>Both</v>
      </c>
      <c r="L1851" s="2">
        <f>DAY(ORDERS[[#This Row],[OrderDate]])</f>
        <v>26</v>
      </c>
      <c r="M1851" s="2">
        <f>YEAR(ORDERS[[#This Row],[OrderDate]])</f>
        <v>2016</v>
      </c>
    </row>
    <row r="1852" spans="1:13" x14ac:dyDescent="0.3">
      <c r="A1852">
        <v>1851</v>
      </c>
      <c r="B1852">
        <v>1</v>
      </c>
      <c r="C1852">
        <v>1</v>
      </c>
      <c r="D1852" s="1">
        <v>42396</v>
      </c>
      <c r="E1852">
        <v>68</v>
      </c>
      <c r="F1852">
        <f>VLOOKUP(ORDERS[[#This Row],[ProductID]],Products[],4,FALSE)</f>
        <v>20</v>
      </c>
      <c r="G1852">
        <v>0</v>
      </c>
      <c r="H1852">
        <f>(ORDERS[[#This Row],[UnitsOrdered]]*ORDERS[[#This Row],[unit price]])-(ORDERS[[#This Row],[UnitsOrdered]]*ORDERS[[#This Row],[unit price]]*ORDERS[[#This Row],[Discount]])</f>
        <v>1360</v>
      </c>
      <c r="I1852" t="str">
        <f>VLOOKUP(ORDERS[[#This Row],[CustomerID]],customers[],2,FALSE)</f>
        <v>Threads</v>
      </c>
      <c r="J1852" s="2" t="str">
        <f>VLOOKUP(ORDERS[[#This Row],[CustomerID]],customers[],4,FALSE)</f>
        <v>Seattle</v>
      </c>
      <c r="K1852" s="2" t="str">
        <f>VLOOKUP(ORDERS[[#This Row],[ProductID]],Products[],3,FALSE)</f>
        <v>Both</v>
      </c>
      <c r="L1852" s="2">
        <f>DAY(ORDERS[[#This Row],[OrderDate]])</f>
        <v>27</v>
      </c>
      <c r="M1852" s="2">
        <f>YEAR(ORDERS[[#This Row],[OrderDate]])</f>
        <v>2016</v>
      </c>
    </row>
    <row r="1853" spans="1:13" x14ac:dyDescent="0.3">
      <c r="A1853">
        <v>1852</v>
      </c>
      <c r="B1853">
        <v>1</v>
      </c>
      <c r="C1853">
        <v>7</v>
      </c>
      <c r="D1853" s="1">
        <v>42397</v>
      </c>
      <c r="E1853">
        <v>63</v>
      </c>
      <c r="F1853">
        <f>VLOOKUP(ORDERS[[#This Row],[ProductID]],Products[],4,FALSE)</f>
        <v>38</v>
      </c>
      <c r="G1853">
        <v>0</v>
      </c>
      <c r="H1853">
        <f>(ORDERS[[#This Row],[UnitsOrdered]]*ORDERS[[#This Row],[unit price]])-(ORDERS[[#This Row],[UnitsOrdered]]*ORDERS[[#This Row],[unit price]]*ORDERS[[#This Row],[Discount]])</f>
        <v>2394</v>
      </c>
      <c r="I1853" t="str">
        <f>VLOOKUP(ORDERS[[#This Row],[CustomerID]],customers[],2,FALSE)</f>
        <v>Threads</v>
      </c>
      <c r="J1853" s="2" t="str">
        <f>VLOOKUP(ORDERS[[#This Row],[CustomerID]],customers[],4,FALSE)</f>
        <v>Seattle</v>
      </c>
      <c r="K1853" s="2" t="str">
        <f>VLOOKUP(ORDERS[[#This Row],[ProductID]],Products[],3,FALSE)</f>
        <v>Female</v>
      </c>
      <c r="L1853" s="2">
        <f>DAY(ORDERS[[#This Row],[OrderDate]])</f>
        <v>28</v>
      </c>
      <c r="M1853" s="2">
        <f>YEAR(ORDERS[[#This Row],[OrderDate]])</f>
        <v>2016</v>
      </c>
    </row>
    <row r="1854" spans="1:13" x14ac:dyDescent="0.3">
      <c r="A1854">
        <v>1853</v>
      </c>
      <c r="B1854">
        <v>3</v>
      </c>
      <c r="C1854">
        <v>5</v>
      </c>
      <c r="D1854" s="1">
        <v>42397</v>
      </c>
      <c r="E1854">
        <v>78</v>
      </c>
      <c r="F1854">
        <f>VLOOKUP(ORDERS[[#This Row],[ProductID]],Products[],4,FALSE)</f>
        <v>16</v>
      </c>
      <c r="G1854">
        <v>5.0000001000000002E-2</v>
      </c>
      <c r="H1854">
        <f>(ORDERS[[#This Row],[UnitsOrdered]]*ORDERS[[#This Row],[unit price]])-(ORDERS[[#This Row],[UnitsOrdered]]*ORDERS[[#This Row],[unit price]]*ORDERS[[#This Row],[Discount]])</f>
        <v>1185.5999987519999</v>
      </c>
      <c r="I1854" t="str">
        <f>VLOOKUP(ORDERS[[#This Row],[CustomerID]],customers[],2,FALSE)</f>
        <v>Shirts R Us</v>
      </c>
      <c r="J1854" s="2" t="str">
        <f>VLOOKUP(ORDERS[[#This Row],[CustomerID]],customers[],4,FALSE)</f>
        <v>Los Angeles</v>
      </c>
      <c r="K1854" s="2" t="str">
        <f>VLOOKUP(ORDERS[[#This Row],[ProductID]],Products[],3,FALSE)</f>
        <v>Female</v>
      </c>
      <c r="L1854" s="2">
        <f>DAY(ORDERS[[#This Row],[OrderDate]])</f>
        <v>28</v>
      </c>
      <c r="M1854" s="2">
        <f>YEAR(ORDERS[[#This Row],[OrderDate]])</f>
        <v>2016</v>
      </c>
    </row>
    <row r="1855" spans="1:13" x14ac:dyDescent="0.3">
      <c r="A1855">
        <v>1854</v>
      </c>
      <c r="B1855">
        <v>5</v>
      </c>
      <c r="C1855">
        <v>2</v>
      </c>
      <c r="D1855" s="1">
        <v>42398</v>
      </c>
      <c r="E1855">
        <v>117</v>
      </c>
      <c r="F1855">
        <f>VLOOKUP(ORDERS[[#This Row],[ProductID]],Products[],4,FALSE)</f>
        <v>30</v>
      </c>
      <c r="G1855">
        <v>5.0000001000000002E-2</v>
      </c>
      <c r="H1855">
        <f>(ORDERS[[#This Row],[UnitsOrdered]]*ORDERS[[#This Row],[unit price]])-(ORDERS[[#This Row],[UnitsOrdered]]*ORDERS[[#This Row],[unit price]]*ORDERS[[#This Row],[Discount]])</f>
        <v>3334.4999964899998</v>
      </c>
      <c r="I1855" t="str">
        <f>VLOOKUP(ORDERS[[#This Row],[CustomerID]],customers[],2,FALSE)</f>
        <v>Rags to Riches</v>
      </c>
      <c r="J1855" s="2" t="str">
        <f>VLOOKUP(ORDERS[[#This Row],[CustomerID]],customers[],4,FALSE)</f>
        <v>Las Vegas</v>
      </c>
      <c r="K1855" s="2" t="str">
        <f>VLOOKUP(ORDERS[[#This Row],[ProductID]],Products[],3,FALSE)</f>
        <v>Both</v>
      </c>
      <c r="L1855" s="2">
        <f>DAY(ORDERS[[#This Row],[OrderDate]])</f>
        <v>29</v>
      </c>
      <c r="M1855" s="2">
        <f>YEAR(ORDERS[[#This Row],[OrderDate]])</f>
        <v>2016</v>
      </c>
    </row>
    <row r="1856" spans="1:13" x14ac:dyDescent="0.3">
      <c r="A1856">
        <v>1855</v>
      </c>
      <c r="B1856">
        <v>6</v>
      </c>
      <c r="C1856">
        <v>1</v>
      </c>
      <c r="D1856" s="1">
        <v>42398</v>
      </c>
      <c r="E1856">
        <v>84</v>
      </c>
      <c r="F1856">
        <f>VLOOKUP(ORDERS[[#This Row],[ProductID]],Products[],4,FALSE)</f>
        <v>20</v>
      </c>
      <c r="G1856">
        <v>0</v>
      </c>
      <c r="H1856">
        <f>(ORDERS[[#This Row],[UnitsOrdered]]*ORDERS[[#This Row],[unit price]])-(ORDERS[[#This Row],[UnitsOrdered]]*ORDERS[[#This Row],[unit price]]*ORDERS[[#This Row],[Discount]])</f>
        <v>1680</v>
      </c>
      <c r="I1856" t="str">
        <f>VLOOKUP(ORDERS[[#This Row],[CustomerID]],customers[],2,FALSE)</f>
        <v>Abracadaba Ink</v>
      </c>
      <c r="J1856" s="2" t="str">
        <f>VLOOKUP(ORDERS[[#This Row],[CustomerID]],customers[],4,FALSE)</f>
        <v>Salt Lake City</v>
      </c>
      <c r="K1856" s="2" t="str">
        <f>VLOOKUP(ORDERS[[#This Row],[ProductID]],Products[],3,FALSE)</f>
        <v>Both</v>
      </c>
      <c r="L1856" s="2">
        <f>DAY(ORDERS[[#This Row],[OrderDate]])</f>
        <v>29</v>
      </c>
      <c r="M1856" s="2">
        <f>YEAR(ORDERS[[#This Row],[OrderDate]])</f>
        <v>2016</v>
      </c>
    </row>
    <row r="1857" spans="1:13" x14ac:dyDescent="0.3">
      <c r="A1857">
        <v>1856</v>
      </c>
      <c r="B1857">
        <v>1</v>
      </c>
      <c r="C1857">
        <v>2</v>
      </c>
      <c r="D1857" s="1">
        <v>42399</v>
      </c>
      <c r="E1857">
        <v>144</v>
      </c>
      <c r="F1857">
        <f>VLOOKUP(ORDERS[[#This Row],[ProductID]],Products[],4,FALSE)</f>
        <v>30</v>
      </c>
      <c r="G1857">
        <v>0</v>
      </c>
      <c r="H1857">
        <f>(ORDERS[[#This Row],[UnitsOrdered]]*ORDERS[[#This Row],[unit price]])-(ORDERS[[#This Row],[UnitsOrdered]]*ORDERS[[#This Row],[unit price]]*ORDERS[[#This Row],[Discount]])</f>
        <v>4320</v>
      </c>
      <c r="I1857" t="str">
        <f>VLOOKUP(ORDERS[[#This Row],[CustomerID]],customers[],2,FALSE)</f>
        <v>Threads</v>
      </c>
      <c r="J1857" s="2" t="str">
        <f>VLOOKUP(ORDERS[[#This Row],[CustomerID]],customers[],4,FALSE)</f>
        <v>Seattle</v>
      </c>
      <c r="K1857" s="2" t="str">
        <f>VLOOKUP(ORDERS[[#This Row],[ProductID]],Products[],3,FALSE)</f>
        <v>Both</v>
      </c>
      <c r="L1857" s="2">
        <f>DAY(ORDERS[[#This Row],[OrderDate]])</f>
        <v>30</v>
      </c>
      <c r="M1857" s="2">
        <f>YEAR(ORDERS[[#This Row],[OrderDate]])</f>
        <v>2016</v>
      </c>
    </row>
    <row r="1858" spans="1:13" x14ac:dyDescent="0.3">
      <c r="A1858">
        <v>1857</v>
      </c>
      <c r="B1858">
        <v>4</v>
      </c>
      <c r="C1858">
        <v>6</v>
      </c>
      <c r="D1858" s="1">
        <v>42399</v>
      </c>
      <c r="E1858">
        <v>112</v>
      </c>
      <c r="F1858">
        <f>VLOOKUP(ORDERS[[#This Row],[ProductID]],Products[],4,FALSE)</f>
        <v>28</v>
      </c>
      <c r="G1858">
        <v>0</v>
      </c>
      <c r="H1858">
        <f>(ORDERS[[#This Row],[UnitsOrdered]]*ORDERS[[#This Row],[unit price]])-(ORDERS[[#This Row],[UnitsOrdered]]*ORDERS[[#This Row],[unit price]]*ORDERS[[#This Row],[Discount]])</f>
        <v>3136</v>
      </c>
      <c r="I1858" t="str">
        <f>VLOOKUP(ORDERS[[#This Row],[CustomerID]],customers[],2,FALSE)</f>
        <v>Tshirt Unlimited</v>
      </c>
      <c r="J1858" s="2" t="str">
        <f>VLOOKUP(ORDERS[[#This Row],[CustomerID]],customers[],4,FALSE)</f>
        <v>Phoenix</v>
      </c>
      <c r="K1858" s="2" t="str">
        <f>VLOOKUP(ORDERS[[#This Row],[ProductID]],Products[],3,FALSE)</f>
        <v>Female</v>
      </c>
      <c r="L1858" s="2">
        <f>DAY(ORDERS[[#This Row],[OrderDate]])</f>
        <v>30</v>
      </c>
      <c r="M1858" s="2">
        <f>YEAR(ORDERS[[#This Row],[OrderDate]])</f>
        <v>2016</v>
      </c>
    </row>
    <row r="1859" spans="1:13" x14ac:dyDescent="0.3">
      <c r="A1859">
        <v>1858</v>
      </c>
      <c r="B1859">
        <v>1</v>
      </c>
      <c r="C1859">
        <v>5</v>
      </c>
      <c r="D1859" s="1">
        <v>42400</v>
      </c>
      <c r="E1859">
        <v>91</v>
      </c>
      <c r="F1859">
        <f>VLOOKUP(ORDERS[[#This Row],[ProductID]],Products[],4,FALSE)</f>
        <v>16</v>
      </c>
      <c r="G1859">
        <v>0</v>
      </c>
      <c r="H1859">
        <f>(ORDERS[[#This Row],[UnitsOrdered]]*ORDERS[[#This Row],[unit price]])-(ORDERS[[#This Row],[UnitsOrdered]]*ORDERS[[#This Row],[unit price]]*ORDERS[[#This Row],[Discount]])</f>
        <v>1456</v>
      </c>
      <c r="I1859" t="str">
        <f>VLOOKUP(ORDERS[[#This Row],[CustomerID]],customers[],2,FALSE)</f>
        <v>Threads</v>
      </c>
      <c r="J1859" s="2" t="str">
        <f>VLOOKUP(ORDERS[[#This Row],[CustomerID]],customers[],4,FALSE)</f>
        <v>Seattle</v>
      </c>
      <c r="K1859" s="2" t="str">
        <f>VLOOKUP(ORDERS[[#This Row],[ProductID]],Products[],3,FALSE)</f>
        <v>Female</v>
      </c>
      <c r="L1859" s="2">
        <f>DAY(ORDERS[[#This Row],[OrderDate]])</f>
        <v>31</v>
      </c>
      <c r="M1859" s="2">
        <f>YEAR(ORDERS[[#This Row],[OrderDate]])</f>
        <v>2016</v>
      </c>
    </row>
    <row r="1860" spans="1:13" x14ac:dyDescent="0.3">
      <c r="A1860">
        <v>1859</v>
      </c>
      <c r="B1860">
        <v>2</v>
      </c>
      <c r="C1860">
        <v>2</v>
      </c>
      <c r="D1860" s="1">
        <v>42400</v>
      </c>
      <c r="E1860">
        <v>50</v>
      </c>
      <c r="F1860">
        <f>VLOOKUP(ORDERS[[#This Row],[ProductID]],Products[],4,FALSE)</f>
        <v>30</v>
      </c>
      <c r="G1860">
        <v>0</v>
      </c>
      <c r="H1860">
        <f>(ORDERS[[#This Row],[UnitsOrdered]]*ORDERS[[#This Row],[unit price]])-(ORDERS[[#This Row],[UnitsOrdered]]*ORDERS[[#This Row],[unit price]]*ORDERS[[#This Row],[Discount]])</f>
        <v>1500</v>
      </c>
      <c r="I1860" t="str">
        <f>VLOOKUP(ORDERS[[#This Row],[CustomerID]],customers[],2,FALSE)</f>
        <v>A Shirts Life</v>
      </c>
      <c r="J1860" s="2" t="str">
        <f>VLOOKUP(ORDERS[[#This Row],[CustomerID]],customers[],4,FALSE)</f>
        <v>Portland</v>
      </c>
      <c r="K1860" s="2" t="str">
        <f>VLOOKUP(ORDERS[[#This Row],[ProductID]],Products[],3,FALSE)</f>
        <v>Both</v>
      </c>
      <c r="L1860" s="2">
        <f>DAY(ORDERS[[#This Row],[OrderDate]])</f>
        <v>31</v>
      </c>
      <c r="M1860" s="2">
        <f>YEAR(ORDERS[[#This Row],[OrderDate]])</f>
        <v>2016</v>
      </c>
    </row>
    <row r="1861" spans="1:13" x14ac:dyDescent="0.3">
      <c r="A1861">
        <v>1860</v>
      </c>
      <c r="B1861">
        <v>1</v>
      </c>
      <c r="C1861">
        <v>8</v>
      </c>
      <c r="D1861" s="1">
        <v>42402</v>
      </c>
      <c r="E1861">
        <v>143</v>
      </c>
      <c r="F1861">
        <f>VLOOKUP(ORDERS[[#This Row],[ProductID]],Products[],4,FALSE)</f>
        <v>27</v>
      </c>
      <c r="G1861">
        <v>0</v>
      </c>
      <c r="H1861">
        <f>(ORDERS[[#This Row],[UnitsOrdered]]*ORDERS[[#This Row],[unit price]])-(ORDERS[[#This Row],[UnitsOrdered]]*ORDERS[[#This Row],[unit price]]*ORDERS[[#This Row],[Discount]])</f>
        <v>3861</v>
      </c>
      <c r="I1861" t="str">
        <f>VLOOKUP(ORDERS[[#This Row],[CustomerID]],customers[],2,FALSE)</f>
        <v>Threads</v>
      </c>
      <c r="J1861" s="2" t="str">
        <f>VLOOKUP(ORDERS[[#This Row],[CustomerID]],customers[],4,FALSE)</f>
        <v>Seattle</v>
      </c>
      <c r="K1861" s="2" t="str">
        <f>VLOOKUP(ORDERS[[#This Row],[ProductID]],Products[],3,FALSE)</f>
        <v>Female</v>
      </c>
      <c r="L1861" s="2">
        <f>DAY(ORDERS[[#This Row],[OrderDate]])</f>
        <v>2</v>
      </c>
      <c r="M1861" s="2">
        <f>YEAR(ORDERS[[#This Row],[OrderDate]])</f>
        <v>2016</v>
      </c>
    </row>
    <row r="1862" spans="1:13" x14ac:dyDescent="0.3">
      <c r="A1862">
        <v>1861</v>
      </c>
      <c r="B1862">
        <v>6</v>
      </c>
      <c r="C1862">
        <v>10</v>
      </c>
      <c r="D1862" s="1">
        <v>42402</v>
      </c>
      <c r="E1862">
        <v>64</v>
      </c>
      <c r="F1862">
        <f>VLOOKUP(ORDERS[[#This Row],[ProductID]],Products[],4,FALSE)</f>
        <v>35</v>
      </c>
      <c r="G1862">
        <v>0</v>
      </c>
      <c r="H1862">
        <f>(ORDERS[[#This Row],[UnitsOrdered]]*ORDERS[[#This Row],[unit price]])-(ORDERS[[#This Row],[UnitsOrdered]]*ORDERS[[#This Row],[unit price]]*ORDERS[[#This Row],[Discount]])</f>
        <v>2240</v>
      </c>
      <c r="I1862" t="str">
        <f>VLOOKUP(ORDERS[[#This Row],[CustomerID]],customers[],2,FALSE)</f>
        <v>Abracadaba Ink</v>
      </c>
      <c r="J1862" s="2" t="str">
        <f>VLOOKUP(ORDERS[[#This Row],[CustomerID]],customers[],4,FALSE)</f>
        <v>Salt Lake City</v>
      </c>
      <c r="K1862" s="2" t="str">
        <f>VLOOKUP(ORDERS[[#This Row],[ProductID]],Products[],3,FALSE)</f>
        <v>Male</v>
      </c>
      <c r="L1862" s="2">
        <f>DAY(ORDERS[[#This Row],[OrderDate]])</f>
        <v>2</v>
      </c>
      <c r="M1862" s="2">
        <f>YEAR(ORDERS[[#This Row],[OrderDate]])</f>
        <v>2016</v>
      </c>
    </row>
    <row r="1863" spans="1:13" x14ac:dyDescent="0.3">
      <c r="A1863">
        <v>1862</v>
      </c>
      <c r="B1863">
        <v>6</v>
      </c>
      <c r="C1863">
        <v>7</v>
      </c>
      <c r="D1863" s="1">
        <v>42403</v>
      </c>
      <c r="E1863">
        <v>33</v>
      </c>
      <c r="F1863">
        <f>VLOOKUP(ORDERS[[#This Row],[ProductID]],Products[],4,FALSE)</f>
        <v>38</v>
      </c>
      <c r="G1863">
        <v>0</v>
      </c>
      <c r="H1863">
        <f>(ORDERS[[#This Row],[UnitsOrdered]]*ORDERS[[#This Row],[unit price]])-(ORDERS[[#This Row],[UnitsOrdered]]*ORDERS[[#This Row],[unit price]]*ORDERS[[#This Row],[Discount]])</f>
        <v>1254</v>
      </c>
      <c r="I1863" t="str">
        <f>VLOOKUP(ORDERS[[#This Row],[CustomerID]],customers[],2,FALSE)</f>
        <v>Abracadaba Ink</v>
      </c>
      <c r="J1863" s="2" t="str">
        <f>VLOOKUP(ORDERS[[#This Row],[CustomerID]],customers[],4,FALSE)</f>
        <v>Salt Lake City</v>
      </c>
      <c r="K1863" s="2" t="str">
        <f>VLOOKUP(ORDERS[[#This Row],[ProductID]],Products[],3,FALSE)</f>
        <v>Female</v>
      </c>
      <c r="L1863" s="2">
        <f>DAY(ORDERS[[#This Row],[OrderDate]])</f>
        <v>3</v>
      </c>
      <c r="M1863" s="2">
        <f>YEAR(ORDERS[[#This Row],[OrderDate]])</f>
        <v>2016</v>
      </c>
    </row>
    <row r="1864" spans="1:13" x14ac:dyDescent="0.3">
      <c r="A1864">
        <v>1863</v>
      </c>
      <c r="B1864">
        <v>4</v>
      </c>
      <c r="C1864">
        <v>2</v>
      </c>
      <c r="D1864" s="1">
        <v>42405</v>
      </c>
      <c r="E1864">
        <v>38</v>
      </c>
      <c r="F1864">
        <f>VLOOKUP(ORDERS[[#This Row],[ProductID]],Products[],4,FALSE)</f>
        <v>30</v>
      </c>
      <c r="G1864">
        <v>0</v>
      </c>
      <c r="H1864">
        <f>(ORDERS[[#This Row],[UnitsOrdered]]*ORDERS[[#This Row],[unit price]])-(ORDERS[[#This Row],[UnitsOrdered]]*ORDERS[[#This Row],[unit price]]*ORDERS[[#This Row],[Discount]])</f>
        <v>1140</v>
      </c>
      <c r="I1864" t="str">
        <f>VLOOKUP(ORDERS[[#This Row],[CustomerID]],customers[],2,FALSE)</f>
        <v>Tshirt Unlimited</v>
      </c>
      <c r="J1864" s="2" t="str">
        <f>VLOOKUP(ORDERS[[#This Row],[CustomerID]],customers[],4,FALSE)</f>
        <v>Phoenix</v>
      </c>
      <c r="K1864" s="2" t="str">
        <f>VLOOKUP(ORDERS[[#This Row],[ProductID]],Products[],3,FALSE)</f>
        <v>Both</v>
      </c>
      <c r="L1864" s="2">
        <f>DAY(ORDERS[[#This Row],[OrderDate]])</f>
        <v>5</v>
      </c>
      <c r="M1864" s="2">
        <f>YEAR(ORDERS[[#This Row],[OrderDate]])</f>
        <v>2016</v>
      </c>
    </row>
    <row r="1865" spans="1:13" x14ac:dyDescent="0.3">
      <c r="A1865">
        <v>1864</v>
      </c>
      <c r="B1865">
        <v>7</v>
      </c>
      <c r="C1865">
        <v>3</v>
      </c>
      <c r="D1865" s="1">
        <v>42407</v>
      </c>
      <c r="E1865">
        <v>145</v>
      </c>
      <c r="F1865">
        <f>VLOOKUP(ORDERS[[#This Row],[ProductID]],Products[],4,FALSE)</f>
        <v>22</v>
      </c>
      <c r="G1865">
        <v>0</v>
      </c>
      <c r="H1865">
        <f>(ORDERS[[#This Row],[UnitsOrdered]]*ORDERS[[#This Row],[unit price]])-(ORDERS[[#This Row],[UnitsOrdered]]*ORDERS[[#This Row],[unit price]]*ORDERS[[#This Row],[Discount]])</f>
        <v>3190</v>
      </c>
      <c r="I1865" t="str">
        <f>VLOOKUP(ORDERS[[#This Row],[CustomerID]],customers[],2,FALSE)</f>
        <v>The Shirt on Your Back</v>
      </c>
      <c r="J1865" s="2" t="str">
        <f>VLOOKUP(ORDERS[[#This Row],[CustomerID]],customers[],4,FALSE)</f>
        <v>Bonners Ferry</v>
      </c>
      <c r="K1865" s="2" t="str">
        <f>VLOOKUP(ORDERS[[#This Row],[ProductID]],Products[],3,FALSE)</f>
        <v>Both</v>
      </c>
      <c r="L1865" s="2">
        <f>DAY(ORDERS[[#This Row],[OrderDate]])</f>
        <v>7</v>
      </c>
      <c r="M1865" s="2">
        <f>YEAR(ORDERS[[#This Row],[OrderDate]])</f>
        <v>2016</v>
      </c>
    </row>
    <row r="1866" spans="1:13" x14ac:dyDescent="0.3">
      <c r="A1866">
        <v>1865</v>
      </c>
      <c r="B1866">
        <v>6</v>
      </c>
      <c r="C1866">
        <v>3</v>
      </c>
      <c r="D1866" s="1">
        <v>42408</v>
      </c>
      <c r="E1866">
        <v>123</v>
      </c>
      <c r="F1866">
        <f>VLOOKUP(ORDERS[[#This Row],[ProductID]],Products[],4,FALSE)</f>
        <v>22</v>
      </c>
      <c r="G1866">
        <v>0</v>
      </c>
      <c r="H1866">
        <f>(ORDERS[[#This Row],[UnitsOrdered]]*ORDERS[[#This Row],[unit price]])-(ORDERS[[#This Row],[UnitsOrdered]]*ORDERS[[#This Row],[unit price]]*ORDERS[[#This Row],[Discount]])</f>
        <v>2706</v>
      </c>
      <c r="I1866" t="str">
        <f>VLOOKUP(ORDERS[[#This Row],[CustomerID]],customers[],2,FALSE)</f>
        <v>Abracadaba Ink</v>
      </c>
      <c r="J1866" s="2" t="str">
        <f>VLOOKUP(ORDERS[[#This Row],[CustomerID]],customers[],4,FALSE)</f>
        <v>Salt Lake City</v>
      </c>
      <c r="K1866" s="2" t="str">
        <f>VLOOKUP(ORDERS[[#This Row],[ProductID]],Products[],3,FALSE)</f>
        <v>Both</v>
      </c>
      <c r="L1866" s="2">
        <f>DAY(ORDERS[[#This Row],[OrderDate]])</f>
        <v>8</v>
      </c>
      <c r="M1866" s="2">
        <f>YEAR(ORDERS[[#This Row],[OrderDate]])</f>
        <v>2016</v>
      </c>
    </row>
    <row r="1867" spans="1:13" x14ac:dyDescent="0.3">
      <c r="A1867">
        <v>1866</v>
      </c>
      <c r="B1867">
        <v>2</v>
      </c>
      <c r="C1867">
        <v>9</v>
      </c>
      <c r="D1867" s="1">
        <v>42411</v>
      </c>
      <c r="E1867">
        <v>31</v>
      </c>
      <c r="F1867">
        <f>VLOOKUP(ORDERS[[#This Row],[ProductID]],Products[],4,FALSE)</f>
        <v>25</v>
      </c>
      <c r="G1867">
        <v>0.10000000100000001</v>
      </c>
      <c r="H1867">
        <f>(ORDERS[[#This Row],[UnitsOrdered]]*ORDERS[[#This Row],[unit price]])-(ORDERS[[#This Row],[UnitsOrdered]]*ORDERS[[#This Row],[unit price]]*ORDERS[[#This Row],[Discount]])</f>
        <v>697.49999922500001</v>
      </c>
      <c r="I1867" t="str">
        <f>VLOOKUP(ORDERS[[#This Row],[CustomerID]],customers[],2,FALSE)</f>
        <v>A Shirts Life</v>
      </c>
      <c r="J1867" s="2" t="str">
        <f>VLOOKUP(ORDERS[[#This Row],[CustomerID]],customers[],4,FALSE)</f>
        <v>Portland</v>
      </c>
      <c r="K1867" s="2" t="str">
        <f>VLOOKUP(ORDERS[[#This Row],[ProductID]],Products[],3,FALSE)</f>
        <v>Male</v>
      </c>
      <c r="L1867" s="2">
        <f>DAY(ORDERS[[#This Row],[OrderDate]])</f>
        <v>11</v>
      </c>
      <c r="M1867" s="2">
        <f>YEAR(ORDERS[[#This Row],[OrderDate]])</f>
        <v>2016</v>
      </c>
    </row>
    <row r="1868" spans="1:13" x14ac:dyDescent="0.3">
      <c r="A1868">
        <v>1867</v>
      </c>
      <c r="B1868">
        <v>5</v>
      </c>
      <c r="C1868">
        <v>2</v>
      </c>
      <c r="D1868" s="1">
        <v>42411</v>
      </c>
      <c r="E1868">
        <v>144</v>
      </c>
      <c r="F1868">
        <f>VLOOKUP(ORDERS[[#This Row],[ProductID]],Products[],4,FALSE)</f>
        <v>30</v>
      </c>
      <c r="G1868">
        <v>0</v>
      </c>
      <c r="H1868">
        <f>(ORDERS[[#This Row],[UnitsOrdered]]*ORDERS[[#This Row],[unit price]])-(ORDERS[[#This Row],[UnitsOrdered]]*ORDERS[[#This Row],[unit price]]*ORDERS[[#This Row],[Discount]])</f>
        <v>4320</v>
      </c>
      <c r="I1868" t="str">
        <f>VLOOKUP(ORDERS[[#This Row],[CustomerID]],customers[],2,FALSE)</f>
        <v>Rags to Riches</v>
      </c>
      <c r="J1868" s="2" t="str">
        <f>VLOOKUP(ORDERS[[#This Row],[CustomerID]],customers[],4,FALSE)</f>
        <v>Las Vegas</v>
      </c>
      <c r="K1868" s="2" t="str">
        <f>VLOOKUP(ORDERS[[#This Row],[ProductID]],Products[],3,FALSE)</f>
        <v>Both</v>
      </c>
      <c r="L1868" s="2">
        <f>DAY(ORDERS[[#This Row],[OrderDate]])</f>
        <v>11</v>
      </c>
      <c r="M1868" s="2">
        <f>YEAR(ORDERS[[#This Row],[OrderDate]])</f>
        <v>2016</v>
      </c>
    </row>
    <row r="1869" spans="1:13" x14ac:dyDescent="0.3">
      <c r="A1869">
        <v>1868</v>
      </c>
      <c r="B1869">
        <v>1</v>
      </c>
      <c r="C1869">
        <v>9</v>
      </c>
      <c r="D1869" s="1">
        <v>42414</v>
      </c>
      <c r="E1869">
        <v>101</v>
      </c>
      <c r="F1869">
        <f>VLOOKUP(ORDERS[[#This Row],[ProductID]],Products[],4,FALSE)</f>
        <v>25</v>
      </c>
      <c r="G1869">
        <v>0</v>
      </c>
      <c r="H1869">
        <f>(ORDERS[[#This Row],[UnitsOrdered]]*ORDERS[[#This Row],[unit price]])-(ORDERS[[#This Row],[UnitsOrdered]]*ORDERS[[#This Row],[unit price]]*ORDERS[[#This Row],[Discount]])</f>
        <v>2525</v>
      </c>
      <c r="I1869" t="str">
        <f>VLOOKUP(ORDERS[[#This Row],[CustomerID]],customers[],2,FALSE)</f>
        <v>Threads</v>
      </c>
      <c r="J1869" s="2" t="str">
        <f>VLOOKUP(ORDERS[[#This Row],[CustomerID]],customers[],4,FALSE)</f>
        <v>Seattle</v>
      </c>
      <c r="K1869" s="2" t="str">
        <f>VLOOKUP(ORDERS[[#This Row],[ProductID]],Products[],3,FALSE)</f>
        <v>Male</v>
      </c>
      <c r="L1869" s="2">
        <f>DAY(ORDERS[[#This Row],[OrderDate]])</f>
        <v>14</v>
      </c>
      <c r="M1869" s="2">
        <f>YEAR(ORDERS[[#This Row],[OrderDate]])</f>
        <v>2016</v>
      </c>
    </row>
    <row r="1870" spans="1:13" x14ac:dyDescent="0.3">
      <c r="A1870">
        <v>1869</v>
      </c>
      <c r="B1870">
        <v>2</v>
      </c>
      <c r="C1870">
        <v>7</v>
      </c>
      <c r="D1870" s="1">
        <v>42414</v>
      </c>
      <c r="E1870">
        <v>105</v>
      </c>
      <c r="F1870">
        <f>VLOOKUP(ORDERS[[#This Row],[ProductID]],Products[],4,FALSE)</f>
        <v>38</v>
      </c>
      <c r="G1870">
        <v>0</v>
      </c>
      <c r="H1870">
        <f>(ORDERS[[#This Row],[UnitsOrdered]]*ORDERS[[#This Row],[unit price]])-(ORDERS[[#This Row],[UnitsOrdered]]*ORDERS[[#This Row],[unit price]]*ORDERS[[#This Row],[Discount]])</f>
        <v>3990</v>
      </c>
      <c r="I1870" t="str">
        <f>VLOOKUP(ORDERS[[#This Row],[CustomerID]],customers[],2,FALSE)</f>
        <v>A Shirts Life</v>
      </c>
      <c r="J1870" s="2" t="str">
        <f>VLOOKUP(ORDERS[[#This Row],[CustomerID]],customers[],4,FALSE)</f>
        <v>Portland</v>
      </c>
      <c r="K1870" s="2" t="str">
        <f>VLOOKUP(ORDERS[[#This Row],[ProductID]],Products[],3,FALSE)</f>
        <v>Female</v>
      </c>
      <c r="L1870" s="2">
        <f>DAY(ORDERS[[#This Row],[OrderDate]])</f>
        <v>14</v>
      </c>
      <c r="M1870" s="2">
        <f>YEAR(ORDERS[[#This Row],[OrderDate]])</f>
        <v>2016</v>
      </c>
    </row>
    <row r="1871" spans="1:13" x14ac:dyDescent="0.3">
      <c r="A1871">
        <v>1870</v>
      </c>
      <c r="B1871">
        <v>2</v>
      </c>
      <c r="C1871">
        <v>1</v>
      </c>
      <c r="D1871" s="1">
        <v>42415</v>
      </c>
      <c r="E1871">
        <v>79</v>
      </c>
      <c r="F1871">
        <f>VLOOKUP(ORDERS[[#This Row],[ProductID]],Products[],4,FALSE)</f>
        <v>20</v>
      </c>
      <c r="G1871">
        <v>0</v>
      </c>
      <c r="H1871">
        <f>(ORDERS[[#This Row],[UnitsOrdered]]*ORDERS[[#This Row],[unit price]])-(ORDERS[[#This Row],[UnitsOrdered]]*ORDERS[[#This Row],[unit price]]*ORDERS[[#This Row],[Discount]])</f>
        <v>1580</v>
      </c>
      <c r="I1871" t="str">
        <f>VLOOKUP(ORDERS[[#This Row],[CustomerID]],customers[],2,FALSE)</f>
        <v>A Shirts Life</v>
      </c>
      <c r="J1871" s="2" t="str">
        <f>VLOOKUP(ORDERS[[#This Row],[CustomerID]],customers[],4,FALSE)</f>
        <v>Portland</v>
      </c>
      <c r="K1871" s="2" t="str">
        <f>VLOOKUP(ORDERS[[#This Row],[ProductID]],Products[],3,FALSE)</f>
        <v>Both</v>
      </c>
      <c r="L1871" s="2">
        <f>DAY(ORDERS[[#This Row],[OrderDate]])</f>
        <v>15</v>
      </c>
      <c r="M1871" s="2">
        <f>YEAR(ORDERS[[#This Row],[OrderDate]])</f>
        <v>2016</v>
      </c>
    </row>
    <row r="1872" spans="1:13" x14ac:dyDescent="0.3">
      <c r="A1872">
        <v>1871</v>
      </c>
      <c r="B1872">
        <v>7</v>
      </c>
      <c r="C1872">
        <v>10</v>
      </c>
      <c r="D1872" s="1">
        <v>42415</v>
      </c>
      <c r="E1872">
        <v>62</v>
      </c>
      <c r="F1872">
        <f>VLOOKUP(ORDERS[[#This Row],[ProductID]],Products[],4,FALSE)</f>
        <v>35</v>
      </c>
      <c r="G1872">
        <v>0</v>
      </c>
      <c r="H1872">
        <f>(ORDERS[[#This Row],[UnitsOrdered]]*ORDERS[[#This Row],[unit price]])-(ORDERS[[#This Row],[UnitsOrdered]]*ORDERS[[#This Row],[unit price]]*ORDERS[[#This Row],[Discount]])</f>
        <v>2170</v>
      </c>
      <c r="I1872" t="str">
        <f>VLOOKUP(ORDERS[[#This Row],[CustomerID]],customers[],2,FALSE)</f>
        <v>The Shirt on Your Back</v>
      </c>
      <c r="J1872" s="2" t="str">
        <f>VLOOKUP(ORDERS[[#This Row],[CustomerID]],customers[],4,FALSE)</f>
        <v>Bonners Ferry</v>
      </c>
      <c r="K1872" s="2" t="str">
        <f>VLOOKUP(ORDERS[[#This Row],[ProductID]],Products[],3,FALSE)</f>
        <v>Male</v>
      </c>
      <c r="L1872" s="2">
        <f>DAY(ORDERS[[#This Row],[OrderDate]])</f>
        <v>15</v>
      </c>
      <c r="M1872" s="2">
        <f>YEAR(ORDERS[[#This Row],[OrderDate]])</f>
        <v>2016</v>
      </c>
    </row>
    <row r="1873" spans="1:13" x14ac:dyDescent="0.3">
      <c r="A1873">
        <v>1872</v>
      </c>
      <c r="B1873">
        <v>3</v>
      </c>
      <c r="C1873">
        <v>1</v>
      </c>
      <c r="D1873" s="1">
        <v>42416</v>
      </c>
      <c r="E1873">
        <v>80</v>
      </c>
      <c r="F1873">
        <f>VLOOKUP(ORDERS[[#This Row],[ProductID]],Products[],4,FALSE)</f>
        <v>20</v>
      </c>
      <c r="G1873">
        <v>0</v>
      </c>
      <c r="H1873">
        <f>(ORDERS[[#This Row],[UnitsOrdered]]*ORDERS[[#This Row],[unit price]])-(ORDERS[[#This Row],[UnitsOrdered]]*ORDERS[[#This Row],[unit price]]*ORDERS[[#This Row],[Discount]])</f>
        <v>1600</v>
      </c>
      <c r="I1873" t="str">
        <f>VLOOKUP(ORDERS[[#This Row],[CustomerID]],customers[],2,FALSE)</f>
        <v>Shirts R Us</v>
      </c>
      <c r="J1873" s="2" t="str">
        <f>VLOOKUP(ORDERS[[#This Row],[CustomerID]],customers[],4,FALSE)</f>
        <v>Los Angeles</v>
      </c>
      <c r="K1873" s="2" t="str">
        <f>VLOOKUP(ORDERS[[#This Row],[ProductID]],Products[],3,FALSE)</f>
        <v>Both</v>
      </c>
      <c r="L1873" s="2">
        <f>DAY(ORDERS[[#This Row],[OrderDate]])</f>
        <v>16</v>
      </c>
      <c r="M1873" s="2">
        <f>YEAR(ORDERS[[#This Row],[OrderDate]])</f>
        <v>2016</v>
      </c>
    </row>
    <row r="1874" spans="1:13" x14ac:dyDescent="0.3">
      <c r="A1874">
        <v>1873</v>
      </c>
      <c r="B1874">
        <v>3</v>
      </c>
      <c r="C1874">
        <v>3</v>
      </c>
      <c r="D1874" s="1">
        <v>42418</v>
      </c>
      <c r="E1874">
        <v>29</v>
      </c>
      <c r="F1874">
        <f>VLOOKUP(ORDERS[[#This Row],[ProductID]],Products[],4,FALSE)</f>
        <v>22</v>
      </c>
      <c r="G1874">
        <v>0</v>
      </c>
      <c r="H1874">
        <f>(ORDERS[[#This Row],[UnitsOrdered]]*ORDERS[[#This Row],[unit price]])-(ORDERS[[#This Row],[UnitsOrdered]]*ORDERS[[#This Row],[unit price]]*ORDERS[[#This Row],[Discount]])</f>
        <v>638</v>
      </c>
      <c r="I1874" t="str">
        <f>VLOOKUP(ORDERS[[#This Row],[CustomerID]],customers[],2,FALSE)</f>
        <v>Shirts R Us</v>
      </c>
      <c r="J1874" s="2" t="str">
        <f>VLOOKUP(ORDERS[[#This Row],[CustomerID]],customers[],4,FALSE)</f>
        <v>Los Angeles</v>
      </c>
      <c r="K1874" s="2" t="str">
        <f>VLOOKUP(ORDERS[[#This Row],[ProductID]],Products[],3,FALSE)</f>
        <v>Both</v>
      </c>
      <c r="L1874" s="2">
        <f>DAY(ORDERS[[#This Row],[OrderDate]])</f>
        <v>18</v>
      </c>
      <c r="M1874" s="2">
        <f>YEAR(ORDERS[[#This Row],[OrderDate]])</f>
        <v>2016</v>
      </c>
    </row>
    <row r="1875" spans="1:13" x14ac:dyDescent="0.3">
      <c r="A1875">
        <v>1874</v>
      </c>
      <c r="B1875">
        <v>3</v>
      </c>
      <c r="C1875">
        <v>7</v>
      </c>
      <c r="D1875" s="1">
        <v>42418</v>
      </c>
      <c r="E1875">
        <v>56</v>
      </c>
      <c r="F1875">
        <f>VLOOKUP(ORDERS[[#This Row],[ProductID]],Products[],4,FALSE)</f>
        <v>38</v>
      </c>
      <c r="G1875">
        <v>0</v>
      </c>
      <c r="H1875">
        <f>(ORDERS[[#This Row],[UnitsOrdered]]*ORDERS[[#This Row],[unit price]])-(ORDERS[[#This Row],[UnitsOrdered]]*ORDERS[[#This Row],[unit price]]*ORDERS[[#This Row],[Discount]])</f>
        <v>2128</v>
      </c>
      <c r="I1875" t="str">
        <f>VLOOKUP(ORDERS[[#This Row],[CustomerID]],customers[],2,FALSE)</f>
        <v>Shirts R Us</v>
      </c>
      <c r="J1875" s="2" t="str">
        <f>VLOOKUP(ORDERS[[#This Row],[CustomerID]],customers[],4,FALSE)</f>
        <v>Los Angeles</v>
      </c>
      <c r="K1875" s="2" t="str">
        <f>VLOOKUP(ORDERS[[#This Row],[ProductID]],Products[],3,FALSE)</f>
        <v>Female</v>
      </c>
      <c r="L1875" s="2">
        <f>DAY(ORDERS[[#This Row],[OrderDate]])</f>
        <v>18</v>
      </c>
      <c r="M1875" s="2">
        <f>YEAR(ORDERS[[#This Row],[OrderDate]])</f>
        <v>2016</v>
      </c>
    </row>
    <row r="1876" spans="1:13" x14ac:dyDescent="0.3">
      <c r="A1876">
        <v>1875</v>
      </c>
      <c r="B1876">
        <v>5</v>
      </c>
      <c r="C1876">
        <v>4</v>
      </c>
      <c r="D1876" s="1">
        <v>42418</v>
      </c>
      <c r="E1876">
        <v>122</v>
      </c>
      <c r="F1876">
        <f>VLOOKUP(ORDERS[[#This Row],[ProductID]],Products[],4,FALSE)</f>
        <v>30</v>
      </c>
      <c r="G1876">
        <v>0</v>
      </c>
      <c r="H1876">
        <f>(ORDERS[[#This Row],[UnitsOrdered]]*ORDERS[[#This Row],[unit price]])-(ORDERS[[#This Row],[UnitsOrdered]]*ORDERS[[#This Row],[unit price]]*ORDERS[[#This Row],[Discount]])</f>
        <v>3660</v>
      </c>
      <c r="I1876" t="str">
        <f>VLOOKUP(ORDERS[[#This Row],[CustomerID]],customers[],2,FALSE)</f>
        <v>Rags to Riches</v>
      </c>
      <c r="J1876" s="2" t="str">
        <f>VLOOKUP(ORDERS[[#This Row],[CustomerID]],customers[],4,FALSE)</f>
        <v>Las Vegas</v>
      </c>
      <c r="K1876" s="2" t="str">
        <f>VLOOKUP(ORDERS[[#This Row],[ProductID]],Products[],3,FALSE)</f>
        <v>Both</v>
      </c>
      <c r="L1876" s="2">
        <f>DAY(ORDERS[[#This Row],[OrderDate]])</f>
        <v>18</v>
      </c>
      <c r="M1876" s="2">
        <f>YEAR(ORDERS[[#This Row],[OrderDate]])</f>
        <v>2016</v>
      </c>
    </row>
    <row r="1877" spans="1:13" x14ac:dyDescent="0.3">
      <c r="A1877">
        <v>1876</v>
      </c>
      <c r="B1877">
        <v>7</v>
      </c>
      <c r="C1877">
        <v>3</v>
      </c>
      <c r="D1877" s="1">
        <v>42418</v>
      </c>
      <c r="E1877">
        <v>145</v>
      </c>
      <c r="F1877">
        <f>VLOOKUP(ORDERS[[#This Row],[ProductID]],Products[],4,FALSE)</f>
        <v>22</v>
      </c>
      <c r="G1877">
        <v>0</v>
      </c>
      <c r="H1877">
        <f>(ORDERS[[#This Row],[UnitsOrdered]]*ORDERS[[#This Row],[unit price]])-(ORDERS[[#This Row],[UnitsOrdered]]*ORDERS[[#This Row],[unit price]]*ORDERS[[#This Row],[Discount]])</f>
        <v>3190</v>
      </c>
      <c r="I1877" t="str">
        <f>VLOOKUP(ORDERS[[#This Row],[CustomerID]],customers[],2,FALSE)</f>
        <v>The Shirt on Your Back</v>
      </c>
      <c r="J1877" s="2" t="str">
        <f>VLOOKUP(ORDERS[[#This Row],[CustomerID]],customers[],4,FALSE)</f>
        <v>Bonners Ferry</v>
      </c>
      <c r="K1877" s="2" t="str">
        <f>VLOOKUP(ORDERS[[#This Row],[ProductID]],Products[],3,FALSE)</f>
        <v>Both</v>
      </c>
      <c r="L1877" s="2">
        <f>DAY(ORDERS[[#This Row],[OrderDate]])</f>
        <v>18</v>
      </c>
      <c r="M1877" s="2">
        <f>YEAR(ORDERS[[#This Row],[OrderDate]])</f>
        <v>2016</v>
      </c>
    </row>
    <row r="1878" spans="1:13" x14ac:dyDescent="0.3">
      <c r="A1878">
        <v>1877</v>
      </c>
      <c r="B1878">
        <v>3</v>
      </c>
      <c r="C1878">
        <v>1</v>
      </c>
      <c r="D1878" s="1">
        <v>42419</v>
      </c>
      <c r="E1878">
        <v>49</v>
      </c>
      <c r="F1878">
        <f>VLOOKUP(ORDERS[[#This Row],[ProductID]],Products[],4,FALSE)</f>
        <v>20</v>
      </c>
      <c r="G1878">
        <v>0</v>
      </c>
      <c r="H1878">
        <f>(ORDERS[[#This Row],[UnitsOrdered]]*ORDERS[[#This Row],[unit price]])-(ORDERS[[#This Row],[UnitsOrdered]]*ORDERS[[#This Row],[unit price]]*ORDERS[[#This Row],[Discount]])</f>
        <v>980</v>
      </c>
      <c r="I1878" t="str">
        <f>VLOOKUP(ORDERS[[#This Row],[CustomerID]],customers[],2,FALSE)</f>
        <v>Shirts R Us</v>
      </c>
      <c r="J1878" s="2" t="str">
        <f>VLOOKUP(ORDERS[[#This Row],[CustomerID]],customers[],4,FALSE)</f>
        <v>Los Angeles</v>
      </c>
      <c r="K1878" s="2" t="str">
        <f>VLOOKUP(ORDERS[[#This Row],[ProductID]],Products[],3,FALSE)</f>
        <v>Both</v>
      </c>
      <c r="L1878" s="2">
        <f>DAY(ORDERS[[#This Row],[OrderDate]])</f>
        <v>19</v>
      </c>
      <c r="M1878" s="2">
        <f>YEAR(ORDERS[[#This Row],[OrderDate]])</f>
        <v>2016</v>
      </c>
    </row>
    <row r="1879" spans="1:13" x14ac:dyDescent="0.3">
      <c r="A1879">
        <v>1878</v>
      </c>
      <c r="B1879">
        <v>2</v>
      </c>
      <c r="C1879">
        <v>5</v>
      </c>
      <c r="D1879" s="1">
        <v>42421</v>
      </c>
      <c r="E1879">
        <v>125</v>
      </c>
      <c r="F1879">
        <f>VLOOKUP(ORDERS[[#This Row],[ProductID]],Products[],4,FALSE)</f>
        <v>16</v>
      </c>
      <c r="G1879">
        <v>0</v>
      </c>
      <c r="H1879">
        <f>(ORDERS[[#This Row],[UnitsOrdered]]*ORDERS[[#This Row],[unit price]])-(ORDERS[[#This Row],[UnitsOrdered]]*ORDERS[[#This Row],[unit price]]*ORDERS[[#This Row],[Discount]])</f>
        <v>2000</v>
      </c>
      <c r="I1879" t="str">
        <f>VLOOKUP(ORDERS[[#This Row],[CustomerID]],customers[],2,FALSE)</f>
        <v>A Shirts Life</v>
      </c>
      <c r="J1879" s="2" t="str">
        <f>VLOOKUP(ORDERS[[#This Row],[CustomerID]],customers[],4,FALSE)</f>
        <v>Portland</v>
      </c>
      <c r="K1879" s="2" t="str">
        <f>VLOOKUP(ORDERS[[#This Row],[ProductID]],Products[],3,FALSE)</f>
        <v>Female</v>
      </c>
      <c r="L1879" s="2">
        <f>DAY(ORDERS[[#This Row],[OrderDate]])</f>
        <v>21</v>
      </c>
      <c r="M1879" s="2">
        <f>YEAR(ORDERS[[#This Row],[OrderDate]])</f>
        <v>2016</v>
      </c>
    </row>
    <row r="1880" spans="1:13" x14ac:dyDescent="0.3">
      <c r="A1880">
        <v>1879</v>
      </c>
      <c r="B1880">
        <v>3</v>
      </c>
      <c r="C1880">
        <v>9</v>
      </c>
      <c r="D1880" s="1">
        <v>42422</v>
      </c>
      <c r="E1880">
        <v>150</v>
      </c>
      <c r="F1880">
        <f>VLOOKUP(ORDERS[[#This Row],[ProductID]],Products[],4,FALSE)</f>
        <v>25</v>
      </c>
      <c r="G1880">
        <v>0</v>
      </c>
      <c r="H1880">
        <f>(ORDERS[[#This Row],[UnitsOrdered]]*ORDERS[[#This Row],[unit price]])-(ORDERS[[#This Row],[UnitsOrdered]]*ORDERS[[#This Row],[unit price]]*ORDERS[[#This Row],[Discount]])</f>
        <v>3750</v>
      </c>
      <c r="I1880" t="str">
        <f>VLOOKUP(ORDERS[[#This Row],[CustomerID]],customers[],2,FALSE)</f>
        <v>Shirts R Us</v>
      </c>
      <c r="J1880" s="2" t="str">
        <f>VLOOKUP(ORDERS[[#This Row],[CustomerID]],customers[],4,FALSE)</f>
        <v>Los Angeles</v>
      </c>
      <c r="K1880" s="2" t="str">
        <f>VLOOKUP(ORDERS[[#This Row],[ProductID]],Products[],3,FALSE)</f>
        <v>Male</v>
      </c>
      <c r="L1880" s="2">
        <f>DAY(ORDERS[[#This Row],[OrderDate]])</f>
        <v>22</v>
      </c>
      <c r="M1880" s="2">
        <f>YEAR(ORDERS[[#This Row],[OrderDate]])</f>
        <v>2016</v>
      </c>
    </row>
    <row r="1881" spans="1:13" x14ac:dyDescent="0.3">
      <c r="A1881">
        <v>1880</v>
      </c>
      <c r="B1881">
        <v>5</v>
      </c>
      <c r="C1881">
        <v>7</v>
      </c>
      <c r="D1881" s="1">
        <v>42422</v>
      </c>
      <c r="E1881">
        <v>30</v>
      </c>
      <c r="F1881">
        <f>VLOOKUP(ORDERS[[#This Row],[ProductID]],Products[],4,FALSE)</f>
        <v>38</v>
      </c>
      <c r="G1881">
        <v>0</v>
      </c>
      <c r="H1881">
        <f>(ORDERS[[#This Row],[UnitsOrdered]]*ORDERS[[#This Row],[unit price]])-(ORDERS[[#This Row],[UnitsOrdered]]*ORDERS[[#This Row],[unit price]]*ORDERS[[#This Row],[Discount]])</f>
        <v>1140</v>
      </c>
      <c r="I1881" t="str">
        <f>VLOOKUP(ORDERS[[#This Row],[CustomerID]],customers[],2,FALSE)</f>
        <v>Rags to Riches</v>
      </c>
      <c r="J1881" s="2" t="str">
        <f>VLOOKUP(ORDERS[[#This Row],[CustomerID]],customers[],4,FALSE)</f>
        <v>Las Vegas</v>
      </c>
      <c r="K1881" s="2" t="str">
        <f>VLOOKUP(ORDERS[[#This Row],[ProductID]],Products[],3,FALSE)</f>
        <v>Female</v>
      </c>
      <c r="L1881" s="2">
        <f>DAY(ORDERS[[#This Row],[OrderDate]])</f>
        <v>22</v>
      </c>
      <c r="M1881" s="2">
        <f>YEAR(ORDERS[[#This Row],[OrderDate]])</f>
        <v>2016</v>
      </c>
    </row>
    <row r="1882" spans="1:13" x14ac:dyDescent="0.3">
      <c r="A1882">
        <v>1881</v>
      </c>
      <c r="B1882">
        <v>6</v>
      </c>
      <c r="C1882">
        <v>8</v>
      </c>
      <c r="D1882" s="1">
        <v>42422</v>
      </c>
      <c r="E1882">
        <v>120</v>
      </c>
      <c r="F1882">
        <f>VLOOKUP(ORDERS[[#This Row],[ProductID]],Products[],4,FALSE)</f>
        <v>27</v>
      </c>
      <c r="G1882">
        <v>0</v>
      </c>
      <c r="H1882">
        <f>(ORDERS[[#This Row],[UnitsOrdered]]*ORDERS[[#This Row],[unit price]])-(ORDERS[[#This Row],[UnitsOrdered]]*ORDERS[[#This Row],[unit price]]*ORDERS[[#This Row],[Discount]])</f>
        <v>3240</v>
      </c>
      <c r="I1882" t="str">
        <f>VLOOKUP(ORDERS[[#This Row],[CustomerID]],customers[],2,FALSE)</f>
        <v>Abracadaba Ink</v>
      </c>
      <c r="J1882" s="2" t="str">
        <f>VLOOKUP(ORDERS[[#This Row],[CustomerID]],customers[],4,FALSE)</f>
        <v>Salt Lake City</v>
      </c>
      <c r="K1882" s="2" t="str">
        <f>VLOOKUP(ORDERS[[#This Row],[ProductID]],Products[],3,FALSE)</f>
        <v>Female</v>
      </c>
      <c r="L1882" s="2">
        <f>DAY(ORDERS[[#This Row],[OrderDate]])</f>
        <v>22</v>
      </c>
      <c r="M1882" s="2">
        <f>YEAR(ORDERS[[#This Row],[OrderDate]])</f>
        <v>2016</v>
      </c>
    </row>
    <row r="1883" spans="1:13" x14ac:dyDescent="0.3">
      <c r="A1883">
        <v>1882</v>
      </c>
      <c r="B1883">
        <v>2</v>
      </c>
      <c r="C1883">
        <v>5</v>
      </c>
      <c r="D1883" s="1">
        <v>42425</v>
      </c>
      <c r="E1883">
        <v>84</v>
      </c>
      <c r="F1883">
        <f>VLOOKUP(ORDERS[[#This Row],[ProductID]],Products[],4,FALSE)</f>
        <v>16</v>
      </c>
      <c r="G1883">
        <v>0.10000000100000001</v>
      </c>
      <c r="H1883">
        <f>(ORDERS[[#This Row],[UnitsOrdered]]*ORDERS[[#This Row],[unit price]])-(ORDERS[[#This Row],[UnitsOrdered]]*ORDERS[[#This Row],[unit price]]*ORDERS[[#This Row],[Discount]])</f>
        <v>1209.599998656</v>
      </c>
      <c r="I1883" t="str">
        <f>VLOOKUP(ORDERS[[#This Row],[CustomerID]],customers[],2,FALSE)</f>
        <v>A Shirts Life</v>
      </c>
      <c r="J1883" s="2" t="str">
        <f>VLOOKUP(ORDERS[[#This Row],[CustomerID]],customers[],4,FALSE)</f>
        <v>Portland</v>
      </c>
      <c r="K1883" s="2" t="str">
        <f>VLOOKUP(ORDERS[[#This Row],[ProductID]],Products[],3,FALSE)</f>
        <v>Female</v>
      </c>
      <c r="L1883" s="2">
        <f>DAY(ORDERS[[#This Row],[OrderDate]])</f>
        <v>25</v>
      </c>
      <c r="M1883" s="2">
        <f>YEAR(ORDERS[[#This Row],[OrderDate]])</f>
        <v>2016</v>
      </c>
    </row>
    <row r="1884" spans="1:13" x14ac:dyDescent="0.3">
      <c r="A1884">
        <v>1883</v>
      </c>
      <c r="B1884">
        <v>3</v>
      </c>
      <c r="C1884">
        <v>1</v>
      </c>
      <c r="D1884" s="1">
        <v>42428</v>
      </c>
      <c r="E1884">
        <v>106</v>
      </c>
      <c r="F1884">
        <f>VLOOKUP(ORDERS[[#This Row],[ProductID]],Products[],4,FALSE)</f>
        <v>20</v>
      </c>
      <c r="G1884">
        <v>0</v>
      </c>
      <c r="H1884">
        <f>(ORDERS[[#This Row],[UnitsOrdered]]*ORDERS[[#This Row],[unit price]])-(ORDERS[[#This Row],[UnitsOrdered]]*ORDERS[[#This Row],[unit price]]*ORDERS[[#This Row],[Discount]])</f>
        <v>2120</v>
      </c>
      <c r="I1884" t="str">
        <f>VLOOKUP(ORDERS[[#This Row],[CustomerID]],customers[],2,FALSE)</f>
        <v>Shirts R Us</v>
      </c>
      <c r="J1884" s="2" t="str">
        <f>VLOOKUP(ORDERS[[#This Row],[CustomerID]],customers[],4,FALSE)</f>
        <v>Los Angeles</v>
      </c>
      <c r="K1884" s="2" t="str">
        <f>VLOOKUP(ORDERS[[#This Row],[ProductID]],Products[],3,FALSE)</f>
        <v>Both</v>
      </c>
      <c r="L1884" s="2">
        <f>DAY(ORDERS[[#This Row],[OrderDate]])</f>
        <v>28</v>
      </c>
      <c r="M1884" s="2">
        <f>YEAR(ORDERS[[#This Row],[OrderDate]])</f>
        <v>2016</v>
      </c>
    </row>
    <row r="1885" spans="1:13" x14ac:dyDescent="0.3">
      <c r="A1885">
        <v>1884</v>
      </c>
      <c r="B1885">
        <v>5</v>
      </c>
      <c r="C1885">
        <v>3</v>
      </c>
      <c r="D1885" s="1">
        <v>42432</v>
      </c>
      <c r="E1885">
        <v>118</v>
      </c>
      <c r="F1885">
        <f>VLOOKUP(ORDERS[[#This Row],[ProductID]],Products[],4,FALSE)</f>
        <v>22</v>
      </c>
      <c r="G1885">
        <v>0</v>
      </c>
      <c r="H1885">
        <f>(ORDERS[[#This Row],[UnitsOrdered]]*ORDERS[[#This Row],[unit price]])-(ORDERS[[#This Row],[UnitsOrdered]]*ORDERS[[#This Row],[unit price]]*ORDERS[[#This Row],[Discount]])</f>
        <v>2596</v>
      </c>
      <c r="I1885" t="str">
        <f>VLOOKUP(ORDERS[[#This Row],[CustomerID]],customers[],2,FALSE)</f>
        <v>Rags to Riches</v>
      </c>
      <c r="J1885" s="2" t="str">
        <f>VLOOKUP(ORDERS[[#This Row],[CustomerID]],customers[],4,FALSE)</f>
        <v>Las Vegas</v>
      </c>
      <c r="K1885" s="2" t="str">
        <f>VLOOKUP(ORDERS[[#This Row],[ProductID]],Products[],3,FALSE)</f>
        <v>Both</v>
      </c>
      <c r="L1885" s="2">
        <f>DAY(ORDERS[[#This Row],[OrderDate]])</f>
        <v>3</v>
      </c>
      <c r="M1885" s="2">
        <f>YEAR(ORDERS[[#This Row],[OrderDate]])</f>
        <v>2016</v>
      </c>
    </row>
    <row r="1886" spans="1:13" x14ac:dyDescent="0.3">
      <c r="A1886">
        <v>1885</v>
      </c>
      <c r="B1886">
        <v>7</v>
      </c>
      <c r="C1886">
        <v>8</v>
      </c>
      <c r="D1886" s="1">
        <v>42432</v>
      </c>
      <c r="E1886">
        <v>53</v>
      </c>
      <c r="F1886">
        <f>VLOOKUP(ORDERS[[#This Row],[ProductID]],Products[],4,FALSE)</f>
        <v>27</v>
      </c>
      <c r="G1886">
        <v>0</v>
      </c>
      <c r="H1886">
        <f>(ORDERS[[#This Row],[UnitsOrdered]]*ORDERS[[#This Row],[unit price]])-(ORDERS[[#This Row],[UnitsOrdered]]*ORDERS[[#This Row],[unit price]]*ORDERS[[#This Row],[Discount]])</f>
        <v>1431</v>
      </c>
      <c r="I1886" t="str">
        <f>VLOOKUP(ORDERS[[#This Row],[CustomerID]],customers[],2,FALSE)</f>
        <v>The Shirt on Your Back</v>
      </c>
      <c r="J1886" s="2" t="str">
        <f>VLOOKUP(ORDERS[[#This Row],[CustomerID]],customers[],4,FALSE)</f>
        <v>Bonners Ferry</v>
      </c>
      <c r="K1886" s="2" t="str">
        <f>VLOOKUP(ORDERS[[#This Row],[ProductID]],Products[],3,FALSE)</f>
        <v>Female</v>
      </c>
      <c r="L1886" s="2">
        <f>DAY(ORDERS[[#This Row],[OrderDate]])</f>
        <v>3</v>
      </c>
      <c r="M1886" s="2">
        <f>YEAR(ORDERS[[#This Row],[OrderDate]])</f>
        <v>2016</v>
      </c>
    </row>
    <row r="1887" spans="1:13" x14ac:dyDescent="0.3">
      <c r="A1887">
        <v>1886</v>
      </c>
      <c r="B1887">
        <v>2</v>
      </c>
      <c r="C1887">
        <v>2</v>
      </c>
      <c r="D1887" s="1">
        <v>42433</v>
      </c>
      <c r="E1887">
        <v>68</v>
      </c>
      <c r="F1887">
        <f>VLOOKUP(ORDERS[[#This Row],[ProductID]],Products[],4,FALSE)</f>
        <v>30</v>
      </c>
      <c r="G1887">
        <v>0</v>
      </c>
      <c r="H1887">
        <f>(ORDERS[[#This Row],[UnitsOrdered]]*ORDERS[[#This Row],[unit price]])-(ORDERS[[#This Row],[UnitsOrdered]]*ORDERS[[#This Row],[unit price]]*ORDERS[[#This Row],[Discount]])</f>
        <v>2040</v>
      </c>
      <c r="I1887" t="str">
        <f>VLOOKUP(ORDERS[[#This Row],[CustomerID]],customers[],2,FALSE)</f>
        <v>A Shirts Life</v>
      </c>
      <c r="J1887" s="2" t="str">
        <f>VLOOKUP(ORDERS[[#This Row],[CustomerID]],customers[],4,FALSE)</f>
        <v>Portland</v>
      </c>
      <c r="K1887" s="2" t="str">
        <f>VLOOKUP(ORDERS[[#This Row],[ProductID]],Products[],3,FALSE)</f>
        <v>Both</v>
      </c>
      <c r="L1887" s="2">
        <f>DAY(ORDERS[[#This Row],[OrderDate]])</f>
        <v>4</v>
      </c>
      <c r="M1887" s="2">
        <f>YEAR(ORDERS[[#This Row],[OrderDate]])</f>
        <v>2016</v>
      </c>
    </row>
    <row r="1888" spans="1:13" x14ac:dyDescent="0.3">
      <c r="A1888">
        <v>1887</v>
      </c>
      <c r="B1888">
        <v>2</v>
      </c>
      <c r="C1888">
        <v>10</v>
      </c>
      <c r="D1888" s="1">
        <v>42433</v>
      </c>
      <c r="E1888">
        <v>37</v>
      </c>
      <c r="F1888">
        <f>VLOOKUP(ORDERS[[#This Row],[ProductID]],Products[],4,FALSE)</f>
        <v>35</v>
      </c>
      <c r="G1888">
        <v>0.15000000599999999</v>
      </c>
      <c r="H1888">
        <f>(ORDERS[[#This Row],[UnitsOrdered]]*ORDERS[[#This Row],[unit price]])-(ORDERS[[#This Row],[UnitsOrdered]]*ORDERS[[#This Row],[unit price]]*ORDERS[[#This Row],[Discount]])</f>
        <v>1100.7499922300001</v>
      </c>
      <c r="I1888" t="str">
        <f>VLOOKUP(ORDERS[[#This Row],[CustomerID]],customers[],2,FALSE)</f>
        <v>A Shirts Life</v>
      </c>
      <c r="J1888" s="2" t="str">
        <f>VLOOKUP(ORDERS[[#This Row],[CustomerID]],customers[],4,FALSE)</f>
        <v>Portland</v>
      </c>
      <c r="K1888" s="2" t="str">
        <f>VLOOKUP(ORDERS[[#This Row],[ProductID]],Products[],3,FALSE)</f>
        <v>Male</v>
      </c>
      <c r="L1888" s="2">
        <f>DAY(ORDERS[[#This Row],[OrderDate]])</f>
        <v>4</v>
      </c>
      <c r="M1888" s="2">
        <f>YEAR(ORDERS[[#This Row],[OrderDate]])</f>
        <v>2016</v>
      </c>
    </row>
    <row r="1889" spans="1:13" x14ac:dyDescent="0.3">
      <c r="A1889">
        <v>1888</v>
      </c>
      <c r="B1889">
        <v>3</v>
      </c>
      <c r="C1889">
        <v>4</v>
      </c>
      <c r="D1889" s="1">
        <v>42433</v>
      </c>
      <c r="E1889">
        <v>145</v>
      </c>
      <c r="F1889">
        <f>VLOOKUP(ORDERS[[#This Row],[ProductID]],Products[],4,FALSE)</f>
        <v>30</v>
      </c>
      <c r="G1889">
        <v>0</v>
      </c>
      <c r="H1889">
        <f>(ORDERS[[#This Row],[UnitsOrdered]]*ORDERS[[#This Row],[unit price]])-(ORDERS[[#This Row],[UnitsOrdered]]*ORDERS[[#This Row],[unit price]]*ORDERS[[#This Row],[Discount]])</f>
        <v>4350</v>
      </c>
      <c r="I1889" t="str">
        <f>VLOOKUP(ORDERS[[#This Row],[CustomerID]],customers[],2,FALSE)</f>
        <v>Shirts R Us</v>
      </c>
      <c r="J1889" s="2" t="str">
        <f>VLOOKUP(ORDERS[[#This Row],[CustomerID]],customers[],4,FALSE)</f>
        <v>Los Angeles</v>
      </c>
      <c r="K1889" s="2" t="str">
        <f>VLOOKUP(ORDERS[[#This Row],[ProductID]],Products[],3,FALSE)</f>
        <v>Both</v>
      </c>
      <c r="L1889" s="2">
        <f>DAY(ORDERS[[#This Row],[OrderDate]])</f>
        <v>4</v>
      </c>
      <c r="M1889" s="2">
        <f>YEAR(ORDERS[[#This Row],[OrderDate]])</f>
        <v>2016</v>
      </c>
    </row>
    <row r="1890" spans="1:13" x14ac:dyDescent="0.3">
      <c r="A1890">
        <v>1889</v>
      </c>
      <c r="B1890">
        <v>3</v>
      </c>
      <c r="C1890">
        <v>10</v>
      </c>
      <c r="D1890" s="1">
        <v>42433</v>
      </c>
      <c r="E1890">
        <v>46</v>
      </c>
      <c r="F1890">
        <f>VLOOKUP(ORDERS[[#This Row],[ProductID]],Products[],4,FALSE)</f>
        <v>35</v>
      </c>
      <c r="G1890">
        <v>0</v>
      </c>
      <c r="H1890">
        <f>(ORDERS[[#This Row],[UnitsOrdered]]*ORDERS[[#This Row],[unit price]])-(ORDERS[[#This Row],[UnitsOrdered]]*ORDERS[[#This Row],[unit price]]*ORDERS[[#This Row],[Discount]])</f>
        <v>1610</v>
      </c>
      <c r="I1890" t="str">
        <f>VLOOKUP(ORDERS[[#This Row],[CustomerID]],customers[],2,FALSE)</f>
        <v>Shirts R Us</v>
      </c>
      <c r="J1890" s="2" t="str">
        <f>VLOOKUP(ORDERS[[#This Row],[CustomerID]],customers[],4,FALSE)</f>
        <v>Los Angeles</v>
      </c>
      <c r="K1890" s="2" t="str">
        <f>VLOOKUP(ORDERS[[#This Row],[ProductID]],Products[],3,FALSE)</f>
        <v>Male</v>
      </c>
      <c r="L1890" s="2">
        <f>DAY(ORDERS[[#This Row],[OrderDate]])</f>
        <v>4</v>
      </c>
      <c r="M1890" s="2">
        <f>YEAR(ORDERS[[#This Row],[OrderDate]])</f>
        <v>2016</v>
      </c>
    </row>
    <row r="1891" spans="1:13" x14ac:dyDescent="0.3">
      <c r="A1891">
        <v>1890</v>
      </c>
      <c r="B1891">
        <v>7</v>
      </c>
      <c r="C1891">
        <v>6</v>
      </c>
      <c r="D1891" s="1">
        <v>42434</v>
      </c>
      <c r="E1891">
        <v>125</v>
      </c>
      <c r="F1891">
        <f>VLOOKUP(ORDERS[[#This Row],[ProductID]],Products[],4,FALSE)</f>
        <v>28</v>
      </c>
      <c r="G1891">
        <v>0</v>
      </c>
      <c r="H1891">
        <f>(ORDERS[[#This Row],[UnitsOrdered]]*ORDERS[[#This Row],[unit price]])-(ORDERS[[#This Row],[UnitsOrdered]]*ORDERS[[#This Row],[unit price]]*ORDERS[[#This Row],[Discount]])</f>
        <v>3500</v>
      </c>
      <c r="I1891" t="str">
        <f>VLOOKUP(ORDERS[[#This Row],[CustomerID]],customers[],2,FALSE)</f>
        <v>The Shirt on Your Back</v>
      </c>
      <c r="J1891" s="2" t="str">
        <f>VLOOKUP(ORDERS[[#This Row],[CustomerID]],customers[],4,FALSE)</f>
        <v>Bonners Ferry</v>
      </c>
      <c r="K1891" s="2" t="str">
        <f>VLOOKUP(ORDERS[[#This Row],[ProductID]],Products[],3,FALSE)</f>
        <v>Female</v>
      </c>
      <c r="L1891" s="2">
        <f>DAY(ORDERS[[#This Row],[OrderDate]])</f>
        <v>5</v>
      </c>
      <c r="M1891" s="2">
        <f>YEAR(ORDERS[[#This Row],[OrderDate]])</f>
        <v>2016</v>
      </c>
    </row>
    <row r="1892" spans="1:13" x14ac:dyDescent="0.3">
      <c r="A1892">
        <v>1891</v>
      </c>
      <c r="B1892">
        <v>4</v>
      </c>
      <c r="C1892">
        <v>3</v>
      </c>
      <c r="D1892" s="1">
        <v>42437</v>
      </c>
      <c r="E1892">
        <v>48</v>
      </c>
      <c r="F1892">
        <f>VLOOKUP(ORDERS[[#This Row],[ProductID]],Products[],4,FALSE)</f>
        <v>22</v>
      </c>
      <c r="G1892">
        <v>0</v>
      </c>
      <c r="H1892">
        <f>(ORDERS[[#This Row],[UnitsOrdered]]*ORDERS[[#This Row],[unit price]])-(ORDERS[[#This Row],[UnitsOrdered]]*ORDERS[[#This Row],[unit price]]*ORDERS[[#This Row],[Discount]])</f>
        <v>1056</v>
      </c>
      <c r="I1892" t="str">
        <f>VLOOKUP(ORDERS[[#This Row],[CustomerID]],customers[],2,FALSE)</f>
        <v>Tshirt Unlimited</v>
      </c>
      <c r="J1892" s="2" t="str">
        <f>VLOOKUP(ORDERS[[#This Row],[CustomerID]],customers[],4,FALSE)</f>
        <v>Phoenix</v>
      </c>
      <c r="K1892" s="2" t="str">
        <f>VLOOKUP(ORDERS[[#This Row],[ProductID]],Products[],3,FALSE)</f>
        <v>Both</v>
      </c>
      <c r="L1892" s="2">
        <f>DAY(ORDERS[[#This Row],[OrderDate]])</f>
        <v>8</v>
      </c>
      <c r="M1892" s="2">
        <f>YEAR(ORDERS[[#This Row],[OrderDate]])</f>
        <v>2016</v>
      </c>
    </row>
    <row r="1893" spans="1:13" x14ac:dyDescent="0.3">
      <c r="A1893">
        <v>1892</v>
      </c>
      <c r="B1893">
        <v>1</v>
      </c>
      <c r="C1893">
        <v>2</v>
      </c>
      <c r="D1893" s="1">
        <v>42439</v>
      </c>
      <c r="E1893">
        <v>147</v>
      </c>
      <c r="F1893">
        <f>VLOOKUP(ORDERS[[#This Row],[ProductID]],Products[],4,FALSE)</f>
        <v>30</v>
      </c>
      <c r="G1893">
        <v>0</v>
      </c>
      <c r="H1893">
        <f>(ORDERS[[#This Row],[UnitsOrdered]]*ORDERS[[#This Row],[unit price]])-(ORDERS[[#This Row],[UnitsOrdered]]*ORDERS[[#This Row],[unit price]]*ORDERS[[#This Row],[Discount]])</f>
        <v>4410</v>
      </c>
      <c r="I1893" t="str">
        <f>VLOOKUP(ORDERS[[#This Row],[CustomerID]],customers[],2,FALSE)</f>
        <v>Threads</v>
      </c>
      <c r="J1893" s="2" t="str">
        <f>VLOOKUP(ORDERS[[#This Row],[CustomerID]],customers[],4,FALSE)</f>
        <v>Seattle</v>
      </c>
      <c r="K1893" s="2" t="str">
        <f>VLOOKUP(ORDERS[[#This Row],[ProductID]],Products[],3,FALSE)</f>
        <v>Both</v>
      </c>
      <c r="L1893" s="2">
        <f>DAY(ORDERS[[#This Row],[OrderDate]])</f>
        <v>10</v>
      </c>
      <c r="M1893" s="2">
        <f>YEAR(ORDERS[[#This Row],[OrderDate]])</f>
        <v>2016</v>
      </c>
    </row>
    <row r="1894" spans="1:13" x14ac:dyDescent="0.3">
      <c r="A1894">
        <v>1893</v>
      </c>
      <c r="B1894">
        <v>1</v>
      </c>
      <c r="C1894">
        <v>10</v>
      </c>
      <c r="D1894" s="1">
        <v>42439</v>
      </c>
      <c r="E1894">
        <v>137</v>
      </c>
      <c r="F1894">
        <f>VLOOKUP(ORDERS[[#This Row],[ProductID]],Products[],4,FALSE)</f>
        <v>35</v>
      </c>
      <c r="G1894">
        <v>5.0000001000000002E-2</v>
      </c>
      <c r="H1894">
        <f>(ORDERS[[#This Row],[UnitsOrdered]]*ORDERS[[#This Row],[unit price]])-(ORDERS[[#This Row],[UnitsOrdered]]*ORDERS[[#This Row],[unit price]]*ORDERS[[#This Row],[Discount]])</f>
        <v>4555.2499952050002</v>
      </c>
      <c r="I1894" t="str">
        <f>VLOOKUP(ORDERS[[#This Row],[CustomerID]],customers[],2,FALSE)</f>
        <v>Threads</v>
      </c>
      <c r="J1894" s="2" t="str">
        <f>VLOOKUP(ORDERS[[#This Row],[CustomerID]],customers[],4,FALSE)</f>
        <v>Seattle</v>
      </c>
      <c r="K1894" s="2" t="str">
        <f>VLOOKUP(ORDERS[[#This Row],[ProductID]],Products[],3,FALSE)</f>
        <v>Male</v>
      </c>
      <c r="L1894" s="2">
        <f>DAY(ORDERS[[#This Row],[OrderDate]])</f>
        <v>10</v>
      </c>
      <c r="M1894" s="2">
        <f>YEAR(ORDERS[[#This Row],[OrderDate]])</f>
        <v>2016</v>
      </c>
    </row>
    <row r="1895" spans="1:13" x14ac:dyDescent="0.3">
      <c r="A1895">
        <v>1894</v>
      </c>
      <c r="B1895">
        <v>5</v>
      </c>
      <c r="C1895">
        <v>5</v>
      </c>
      <c r="D1895" s="1">
        <v>42440</v>
      </c>
      <c r="E1895">
        <v>149</v>
      </c>
      <c r="F1895">
        <f>VLOOKUP(ORDERS[[#This Row],[ProductID]],Products[],4,FALSE)</f>
        <v>16</v>
      </c>
      <c r="G1895">
        <v>0.10000000100000001</v>
      </c>
      <c r="H1895">
        <f>(ORDERS[[#This Row],[UnitsOrdered]]*ORDERS[[#This Row],[unit price]])-(ORDERS[[#This Row],[UnitsOrdered]]*ORDERS[[#This Row],[unit price]]*ORDERS[[#This Row],[Discount]])</f>
        <v>2145.5999976160001</v>
      </c>
      <c r="I1895" t="str">
        <f>VLOOKUP(ORDERS[[#This Row],[CustomerID]],customers[],2,FALSE)</f>
        <v>Rags to Riches</v>
      </c>
      <c r="J1895" s="2" t="str">
        <f>VLOOKUP(ORDERS[[#This Row],[CustomerID]],customers[],4,FALSE)</f>
        <v>Las Vegas</v>
      </c>
      <c r="K1895" s="2" t="str">
        <f>VLOOKUP(ORDERS[[#This Row],[ProductID]],Products[],3,FALSE)</f>
        <v>Female</v>
      </c>
      <c r="L1895" s="2">
        <f>DAY(ORDERS[[#This Row],[OrderDate]])</f>
        <v>11</v>
      </c>
      <c r="M1895" s="2">
        <f>YEAR(ORDERS[[#This Row],[OrderDate]])</f>
        <v>2016</v>
      </c>
    </row>
    <row r="1896" spans="1:13" x14ac:dyDescent="0.3">
      <c r="A1896">
        <v>1895</v>
      </c>
      <c r="B1896">
        <v>6</v>
      </c>
      <c r="C1896">
        <v>1</v>
      </c>
      <c r="D1896" s="1">
        <v>42440</v>
      </c>
      <c r="E1896">
        <v>57</v>
      </c>
      <c r="F1896">
        <f>VLOOKUP(ORDERS[[#This Row],[ProductID]],Products[],4,FALSE)</f>
        <v>20</v>
      </c>
      <c r="G1896">
        <v>0</v>
      </c>
      <c r="H1896">
        <f>(ORDERS[[#This Row],[UnitsOrdered]]*ORDERS[[#This Row],[unit price]])-(ORDERS[[#This Row],[UnitsOrdered]]*ORDERS[[#This Row],[unit price]]*ORDERS[[#This Row],[Discount]])</f>
        <v>1140</v>
      </c>
      <c r="I1896" t="str">
        <f>VLOOKUP(ORDERS[[#This Row],[CustomerID]],customers[],2,FALSE)</f>
        <v>Abracadaba Ink</v>
      </c>
      <c r="J1896" s="2" t="str">
        <f>VLOOKUP(ORDERS[[#This Row],[CustomerID]],customers[],4,FALSE)</f>
        <v>Salt Lake City</v>
      </c>
      <c r="K1896" s="2" t="str">
        <f>VLOOKUP(ORDERS[[#This Row],[ProductID]],Products[],3,FALSE)</f>
        <v>Both</v>
      </c>
      <c r="L1896" s="2">
        <f>DAY(ORDERS[[#This Row],[OrderDate]])</f>
        <v>11</v>
      </c>
      <c r="M1896" s="2">
        <f>YEAR(ORDERS[[#This Row],[OrderDate]])</f>
        <v>2016</v>
      </c>
    </row>
    <row r="1897" spans="1:13" x14ac:dyDescent="0.3">
      <c r="A1897">
        <v>1896</v>
      </c>
      <c r="B1897">
        <v>7</v>
      </c>
      <c r="C1897">
        <v>9</v>
      </c>
      <c r="D1897" s="1">
        <v>42440</v>
      </c>
      <c r="E1897">
        <v>97</v>
      </c>
      <c r="F1897">
        <f>VLOOKUP(ORDERS[[#This Row],[ProductID]],Products[],4,FALSE)</f>
        <v>25</v>
      </c>
      <c r="G1897">
        <v>0</v>
      </c>
      <c r="H1897">
        <f>(ORDERS[[#This Row],[UnitsOrdered]]*ORDERS[[#This Row],[unit price]])-(ORDERS[[#This Row],[UnitsOrdered]]*ORDERS[[#This Row],[unit price]]*ORDERS[[#This Row],[Discount]])</f>
        <v>2425</v>
      </c>
      <c r="I1897" t="str">
        <f>VLOOKUP(ORDERS[[#This Row],[CustomerID]],customers[],2,FALSE)</f>
        <v>The Shirt on Your Back</v>
      </c>
      <c r="J1897" s="2" t="str">
        <f>VLOOKUP(ORDERS[[#This Row],[CustomerID]],customers[],4,FALSE)</f>
        <v>Bonners Ferry</v>
      </c>
      <c r="K1897" s="2" t="str">
        <f>VLOOKUP(ORDERS[[#This Row],[ProductID]],Products[],3,FALSE)</f>
        <v>Male</v>
      </c>
      <c r="L1897" s="2">
        <f>DAY(ORDERS[[#This Row],[OrderDate]])</f>
        <v>11</v>
      </c>
      <c r="M1897" s="2">
        <f>YEAR(ORDERS[[#This Row],[OrderDate]])</f>
        <v>2016</v>
      </c>
    </row>
    <row r="1898" spans="1:13" x14ac:dyDescent="0.3">
      <c r="A1898">
        <v>1897</v>
      </c>
      <c r="B1898">
        <v>2</v>
      </c>
      <c r="C1898">
        <v>1</v>
      </c>
      <c r="D1898" s="1">
        <v>42441</v>
      </c>
      <c r="E1898">
        <v>41</v>
      </c>
      <c r="F1898">
        <f>VLOOKUP(ORDERS[[#This Row],[ProductID]],Products[],4,FALSE)</f>
        <v>20</v>
      </c>
      <c r="G1898">
        <v>0</v>
      </c>
      <c r="H1898">
        <f>(ORDERS[[#This Row],[UnitsOrdered]]*ORDERS[[#This Row],[unit price]])-(ORDERS[[#This Row],[UnitsOrdered]]*ORDERS[[#This Row],[unit price]]*ORDERS[[#This Row],[Discount]])</f>
        <v>820</v>
      </c>
      <c r="I1898" t="str">
        <f>VLOOKUP(ORDERS[[#This Row],[CustomerID]],customers[],2,FALSE)</f>
        <v>A Shirts Life</v>
      </c>
      <c r="J1898" s="2" t="str">
        <f>VLOOKUP(ORDERS[[#This Row],[CustomerID]],customers[],4,FALSE)</f>
        <v>Portland</v>
      </c>
      <c r="K1898" s="2" t="str">
        <f>VLOOKUP(ORDERS[[#This Row],[ProductID]],Products[],3,FALSE)</f>
        <v>Both</v>
      </c>
      <c r="L1898" s="2">
        <f>DAY(ORDERS[[#This Row],[OrderDate]])</f>
        <v>12</v>
      </c>
      <c r="M1898" s="2">
        <f>YEAR(ORDERS[[#This Row],[OrderDate]])</f>
        <v>2016</v>
      </c>
    </row>
    <row r="1899" spans="1:13" x14ac:dyDescent="0.3">
      <c r="A1899">
        <v>1898</v>
      </c>
      <c r="B1899">
        <v>5</v>
      </c>
      <c r="C1899">
        <v>6</v>
      </c>
      <c r="D1899" s="1">
        <v>42441</v>
      </c>
      <c r="E1899">
        <v>51</v>
      </c>
      <c r="F1899">
        <f>VLOOKUP(ORDERS[[#This Row],[ProductID]],Products[],4,FALSE)</f>
        <v>28</v>
      </c>
      <c r="G1899">
        <v>0</v>
      </c>
      <c r="H1899">
        <f>(ORDERS[[#This Row],[UnitsOrdered]]*ORDERS[[#This Row],[unit price]])-(ORDERS[[#This Row],[UnitsOrdered]]*ORDERS[[#This Row],[unit price]]*ORDERS[[#This Row],[Discount]])</f>
        <v>1428</v>
      </c>
      <c r="I1899" t="str">
        <f>VLOOKUP(ORDERS[[#This Row],[CustomerID]],customers[],2,FALSE)</f>
        <v>Rags to Riches</v>
      </c>
      <c r="J1899" s="2" t="str">
        <f>VLOOKUP(ORDERS[[#This Row],[CustomerID]],customers[],4,FALSE)</f>
        <v>Las Vegas</v>
      </c>
      <c r="K1899" s="2" t="str">
        <f>VLOOKUP(ORDERS[[#This Row],[ProductID]],Products[],3,FALSE)</f>
        <v>Female</v>
      </c>
      <c r="L1899" s="2">
        <f>DAY(ORDERS[[#This Row],[OrderDate]])</f>
        <v>12</v>
      </c>
      <c r="M1899" s="2">
        <f>YEAR(ORDERS[[#This Row],[OrderDate]])</f>
        <v>2016</v>
      </c>
    </row>
    <row r="1900" spans="1:13" x14ac:dyDescent="0.3">
      <c r="A1900">
        <v>1899</v>
      </c>
      <c r="B1900">
        <v>5</v>
      </c>
      <c r="C1900">
        <v>7</v>
      </c>
      <c r="D1900" s="1">
        <v>42443</v>
      </c>
      <c r="E1900">
        <v>36</v>
      </c>
      <c r="F1900">
        <f>VLOOKUP(ORDERS[[#This Row],[ProductID]],Products[],4,FALSE)</f>
        <v>38</v>
      </c>
      <c r="G1900">
        <v>0</v>
      </c>
      <c r="H1900">
        <f>(ORDERS[[#This Row],[UnitsOrdered]]*ORDERS[[#This Row],[unit price]])-(ORDERS[[#This Row],[UnitsOrdered]]*ORDERS[[#This Row],[unit price]]*ORDERS[[#This Row],[Discount]])</f>
        <v>1368</v>
      </c>
      <c r="I1900" t="str">
        <f>VLOOKUP(ORDERS[[#This Row],[CustomerID]],customers[],2,FALSE)</f>
        <v>Rags to Riches</v>
      </c>
      <c r="J1900" s="2" t="str">
        <f>VLOOKUP(ORDERS[[#This Row],[CustomerID]],customers[],4,FALSE)</f>
        <v>Las Vegas</v>
      </c>
      <c r="K1900" s="2" t="str">
        <f>VLOOKUP(ORDERS[[#This Row],[ProductID]],Products[],3,FALSE)</f>
        <v>Female</v>
      </c>
      <c r="L1900" s="2">
        <f>DAY(ORDERS[[#This Row],[OrderDate]])</f>
        <v>14</v>
      </c>
      <c r="M1900" s="2">
        <f>YEAR(ORDERS[[#This Row],[OrderDate]])</f>
        <v>2016</v>
      </c>
    </row>
    <row r="1901" spans="1:13" x14ac:dyDescent="0.3">
      <c r="A1901">
        <v>1900</v>
      </c>
      <c r="B1901">
        <v>3</v>
      </c>
      <c r="C1901">
        <v>7</v>
      </c>
      <c r="D1901" s="1">
        <v>42444</v>
      </c>
      <c r="E1901">
        <v>76</v>
      </c>
      <c r="F1901">
        <f>VLOOKUP(ORDERS[[#This Row],[ProductID]],Products[],4,FALSE)</f>
        <v>38</v>
      </c>
      <c r="G1901">
        <v>0</v>
      </c>
      <c r="H1901">
        <f>(ORDERS[[#This Row],[UnitsOrdered]]*ORDERS[[#This Row],[unit price]])-(ORDERS[[#This Row],[UnitsOrdered]]*ORDERS[[#This Row],[unit price]]*ORDERS[[#This Row],[Discount]])</f>
        <v>2888</v>
      </c>
      <c r="I1901" t="str">
        <f>VLOOKUP(ORDERS[[#This Row],[CustomerID]],customers[],2,FALSE)</f>
        <v>Shirts R Us</v>
      </c>
      <c r="J1901" s="2" t="str">
        <f>VLOOKUP(ORDERS[[#This Row],[CustomerID]],customers[],4,FALSE)</f>
        <v>Los Angeles</v>
      </c>
      <c r="K1901" s="2" t="str">
        <f>VLOOKUP(ORDERS[[#This Row],[ProductID]],Products[],3,FALSE)</f>
        <v>Female</v>
      </c>
      <c r="L1901" s="2">
        <f>DAY(ORDERS[[#This Row],[OrderDate]])</f>
        <v>15</v>
      </c>
      <c r="M1901" s="2">
        <f>YEAR(ORDERS[[#This Row],[OrderDate]])</f>
        <v>2016</v>
      </c>
    </row>
    <row r="1902" spans="1:13" x14ac:dyDescent="0.3">
      <c r="A1902">
        <v>1901</v>
      </c>
      <c r="B1902">
        <v>4</v>
      </c>
      <c r="C1902">
        <v>4</v>
      </c>
      <c r="D1902" s="1">
        <v>42444</v>
      </c>
      <c r="E1902">
        <v>56</v>
      </c>
      <c r="F1902">
        <f>VLOOKUP(ORDERS[[#This Row],[ProductID]],Products[],4,FALSE)</f>
        <v>30</v>
      </c>
      <c r="G1902">
        <v>0</v>
      </c>
      <c r="H1902">
        <f>(ORDERS[[#This Row],[UnitsOrdered]]*ORDERS[[#This Row],[unit price]])-(ORDERS[[#This Row],[UnitsOrdered]]*ORDERS[[#This Row],[unit price]]*ORDERS[[#This Row],[Discount]])</f>
        <v>1680</v>
      </c>
      <c r="I1902" t="str">
        <f>VLOOKUP(ORDERS[[#This Row],[CustomerID]],customers[],2,FALSE)</f>
        <v>Tshirt Unlimited</v>
      </c>
      <c r="J1902" s="2" t="str">
        <f>VLOOKUP(ORDERS[[#This Row],[CustomerID]],customers[],4,FALSE)</f>
        <v>Phoenix</v>
      </c>
      <c r="K1902" s="2" t="str">
        <f>VLOOKUP(ORDERS[[#This Row],[ProductID]],Products[],3,FALSE)</f>
        <v>Both</v>
      </c>
      <c r="L1902" s="2">
        <f>DAY(ORDERS[[#This Row],[OrderDate]])</f>
        <v>15</v>
      </c>
      <c r="M1902" s="2">
        <f>YEAR(ORDERS[[#This Row],[OrderDate]])</f>
        <v>2016</v>
      </c>
    </row>
    <row r="1903" spans="1:13" x14ac:dyDescent="0.3">
      <c r="A1903">
        <v>1902</v>
      </c>
      <c r="B1903">
        <v>6</v>
      </c>
      <c r="C1903">
        <v>3</v>
      </c>
      <c r="D1903" s="1">
        <v>42444</v>
      </c>
      <c r="E1903">
        <v>86</v>
      </c>
      <c r="F1903">
        <f>VLOOKUP(ORDERS[[#This Row],[ProductID]],Products[],4,FALSE)</f>
        <v>22</v>
      </c>
      <c r="G1903">
        <v>5.0000001000000002E-2</v>
      </c>
      <c r="H1903">
        <f>(ORDERS[[#This Row],[UnitsOrdered]]*ORDERS[[#This Row],[unit price]])-(ORDERS[[#This Row],[UnitsOrdered]]*ORDERS[[#This Row],[unit price]]*ORDERS[[#This Row],[Discount]])</f>
        <v>1797.3999981080001</v>
      </c>
      <c r="I1903" t="str">
        <f>VLOOKUP(ORDERS[[#This Row],[CustomerID]],customers[],2,FALSE)</f>
        <v>Abracadaba Ink</v>
      </c>
      <c r="J1903" s="2" t="str">
        <f>VLOOKUP(ORDERS[[#This Row],[CustomerID]],customers[],4,FALSE)</f>
        <v>Salt Lake City</v>
      </c>
      <c r="K1903" s="2" t="str">
        <f>VLOOKUP(ORDERS[[#This Row],[ProductID]],Products[],3,FALSE)</f>
        <v>Both</v>
      </c>
      <c r="L1903" s="2">
        <f>DAY(ORDERS[[#This Row],[OrderDate]])</f>
        <v>15</v>
      </c>
      <c r="M1903" s="2">
        <f>YEAR(ORDERS[[#This Row],[OrderDate]])</f>
        <v>2016</v>
      </c>
    </row>
    <row r="1904" spans="1:13" x14ac:dyDescent="0.3">
      <c r="A1904">
        <v>1903</v>
      </c>
      <c r="B1904">
        <v>7</v>
      </c>
      <c r="C1904">
        <v>5</v>
      </c>
      <c r="D1904" s="1">
        <v>42444</v>
      </c>
      <c r="E1904">
        <v>103</v>
      </c>
      <c r="F1904">
        <f>VLOOKUP(ORDERS[[#This Row],[ProductID]],Products[],4,FALSE)</f>
        <v>16</v>
      </c>
      <c r="G1904">
        <v>0</v>
      </c>
      <c r="H1904">
        <f>(ORDERS[[#This Row],[UnitsOrdered]]*ORDERS[[#This Row],[unit price]])-(ORDERS[[#This Row],[UnitsOrdered]]*ORDERS[[#This Row],[unit price]]*ORDERS[[#This Row],[Discount]])</f>
        <v>1648</v>
      </c>
      <c r="I1904" t="str">
        <f>VLOOKUP(ORDERS[[#This Row],[CustomerID]],customers[],2,FALSE)</f>
        <v>The Shirt on Your Back</v>
      </c>
      <c r="J1904" s="2" t="str">
        <f>VLOOKUP(ORDERS[[#This Row],[CustomerID]],customers[],4,FALSE)</f>
        <v>Bonners Ferry</v>
      </c>
      <c r="K1904" s="2" t="str">
        <f>VLOOKUP(ORDERS[[#This Row],[ProductID]],Products[],3,FALSE)</f>
        <v>Female</v>
      </c>
      <c r="L1904" s="2">
        <f>DAY(ORDERS[[#This Row],[OrderDate]])</f>
        <v>15</v>
      </c>
      <c r="M1904" s="2">
        <f>YEAR(ORDERS[[#This Row],[OrderDate]])</f>
        <v>2016</v>
      </c>
    </row>
    <row r="1905" spans="1:13" x14ac:dyDescent="0.3">
      <c r="A1905">
        <v>1904</v>
      </c>
      <c r="B1905">
        <v>3</v>
      </c>
      <c r="C1905">
        <v>2</v>
      </c>
      <c r="D1905" s="1">
        <v>42445</v>
      </c>
      <c r="E1905">
        <v>48</v>
      </c>
      <c r="F1905">
        <f>VLOOKUP(ORDERS[[#This Row],[ProductID]],Products[],4,FALSE)</f>
        <v>30</v>
      </c>
      <c r="G1905">
        <v>5.0000001000000002E-2</v>
      </c>
      <c r="H1905">
        <f>(ORDERS[[#This Row],[UnitsOrdered]]*ORDERS[[#This Row],[unit price]])-(ORDERS[[#This Row],[UnitsOrdered]]*ORDERS[[#This Row],[unit price]]*ORDERS[[#This Row],[Discount]])</f>
        <v>1367.99999856</v>
      </c>
      <c r="I1905" t="str">
        <f>VLOOKUP(ORDERS[[#This Row],[CustomerID]],customers[],2,FALSE)</f>
        <v>Shirts R Us</v>
      </c>
      <c r="J1905" s="2" t="str">
        <f>VLOOKUP(ORDERS[[#This Row],[CustomerID]],customers[],4,FALSE)</f>
        <v>Los Angeles</v>
      </c>
      <c r="K1905" s="2" t="str">
        <f>VLOOKUP(ORDERS[[#This Row],[ProductID]],Products[],3,FALSE)</f>
        <v>Both</v>
      </c>
      <c r="L1905" s="2">
        <f>DAY(ORDERS[[#This Row],[OrderDate]])</f>
        <v>16</v>
      </c>
      <c r="M1905" s="2">
        <f>YEAR(ORDERS[[#This Row],[OrderDate]])</f>
        <v>2016</v>
      </c>
    </row>
    <row r="1906" spans="1:13" x14ac:dyDescent="0.3">
      <c r="A1906">
        <v>1905</v>
      </c>
      <c r="B1906">
        <v>3</v>
      </c>
      <c r="C1906">
        <v>4</v>
      </c>
      <c r="D1906" s="1">
        <v>42446</v>
      </c>
      <c r="E1906">
        <v>67</v>
      </c>
      <c r="F1906">
        <f>VLOOKUP(ORDERS[[#This Row],[ProductID]],Products[],4,FALSE)</f>
        <v>30</v>
      </c>
      <c r="G1906">
        <v>0</v>
      </c>
      <c r="H1906">
        <f>(ORDERS[[#This Row],[UnitsOrdered]]*ORDERS[[#This Row],[unit price]])-(ORDERS[[#This Row],[UnitsOrdered]]*ORDERS[[#This Row],[unit price]]*ORDERS[[#This Row],[Discount]])</f>
        <v>2010</v>
      </c>
      <c r="I1906" t="str">
        <f>VLOOKUP(ORDERS[[#This Row],[CustomerID]],customers[],2,FALSE)</f>
        <v>Shirts R Us</v>
      </c>
      <c r="J1906" s="2" t="str">
        <f>VLOOKUP(ORDERS[[#This Row],[CustomerID]],customers[],4,FALSE)</f>
        <v>Los Angeles</v>
      </c>
      <c r="K1906" s="2" t="str">
        <f>VLOOKUP(ORDERS[[#This Row],[ProductID]],Products[],3,FALSE)</f>
        <v>Both</v>
      </c>
      <c r="L1906" s="2">
        <f>DAY(ORDERS[[#This Row],[OrderDate]])</f>
        <v>17</v>
      </c>
      <c r="M1906" s="2">
        <f>YEAR(ORDERS[[#This Row],[OrderDate]])</f>
        <v>2016</v>
      </c>
    </row>
    <row r="1907" spans="1:13" x14ac:dyDescent="0.3">
      <c r="A1907">
        <v>1906</v>
      </c>
      <c r="B1907">
        <v>5</v>
      </c>
      <c r="C1907">
        <v>1</v>
      </c>
      <c r="D1907" s="1">
        <v>42446</v>
      </c>
      <c r="E1907">
        <v>63</v>
      </c>
      <c r="F1907">
        <f>VLOOKUP(ORDERS[[#This Row],[ProductID]],Products[],4,FALSE)</f>
        <v>20</v>
      </c>
      <c r="G1907">
        <v>0</v>
      </c>
      <c r="H1907">
        <f>(ORDERS[[#This Row],[UnitsOrdered]]*ORDERS[[#This Row],[unit price]])-(ORDERS[[#This Row],[UnitsOrdered]]*ORDERS[[#This Row],[unit price]]*ORDERS[[#This Row],[Discount]])</f>
        <v>1260</v>
      </c>
      <c r="I1907" t="str">
        <f>VLOOKUP(ORDERS[[#This Row],[CustomerID]],customers[],2,FALSE)</f>
        <v>Rags to Riches</v>
      </c>
      <c r="J1907" s="2" t="str">
        <f>VLOOKUP(ORDERS[[#This Row],[CustomerID]],customers[],4,FALSE)</f>
        <v>Las Vegas</v>
      </c>
      <c r="K1907" s="2" t="str">
        <f>VLOOKUP(ORDERS[[#This Row],[ProductID]],Products[],3,FALSE)</f>
        <v>Both</v>
      </c>
      <c r="L1907" s="2">
        <f>DAY(ORDERS[[#This Row],[OrderDate]])</f>
        <v>17</v>
      </c>
      <c r="M1907" s="2">
        <f>YEAR(ORDERS[[#This Row],[OrderDate]])</f>
        <v>2016</v>
      </c>
    </row>
    <row r="1908" spans="1:13" x14ac:dyDescent="0.3">
      <c r="A1908">
        <v>1907</v>
      </c>
      <c r="B1908">
        <v>7</v>
      </c>
      <c r="C1908">
        <v>1</v>
      </c>
      <c r="D1908" s="1">
        <v>42446</v>
      </c>
      <c r="E1908">
        <v>119</v>
      </c>
      <c r="F1908">
        <f>VLOOKUP(ORDERS[[#This Row],[ProductID]],Products[],4,FALSE)</f>
        <v>20</v>
      </c>
      <c r="G1908">
        <v>0</v>
      </c>
      <c r="H1908">
        <f>(ORDERS[[#This Row],[UnitsOrdered]]*ORDERS[[#This Row],[unit price]])-(ORDERS[[#This Row],[UnitsOrdered]]*ORDERS[[#This Row],[unit price]]*ORDERS[[#This Row],[Discount]])</f>
        <v>2380</v>
      </c>
      <c r="I1908" t="str">
        <f>VLOOKUP(ORDERS[[#This Row],[CustomerID]],customers[],2,FALSE)</f>
        <v>The Shirt on Your Back</v>
      </c>
      <c r="J1908" s="2" t="str">
        <f>VLOOKUP(ORDERS[[#This Row],[CustomerID]],customers[],4,FALSE)</f>
        <v>Bonners Ferry</v>
      </c>
      <c r="K1908" s="2" t="str">
        <f>VLOOKUP(ORDERS[[#This Row],[ProductID]],Products[],3,FALSE)</f>
        <v>Both</v>
      </c>
      <c r="L1908" s="2">
        <f>DAY(ORDERS[[#This Row],[OrderDate]])</f>
        <v>17</v>
      </c>
      <c r="M1908" s="2">
        <f>YEAR(ORDERS[[#This Row],[OrderDate]])</f>
        <v>2016</v>
      </c>
    </row>
    <row r="1909" spans="1:13" x14ac:dyDescent="0.3">
      <c r="A1909">
        <v>1908</v>
      </c>
      <c r="B1909">
        <v>7</v>
      </c>
      <c r="C1909">
        <v>4</v>
      </c>
      <c r="D1909" s="1">
        <v>42447</v>
      </c>
      <c r="E1909">
        <v>149</v>
      </c>
      <c r="F1909">
        <f>VLOOKUP(ORDERS[[#This Row],[ProductID]],Products[],4,FALSE)</f>
        <v>30</v>
      </c>
      <c r="G1909">
        <v>0</v>
      </c>
      <c r="H1909">
        <f>(ORDERS[[#This Row],[UnitsOrdered]]*ORDERS[[#This Row],[unit price]])-(ORDERS[[#This Row],[UnitsOrdered]]*ORDERS[[#This Row],[unit price]]*ORDERS[[#This Row],[Discount]])</f>
        <v>4470</v>
      </c>
      <c r="I1909" t="str">
        <f>VLOOKUP(ORDERS[[#This Row],[CustomerID]],customers[],2,FALSE)</f>
        <v>The Shirt on Your Back</v>
      </c>
      <c r="J1909" s="2" t="str">
        <f>VLOOKUP(ORDERS[[#This Row],[CustomerID]],customers[],4,FALSE)</f>
        <v>Bonners Ferry</v>
      </c>
      <c r="K1909" s="2" t="str">
        <f>VLOOKUP(ORDERS[[#This Row],[ProductID]],Products[],3,FALSE)</f>
        <v>Both</v>
      </c>
      <c r="L1909" s="2">
        <f>DAY(ORDERS[[#This Row],[OrderDate]])</f>
        <v>18</v>
      </c>
      <c r="M1909" s="2">
        <f>YEAR(ORDERS[[#This Row],[OrderDate]])</f>
        <v>2016</v>
      </c>
    </row>
    <row r="1910" spans="1:13" x14ac:dyDescent="0.3">
      <c r="A1910">
        <v>1909</v>
      </c>
      <c r="B1910">
        <v>1</v>
      </c>
      <c r="C1910">
        <v>2</v>
      </c>
      <c r="D1910" s="1">
        <v>42450</v>
      </c>
      <c r="E1910">
        <v>112</v>
      </c>
      <c r="F1910">
        <f>VLOOKUP(ORDERS[[#This Row],[ProductID]],Products[],4,FALSE)</f>
        <v>30</v>
      </c>
      <c r="G1910">
        <v>0</v>
      </c>
      <c r="H1910">
        <f>(ORDERS[[#This Row],[UnitsOrdered]]*ORDERS[[#This Row],[unit price]])-(ORDERS[[#This Row],[UnitsOrdered]]*ORDERS[[#This Row],[unit price]]*ORDERS[[#This Row],[Discount]])</f>
        <v>3360</v>
      </c>
      <c r="I1910" t="str">
        <f>VLOOKUP(ORDERS[[#This Row],[CustomerID]],customers[],2,FALSE)</f>
        <v>Threads</v>
      </c>
      <c r="J1910" s="2" t="str">
        <f>VLOOKUP(ORDERS[[#This Row],[CustomerID]],customers[],4,FALSE)</f>
        <v>Seattle</v>
      </c>
      <c r="K1910" s="2" t="str">
        <f>VLOOKUP(ORDERS[[#This Row],[ProductID]],Products[],3,FALSE)</f>
        <v>Both</v>
      </c>
      <c r="L1910" s="2">
        <f>DAY(ORDERS[[#This Row],[OrderDate]])</f>
        <v>21</v>
      </c>
      <c r="M1910" s="2">
        <f>YEAR(ORDERS[[#This Row],[OrderDate]])</f>
        <v>2016</v>
      </c>
    </row>
    <row r="1911" spans="1:13" x14ac:dyDescent="0.3">
      <c r="A1911">
        <v>1910</v>
      </c>
      <c r="B1911">
        <v>5</v>
      </c>
      <c r="C1911">
        <v>9</v>
      </c>
      <c r="D1911" s="1">
        <v>42450</v>
      </c>
      <c r="E1911">
        <v>130</v>
      </c>
      <c r="F1911">
        <f>VLOOKUP(ORDERS[[#This Row],[ProductID]],Products[],4,FALSE)</f>
        <v>25</v>
      </c>
      <c r="G1911">
        <v>5.0000001000000002E-2</v>
      </c>
      <c r="H1911">
        <f>(ORDERS[[#This Row],[UnitsOrdered]]*ORDERS[[#This Row],[unit price]])-(ORDERS[[#This Row],[UnitsOrdered]]*ORDERS[[#This Row],[unit price]]*ORDERS[[#This Row],[Discount]])</f>
        <v>3087.4999967499998</v>
      </c>
      <c r="I1911" t="str">
        <f>VLOOKUP(ORDERS[[#This Row],[CustomerID]],customers[],2,FALSE)</f>
        <v>Rags to Riches</v>
      </c>
      <c r="J1911" s="2" t="str">
        <f>VLOOKUP(ORDERS[[#This Row],[CustomerID]],customers[],4,FALSE)</f>
        <v>Las Vegas</v>
      </c>
      <c r="K1911" s="2" t="str">
        <f>VLOOKUP(ORDERS[[#This Row],[ProductID]],Products[],3,FALSE)</f>
        <v>Male</v>
      </c>
      <c r="L1911" s="2">
        <f>DAY(ORDERS[[#This Row],[OrderDate]])</f>
        <v>21</v>
      </c>
      <c r="M1911" s="2">
        <f>YEAR(ORDERS[[#This Row],[OrderDate]])</f>
        <v>2016</v>
      </c>
    </row>
    <row r="1912" spans="1:13" x14ac:dyDescent="0.3">
      <c r="A1912">
        <v>1911</v>
      </c>
      <c r="B1912">
        <v>2</v>
      </c>
      <c r="C1912">
        <v>10</v>
      </c>
      <c r="D1912" s="1">
        <v>42453</v>
      </c>
      <c r="E1912">
        <v>136</v>
      </c>
      <c r="F1912">
        <f>VLOOKUP(ORDERS[[#This Row],[ProductID]],Products[],4,FALSE)</f>
        <v>35</v>
      </c>
      <c r="G1912">
        <v>0</v>
      </c>
      <c r="H1912">
        <f>(ORDERS[[#This Row],[UnitsOrdered]]*ORDERS[[#This Row],[unit price]])-(ORDERS[[#This Row],[UnitsOrdered]]*ORDERS[[#This Row],[unit price]]*ORDERS[[#This Row],[Discount]])</f>
        <v>4760</v>
      </c>
      <c r="I1912" t="str">
        <f>VLOOKUP(ORDERS[[#This Row],[CustomerID]],customers[],2,FALSE)</f>
        <v>A Shirts Life</v>
      </c>
      <c r="J1912" s="2" t="str">
        <f>VLOOKUP(ORDERS[[#This Row],[CustomerID]],customers[],4,FALSE)</f>
        <v>Portland</v>
      </c>
      <c r="K1912" s="2" t="str">
        <f>VLOOKUP(ORDERS[[#This Row],[ProductID]],Products[],3,FALSE)</f>
        <v>Male</v>
      </c>
      <c r="L1912" s="2">
        <f>DAY(ORDERS[[#This Row],[OrderDate]])</f>
        <v>24</v>
      </c>
      <c r="M1912" s="2">
        <f>YEAR(ORDERS[[#This Row],[OrderDate]])</f>
        <v>2016</v>
      </c>
    </row>
    <row r="1913" spans="1:13" x14ac:dyDescent="0.3">
      <c r="A1913">
        <v>1912</v>
      </c>
      <c r="B1913">
        <v>4</v>
      </c>
      <c r="C1913">
        <v>5</v>
      </c>
      <c r="D1913" s="1">
        <v>42453</v>
      </c>
      <c r="E1913">
        <v>58</v>
      </c>
      <c r="F1913">
        <f>VLOOKUP(ORDERS[[#This Row],[ProductID]],Products[],4,FALSE)</f>
        <v>16</v>
      </c>
      <c r="G1913">
        <v>0</v>
      </c>
      <c r="H1913">
        <f>(ORDERS[[#This Row],[UnitsOrdered]]*ORDERS[[#This Row],[unit price]])-(ORDERS[[#This Row],[UnitsOrdered]]*ORDERS[[#This Row],[unit price]]*ORDERS[[#This Row],[Discount]])</f>
        <v>928</v>
      </c>
      <c r="I1913" t="str">
        <f>VLOOKUP(ORDERS[[#This Row],[CustomerID]],customers[],2,FALSE)</f>
        <v>Tshirt Unlimited</v>
      </c>
      <c r="J1913" s="2" t="str">
        <f>VLOOKUP(ORDERS[[#This Row],[CustomerID]],customers[],4,FALSE)</f>
        <v>Phoenix</v>
      </c>
      <c r="K1913" s="2" t="str">
        <f>VLOOKUP(ORDERS[[#This Row],[ProductID]],Products[],3,FALSE)</f>
        <v>Female</v>
      </c>
      <c r="L1913" s="2">
        <f>DAY(ORDERS[[#This Row],[OrderDate]])</f>
        <v>24</v>
      </c>
      <c r="M1913" s="2">
        <f>YEAR(ORDERS[[#This Row],[OrderDate]])</f>
        <v>2016</v>
      </c>
    </row>
    <row r="1914" spans="1:13" x14ac:dyDescent="0.3">
      <c r="A1914">
        <v>1913</v>
      </c>
      <c r="B1914">
        <v>1</v>
      </c>
      <c r="C1914">
        <v>2</v>
      </c>
      <c r="D1914" s="1">
        <v>42454</v>
      </c>
      <c r="E1914">
        <v>132</v>
      </c>
      <c r="F1914">
        <f>VLOOKUP(ORDERS[[#This Row],[ProductID]],Products[],4,FALSE)</f>
        <v>30</v>
      </c>
      <c r="G1914">
        <v>0</v>
      </c>
      <c r="H1914">
        <f>(ORDERS[[#This Row],[UnitsOrdered]]*ORDERS[[#This Row],[unit price]])-(ORDERS[[#This Row],[UnitsOrdered]]*ORDERS[[#This Row],[unit price]]*ORDERS[[#This Row],[Discount]])</f>
        <v>3960</v>
      </c>
      <c r="I1914" t="str">
        <f>VLOOKUP(ORDERS[[#This Row],[CustomerID]],customers[],2,FALSE)</f>
        <v>Threads</v>
      </c>
      <c r="J1914" s="2" t="str">
        <f>VLOOKUP(ORDERS[[#This Row],[CustomerID]],customers[],4,FALSE)</f>
        <v>Seattle</v>
      </c>
      <c r="K1914" s="2" t="str">
        <f>VLOOKUP(ORDERS[[#This Row],[ProductID]],Products[],3,FALSE)</f>
        <v>Both</v>
      </c>
      <c r="L1914" s="2">
        <f>DAY(ORDERS[[#This Row],[OrderDate]])</f>
        <v>25</v>
      </c>
      <c r="M1914" s="2">
        <f>YEAR(ORDERS[[#This Row],[OrderDate]])</f>
        <v>2016</v>
      </c>
    </row>
    <row r="1915" spans="1:13" x14ac:dyDescent="0.3">
      <c r="A1915">
        <v>1914</v>
      </c>
      <c r="B1915">
        <v>2</v>
      </c>
      <c r="C1915">
        <v>5</v>
      </c>
      <c r="D1915" s="1">
        <v>42455</v>
      </c>
      <c r="E1915">
        <v>80</v>
      </c>
      <c r="F1915">
        <f>VLOOKUP(ORDERS[[#This Row],[ProductID]],Products[],4,FALSE)</f>
        <v>16</v>
      </c>
      <c r="G1915">
        <v>0</v>
      </c>
      <c r="H1915">
        <f>(ORDERS[[#This Row],[UnitsOrdered]]*ORDERS[[#This Row],[unit price]])-(ORDERS[[#This Row],[UnitsOrdered]]*ORDERS[[#This Row],[unit price]]*ORDERS[[#This Row],[Discount]])</f>
        <v>1280</v>
      </c>
      <c r="I1915" t="str">
        <f>VLOOKUP(ORDERS[[#This Row],[CustomerID]],customers[],2,FALSE)</f>
        <v>A Shirts Life</v>
      </c>
      <c r="J1915" s="2" t="str">
        <f>VLOOKUP(ORDERS[[#This Row],[CustomerID]],customers[],4,FALSE)</f>
        <v>Portland</v>
      </c>
      <c r="K1915" s="2" t="str">
        <f>VLOOKUP(ORDERS[[#This Row],[ProductID]],Products[],3,FALSE)</f>
        <v>Female</v>
      </c>
      <c r="L1915" s="2">
        <f>DAY(ORDERS[[#This Row],[OrderDate]])</f>
        <v>26</v>
      </c>
      <c r="M1915" s="2">
        <f>YEAR(ORDERS[[#This Row],[OrderDate]])</f>
        <v>2016</v>
      </c>
    </row>
    <row r="1916" spans="1:13" x14ac:dyDescent="0.3">
      <c r="A1916">
        <v>1915</v>
      </c>
      <c r="B1916">
        <v>4</v>
      </c>
      <c r="C1916">
        <v>5</v>
      </c>
      <c r="D1916" s="1">
        <v>42455</v>
      </c>
      <c r="E1916">
        <v>113</v>
      </c>
      <c r="F1916">
        <f>VLOOKUP(ORDERS[[#This Row],[ProductID]],Products[],4,FALSE)</f>
        <v>16</v>
      </c>
      <c r="G1916">
        <v>0</v>
      </c>
      <c r="H1916">
        <f>(ORDERS[[#This Row],[UnitsOrdered]]*ORDERS[[#This Row],[unit price]])-(ORDERS[[#This Row],[UnitsOrdered]]*ORDERS[[#This Row],[unit price]]*ORDERS[[#This Row],[Discount]])</f>
        <v>1808</v>
      </c>
      <c r="I1916" t="str">
        <f>VLOOKUP(ORDERS[[#This Row],[CustomerID]],customers[],2,FALSE)</f>
        <v>Tshirt Unlimited</v>
      </c>
      <c r="J1916" s="2" t="str">
        <f>VLOOKUP(ORDERS[[#This Row],[CustomerID]],customers[],4,FALSE)</f>
        <v>Phoenix</v>
      </c>
      <c r="K1916" s="2" t="str">
        <f>VLOOKUP(ORDERS[[#This Row],[ProductID]],Products[],3,FALSE)</f>
        <v>Female</v>
      </c>
      <c r="L1916" s="2">
        <f>DAY(ORDERS[[#This Row],[OrderDate]])</f>
        <v>26</v>
      </c>
      <c r="M1916" s="2">
        <f>YEAR(ORDERS[[#This Row],[OrderDate]])</f>
        <v>2016</v>
      </c>
    </row>
    <row r="1917" spans="1:13" x14ac:dyDescent="0.3">
      <c r="A1917">
        <v>1916</v>
      </c>
      <c r="B1917">
        <v>1</v>
      </c>
      <c r="C1917">
        <v>8</v>
      </c>
      <c r="D1917" s="1">
        <v>42457</v>
      </c>
      <c r="E1917">
        <v>147</v>
      </c>
      <c r="F1917">
        <f>VLOOKUP(ORDERS[[#This Row],[ProductID]],Products[],4,FALSE)</f>
        <v>27</v>
      </c>
      <c r="G1917">
        <v>0</v>
      </c>
      <c r="H1917">
        <f>(ORDERS[[#This Row],[UnitsOrdered]]*ORDERS[[#This Row],[unit price]])-(ORDERS[[#This Row],[UnitsOrdered]]*ORDERS[[#This Row],[unit price]]*ORDERS[[#This Row],[Discount]])</f>
        <v>3969</v>
      </c>
      <c r="I1917" t="str">
        <f>VLOOKUP(ORDERS[[#This Row],[CustomerID]],customers[],2,FALSE)</f>
        <v>Threads</v>
      </c>
      <c r="J1917" s="2" t="str">
        <f>VLOOKUP(ORDERS[[#This Row],[CustomerID]],customers[],4,FALSE)</f>
        <v>Seattle</v>
      </c>
      <c r="K1917" s="2" t="str">
        <f>VLOOKUP(ORDERS[[#This Row],[ProductID]],Products[],3,FALSE)</f>
        <v>Female</v>
      </c>
      <c r="L1917" s="2">
        <f>DAY(ORDERS[[#This Row],[OrderDate]])</f>
        <v>28</v>
      </c>
      <c r="M1917" s="2">
        <f>YEAR(ORDERS[[#This Row],[OrderDate]])</f>
        <v>2016</v>
      </c>
    </row>
    <row r="1918" spans="1:13" x14ac:dyDescent="0.3">
      <c r="A1918">
        <v>1917</v>
      </c>
      <c r="B1918">
        <v>4</v>
      </c>
      <c r="C1918">
        <v>6</v>
      </c>
      <c r="D1918" s="1">
        <v>42458</v>
      </c>
      <c r="E1918">
        <v>101</v>
      </c>
      <c r="F1918">
        <f>VLOOKUP(ORDERS[[#This Row],[ProductID]],Products[],4,FALSE)</f>
        <v>28</v>
      </c>
      <c r="G1918">
        <v>0</v>
      </c>
      <c r="H1918">
        <f>(ORDERS[[#This Row],[UnitsOrdered]]*ORDERS[[#This Row],[unit price]])-(ORDERS[[#This Row],[UnitsOrdered]]*ORDERS[[#This Row],[unit price]]*ORDERS[[#This Row],[Discount]])</f>
        <v>2828</v>
      </c>
      <c r="I1918" t="str">
        <f>VLOOKUP(ORDERS[[#This Row],[CustomerID]],customers[],2,FALSE)</f>
        <v>Tshirt Unlimited</v>
      </c>
      <c r="J1918" s="2" t="str">
        <f>VLOOKUP(ORDERS[[#This Row],[CustomerID]],customers[],4,FALSE)</f>
        <v>Phoenix</v>
      </c>
      <c r="K1918" s="2" t="str">
        <f>VLOOKUP(ORDERS[[#This Row],[ProductID]],Products[],3,FALSE)</f>
        <v>Female</v>
      </c>
      <c r="L1918" s="2">
        <f>DAY(ORDERS[[#This Row],[OrderDate]])</f>
        <v>29</v>
      </c>
      <c r="M1918" s="2">
        <f>YEAR(ORDERS[[#This Row],[OrderDate]])</f>
        <v>2016</v>
      </c>
    </row>
    <row r="1919" spans="1:13" x14ac:dyDescent="0.3">
      <c r="A1919">
        <v>1918</v>
      </c>
      <c r="B1919">
        <v>6</v>
      </c>
      <c r="C1919">
        <v>3</v>
      </c>
      <c r="D1919" s="1">
        <v>42461</v>
      </c>
      <c r="E1919">
        <v>70</v>
      </c>
      <c r="F1919">
        <f>VLOOKUP(ORDERS[[#This Row],[ProductID]],Products[],4,FALSE)</f>
        <v>22</v>
      </c>
      <c r="G1919">
        <v>0</v>
      </c>
      <c r="H1919">
        <f>(ORDERS[[#This Row],[UnitsOrdered]]*ORDERS[[#This Row],[unit price]])-(ORDERS[[#This Row],[UnitsOrdered]]*ORDERS[[#This Row],[unit price]]*ORDERS[[#This Row],[Discount]])</f>
        <v>1540</v>
      </c>
      <c r="I1919" t="str">
        <f>VLOOKUP(ORDERS[[#This Row],[CustomerID]],customers[],2,FALSE)</f>
        <v>Abracadaba Ink</v>
      </c>
      <c r="J1919" s="2" t="str">
        <f>VLOOKUP(ORDERS[[#This Row],[CustomerID]],customers[],4,FALSE)</f>
        <v>Salt Lake City</v>
      </c>
      <c r="K1919" s="2" t="str">
        <f>VLOOKUP(ORDERS[[#This Row],[ProductID]],Products[],3,FALSE)</f>
        <v>Both</v>
      </c>
      <c r="L1919" s="2">
        <f>DAY(ORDERS[[#This Row],[OrderDate]])</f>
        <v>1</v>
      </c>
      <c r="M1919" s="2">
        <f>YEAR(ORDERS[[#This Row],[OrderDate]])</f>
        <v>2016</v>
      </c>
    </row>
    <row r="1920" spans="1:13" x14ac:dyDescent="0.3">
      <c r="A1920">
        <v>1919</v>
      </c>
      <c r="B1920">
        <v>7</v>
      </c>
      <c r="C1920">
        <v>5</v>
      </c>
      <c r="D1920" s="1">
        <v>42461</v>
      </c>
      <c r="E1920">
        <v>53</v>
      </c>
      <c r="F1920">
        <f>VLOOKUP(ORDERS[[#This Row],[ProductID]],Products[],4,FALSE)</f>
        <v>16</v>
      </c>
      <c r="G1920">
        <v>0</v>
      </c>
      <c r="H1920">
        <f>(ORDERS[[#This Row],[UnitsOrdered]]*ORDERS[[#This Row],[unit price]])-(ORDERS[[#This Row],[UnitsOrdered]]*ORDERS[[#This Row],[unit price]]*ORDERS[[#This Row],[Discount]])</f>
        <v>848</v>
      </c>
      <c r="I1920" t="str">
        <f>VLOOKUP(ORDERS[[#This Row],[CustomerID]],customers[],2,FALSE)</f>
        <v>The Shirt on Your Back</v>
      </c>
      <c r="J1920" s="2" t="str">
        <f>VLOOKUP(ORDERS[[#This Row],[CustomerID]],customers[],4,FALSE)</f>
        <v>Bonners Ferry</v>
      </c>
      <c r="K1920" s="2" t="str">
        <f>VLOOKUP(ORDERS[[#This Row],[ProductID]],Products[],3,FALSE)</f>
        <v>Female</v>
      </c>
      <c r="L1920" s="2">
        <f>DAY(ORDERS[[#This Row],[OrderDate]])</f>
        <v>1</v>
      </c>
      <c r="M1920" s="2">
        <f>YEAR(ORDERS[[#This Row],[OrderDate]])</f>
        <v>2016</v>
      </c>
    </row>
    <row r="1921" spans="1:13" x14ac:dyDescent="0.3">
      <c r="A1921">
        <v>1920</v>
      </c>
      <c r="B1921">
        <v>2</v>
      </c>
      <c r="C1921">
        <v>3</v>
      </c>
      <c r="D1921" s="1">
        <v>42462</v>
      </c>
      <c r="E1921">
        <v>133</v>
      </c>
      <c r="F1921">
        <f>VLOOKUP(ORDERS[[#This Row],[ProductID]],Products[],4,FALSE)</f>
        <v>22</v>
      </c>
      <c r="G1921">
        <v>0</v>
      </c>
      <c r="H1921">
        <f>(ORDERS[[#This Row],[UnitsOrdered]]*ORDERS[[#This Row],[unit price]])-(ORDERS[[#This Row],[UnitsOrdered]]*ORDERS[[#This Row],[unit price]]*ORDERS[[#This Row],[Discount]])</f>
        <v>2926</v>
      </c>
      <c r="I1921" t="str">
        <f>VLOOKUP(ORDERS[[#This Row],[CustomerID]],customers[],2,FALSE)</f>
        <v>A Shirts Life</v>
      </c>
      <c r="J1921" s="2" t="str">
        <f>VLOOKUP(ORDERS[[#This Row],[CustomerID]],customers[],4,FALSE)</f>
        <v>Portland</v>
      </c>
      <c r="K1921" s="2" t="str">
        <f>VLOOKUP(ORDERS[[#This Row],[ProductID]],Products[],3,FALSE)</f>
        <v>Both</v>
      </c>
      <c r="L1921" s="2">
        <f>DAY(ORDERS[[#This Row],[OrderDate]])</f>
        <v>2</v>
      </c>
      <c r="M1921" s="2">
        <f>YEAR(ORDERS[[#This Row],[OrderDate]])</f>
        <v>2016</v>
      </c>
    </row>
    <row r="1922" spans="1:13" x14ac:dyDescent="0.3">
      <c r="A1922">
        <v>1921</v>
      </c>
      <c r="B1922">
        <v>2</v>
      </c>
      <c r="C1922">
        <v>6</v>
      </c>
      <c r="D1922" s="1">
        <v>42462</v>
      </c>
      <c r="E1922">
        <v>28</v>
      </c>
      <c r="F1922">
        <f>VLOOKUP(ORDERS[[#This Row],[ProductID]],Products[],4,FALSE)</f>
        <v>28</v>
      </c>
      <c r="G1922">
        <v>0</v>
      </c>
      <c r="H1922">
        <f>(ORDERS[[#This Row],[UnitsOrdered]]*ORDERS[[#This Row],[unit price]])-(ORDERS[[#This Row],[UnitsOrdered]]*ORDERS[[#This Row],[unit price]]*ORDERS[[#This Row],[Discount]])</f>
        <v>784</v>
      </c>
      <c r="I1922" t="str">
        <f>VLOOKUP(ORDERS[[#This Row],[CustomerID]],customers[],2,FALSE)</f>
        <v>A Shirts Life</v>
      </c>
      <c r="J1922" s="2" t="str">
        <f>VLOOKUP(ORDERS[[#This Row],[CustomerID]],customers[],4,FALSE)</f>
        <v>Portland</v>
      </c>
      <c r="K1922" s="2" t="str">
        <f>VLOOKUP(ORDERS[[#This Row],[ProductID]],Products[],3,FALSE)</f>
        <v>Female</v>
      </c>
      <c r="L1922" s="2">
        <f>DAY(ORDERS[[#This Row],[OrderDate]])</f>
        <v>2</v>
      </c>
      <c r="M1922" s="2">
        <f>YEAR(ORDERS[[#This Row],[OrderDate]])</f>
        <v>2016</v>
      </c>
    </row>
    <row r="1923" spans="1:13" x14ac:dyDescent="0.3">
      <c r="A1923">
        <v>1922</v>
      </c>
      <c r="B1923">
        <v>2</v>
      </c>
      <c r="C1923">
        <v>9</v>
      </c>
      <c r="D1923" s="1">
        <v>42462</v>
      </c>
      <c r="E1923">
        <v>48</v>
      </c>
      <c r="F1923">
        <f>VLOOKUP(ORDERS[[#This Row],[ProductID]],Products[],4,FALSE)</f>
        <v>25</v>
      </c>
      <c r="G1923">
        <v>0</v>
      </c>
      <c r="H1923">
        <f>(ORDERS[[#This Row],[UnitsOrdered]]*ORDERS[[#This Row],[unit price]])-(ORDERS[[#This Row],[UnitsOrdered]]*ORDERS[[#This Row],[unit price]]*ORDERS[[#This Row],[Discount]])</f>
        <v>1200</v>
      </c>
      <c r="I1923" t="str">
        <f>VLOOKUP(ORDERS[[#This Row],[CustomerID]],customers[],2,FALSE)</f>
        <v>A Shirts Life</v>
      </c>
      <c r="J1923" s="2" t="str">
        <f>VLOOKUP(ORDERS[[#This Row],[CustomerID]],customers[],4,FALSE)</f>
        <v>Portland</v>
      </c>
      <c r="K1923" s="2" t="str">
        <f>VLOOKUP(ORDERS[[#This Row],[ProductID]],Products[],3,FALSE)</f>
        <v>Male</v>
      </c>
      <c r="L1923" s="2">
        <f>DAY(ORDERS[[#This Row],[OrderDate]])</f>
        <v>2</v>
      </c>
      <c r="M1923" s="2">
        <f>YEAR(ORDERS[[#This Row],[OrderDate]])</f>
        <v>2016</v>
      </c>
    </row>
    <row r="1924" spans="1:13" x14ac:dyDescent="0.3">
      <c r="A1924">
        <v>1923</v>
      </c>
      <c r="B1924">
        <v>3</v>
      </c>
      <c r="C1924">
        <v>5</v>
      </c>
      <c r="D1924" s="1">
        <v>42462</v>
      </c>
      <c r="E1924">
        <v>45</v>
      </c>
      <c r="F1924">
        <f>VLOOKUP(ORDERS[[#This Row],[ProductID]],Products[],4,FALSE)</f>
        <v>16</v>
      </c>
      <c r="G1924">
        <v>0</v>
      </c>
      <c r="H1924">
        <f>(ORDERS[[#This Row],[UnitsOrdered]]*ORDERS[[#This Row],[unit price]])-(ORDERS[[#This Row],[UnitsOrdered]]*ORDERS[[#This Row],[unit price]]*ORDERS[[#This Row],[Discount]])</f>
        <v>720</v>
      </c>
      <c r="I1924" t="str">
        <f>VLOOKUP(ORDERS[[#This Row],[CustomerID]],customers[],2,FALSE)</f>
        <v>Shirts R Us</v>
      </c>
      <c r="J1924" s="2" t="str">
        <f>VLOOKUP(ORDERS[[#This Row],[CustomerID]],customers[],4,FALSE)</f>
        <v>Los Angeles</v>
      </c>
      <c r="K1924" s="2" t="str">
        <f>VLOOKUP(ORDERS[[#This Row],[ProductID]],Products[],3,FALSE)</f>
        <v>Female</v>
      </c>
      <c r="L1924" s="2">
        <f>DAY(ORDERS[[#This Row],[OrderDate]])</f>
        <v>2</v>
      </c>
      <c r="M1924" s="2">
        <f>YEAR(ORDERS[[#This Row],[OrderDate]])</f>
        <v>2016</v>
      </c>
    </row>
    <row r="1925" spans="1:13" x14ac:dyDescent="0.3">
      <c r="A1925">
        <v>1924</v>
      </c>
      <c r="B1925">
        <v>5</v>
      </c>
      <c r="C1925">
        <v>7</v>
      </c>
      <c r="D1925" s="1">
        <v>42462</v>
      </c>
      <c r="E1925">
        <v>138</v>
      </c>
      <c r="F1925">
        <f>VLOOKUP(ORDERS[[#This Row],[ProductID]],Products[],4,FALSE)</f>
        <v>38</v>
      </c>
      <c r="G1925">
        <v>0</v>
      </c>
      <c r="H1925">
        <f>(ORDERS[[#This Row],[UnitsOrdered]]*ORDERS[[#This Row],[unit price]])-(ORDERS[[#This Row],[UnitsOrdered]]*ORDERS[[#This Row],[unit price]]*ORDERS[[#This Row],[Discount]])</f>
        <v>5244</v>
      </c>
      <c r="I1925" t="str">
        <f>VLOOKUP(ORDERS[[#This Row],[CustomerID]],customers[],2,FALSE)</f>
        <v>Rags to Riches</v>
      </c>
      <c r="J1925" s="2" t="str">
        <f>VLOOKUP(ORDERS[[#This Row],[CustomerID]],customers[],4,FALSE)</f>
        <v>Las Vegas</v>
      </c>
      <c r="K1925" s="2" t="str">
        <f>VLOOKUP(ORDERS[[#This Row],[ProductID]],Products[],3,FALSE)</f>
        <v>Female</v>
      </c>
      <c r="L1925" s="2">
        <f>DAY(ORDERS[[#This Row],[OrderDate]])</f>
        <v>2</v>
      </c>
      <c r="M1925" s="2">
        <f>YEAR(ORDERS[[#This Row],[OrderDate]])</f>
        <v>2016</v>
      </c>
    </row>
    <row r="1926" spans="1:13" x14ac:dyDescent="0.3">
      <c r="A1926">
        <v>1925</v>
      </c>
      <c r="B1926">
        <v>7</v>
      </c>
      <c r="C1926">
        <v>3</v>
      </c>
      <c r="D1926" s="1">
        <v>42463</v>
      </c>
      <c r="E1926">
        <v>37</v>
      </c>
      <c r="F1926">
        <f>VLOOKUP(ORDERS[[#This Row],[ProductID]],Products[],4,FALSE)</f>
        <v>22</v>
      </c>
      <c r="G1926">
        <v>0</v>
      </c>
      <c r="H1926">
        <f>(ORDERS[[#This Row],[UnitsOrdered]]*ORDERS[[#This Row],[unit price]])-(ORDERS[[#This Row],[UnitsOrdered]]*ORDERS[[#This Row],[unit price]]*ORDERS[[#This Row],[Discount]])</f>
        <v>814</v>
      </c>
      <c r="I1926" t="str">
        <f>VLOOKUP(ORDERS[[#This Row],[CustomerID]],customers[],2,FALSE)</f>
        <v>The Shirt on Your Back</v>
      </c>
      <c r="J1926" s="2" t="str">
        <f>VLOOKUP(ORDERS[[#This Row],[CustomerID]],customers[],4,FALSE)</f>
        <v>Bonners Ferry</v>
      </c>
      <c r="K1926" s="2" t="str">
        <f>VLOOKUP(ORDERS[[#This Row],[ProductID]],Products[],3,FALSE)</f>
        <v>Both</v>
      </c>
      <c r="L1926" s="2">
        <f>DAY(ORDERS[[#This Row],[OrderDate]])</f>
        <v>3</v>
      </c>
      <c r="M1926" s="2">
        <f>YEAR(ORDERS[[#This Row],[OrderDate]])</f>
        <v>2016</v>
      </c>
    </row>
    <row r="1927" spans="1:13" x14ac:dyDescent="0.3">
      <c r="A1927">
        <v>1926</v>
      </c>
      <c r="B1927">
        <v>7</v>
      </c>
      <c r="C1927">
        <v>8</v>
      </c>
      <c r="D1927" s="1">
        <v>42464</v>
      </c>
      <c r="E1927">
        <v>57</v>
      </c>
      <c r="F1927">
        <f>VLOOKUP(ORDERS[[#This Row],[ProductID]],Products[],4,FALSE)</f>
        <v>27</v>
      </c>
      <c r="G1927">
        <v>0</v>
      </c>
      <c r="H1927">
        <f>(ORDERS[[#This Row],[UnitsOrdered]]*ORDERS[[#This Row],[unit price]])-(ORDERS[[#This Row],[UnitsOrdered]]*ORDERS[[#This Row],[unit price]]*ORDERS[[#This Row],[Discount]])</f>
        <v>1539</v>
      </c>
      <c r="I1927" t="str">
        <f>VLOOKUP(ORDERS[[#This Row],[CustomerID]],customers[],2,FALSE)</f>
        <v>The Shirt on Your Back</v>
      </c>
      <c r="J1927" s="2" t="str">
        <f>VLOOKUP(ORDERS[[#This Row],[CustomerID]],customers[],4,FALSE)</f>
        <v>Bonners Ferry</v>
      </c>
      <c r="K1927" s="2" t="str">
        <f>VLOOKUP(ORDERS[[#This Row],[ProductID]],Products[],3,FALSE)</f>
        <v>Female</v>
      </c>
      <c r="L1927" s="2">
        <f>DAY(ORDERS[[#This Row],[OrderDate]])</f>
        <v>4</v>
      </c>
      <c r="M1927" s="2">
        <f>YEAR(ORDERS[[#This Row],[OrderDate]])</f>
        <v>2016</v>
      </c>
    </row>
    <row r="1928" spans="1:13" x14ac:dyDescent="0.3">
      <c r="A1928">
        <v>1927</v>
      </c>
      <c r="B1928">
        <v>1</v>
      </c>
      <c r="C1928">
        <v>4</v>
      </c>
      <c r="D1928" s="1">
        <v>42467</v>
      </c>
      <c r="E1928">
        <v>112</v>
      </c>
      <c r="F1928">
        <f>VLOOKUP(ORDERS[[#This Row],[ProductID]],Products[],4,FALSE)</f>
        <v>30</v>
      </c>
      <c r="G1928">
        <v>0</v>
      </c>
      <c r="H1928">
        <f>(ORDERS[[#This Row],[UnitsOrdered]]*ORDERS[[#This Row],[unit price]])-(ORDERS[[#This Row],[UnitsOrdered]]*ORDERS[[#This Row],[unit price]]*ORDERS[[#This Row],[Discount]])</f>
        <v>3360</v>
      </c>
      <c r="I1928" t="str">
        <f>VLOOKUP(ORDERS[[#This Row],[CustomerID]],customers[],2,FALSE)</f>
        <v>Threads</v>
      </c>
      <c r="J1928" s="2" t="str">
        <f>VLOOKUP(ORDERS[[#This Row],[CustomerID]],customers[],4,FALSE)</f>
        <v>Seattle</v>
      </c>
      <c r="K1928" s="2" t="str">
        <f>VLOOKUP(ORDERS[[#This Row],[ProductID]],Products[],3,FALSE)</f>
        <v>Both</v>
      </c>
      <c r="L1928" s="2">
        <f>DAY(ORDERS[[#This Row],[OrderDate]])</f>
        <v>7</v>
      </c>
      <c r="M1928" s="2">
        <f>YEAR(ORDERS[[#This Row],[OrderDate]])</f>
        <v>2016</v>
      </c>
    </row>
    <row r="1929" spans="1:13" x14ac:dyDescent="0.3">
      <c r="A1929">
        <v>1928</v>
      </c>
      <c r="B1929">
        <v>5</v>
      </c>
      <c r="C1929">
        <v>3</v>
      </c>
      <c r="D1929" s="1">
        <v>42467</v>
      </c>
      <c r="E1929">
        <v>38</v>
      </c>
      <c r="F1929">
        <f>VLOOKUP(ORDERS[[#This Row],[ProductID]],Products[],4,FALSE)</f>
        <v>22</v>
      </c>
      <c r="G1929">
        <v>0</v>
      </c>
      <c r="H1929">
        <f>(ORDERS[[#This Row],[UnitsOrdered]]*ORDERS[[#This Row],[unit price]])-(ORDERS[[#This Row],[UnitsOrdered]]*ORDERS[[#This Row],[unit price]]*ORDERS[[#This Row],[Discount]])</f>
        <v>836</v>
      </c>
      <c r="I1929" t="str">
        <f>VLOOKUP(ORDERS[[#This Row],[CustomerID]],customers[],2,FALSE)</f>
        <v>Rags to Riches</v>
      </c>
      <c r="J1929" s="2" t="str">
        <f>VLOOKUP(ORDERS[[#This Row],[CustomerID]],customers[],4,FALSE)</f>
        <v>Las Vegas</v>
      </c>
      <c r="K1929" s="2" t="str">
        <f>VLOOKUP(ORDERS[[#This Row],[ProductID]],Products[],3,FALSE)</f>
        <v>Both</v>
      </c>
      <c r="L1929" s="2">
        <f>DAY(ORDERS[[#This Row],[OrderDate]])</f>
        <v>7</v>
      </c>
      <c r="M1929" s="2">
        <f>YEAR(ORDERS[[#This Row],[OrderDate]])</f>
        <v>2016</v>
      </c>
    </row>
    <row r="1930" spans="1:13" x14ac:dyDescent="0.3">
      <c r="A1930">
        <v>1929</v>
      </c>
      <c r="B1930">
        <v>1</v>
      </c>
      <c r="C1930">
        <v>3</v>
      </c>
      <c r="D1930" s="1">
        <v>42468</v>
      </c>
      <c r="E1930">
        <v>142</v>
      </c>
      <c r="F1930">
        <f>VLOOKUP(ORDERS[[#This Row],[ProductID]],Products[],4,FALSE)</f>
        <v>22</v>
      </c>
      <c r="G1930">
        <v>0</v>
      </c>
      <c r="H1930">
        <f>(ORDERS[[#This Row],[UnitsOrdered]]*ORDERS[[#This Row],[unit price]])-(ORDERS[[#This Row],[UnitsOrdered]]*ORDERS[[#This Row],[unit price]]*ORDERS[[#This Row],[Discount]])</f>
        <v>3124</v>
      </c>
      <c r="I1930" t="str">
        <f>VLOOKUP(ORDERS[[#This Row],[CustomerID]],customers[],2,FALSE)</f>
        <v>Threads</v>
      </c>
      <c r="J1930" s="2" t="str">
        <f>VLOOKUP(ORDERS[[#This Row],[CustomerID]],customers[],4,FALSE)</f>
        <v>Seattle</v>
      </c>
      <c r="K1930" s="2" t="str">
        <f>VLOOKUP(ORDERS[[#This Row],[ProductID]],Products[],3,FALSE)</f>
        <v>Both</v>
      </c>
      <c r="L1930" s="2">
        <f>DAY(ORDERS[[#This Row],[OrderDate]])</f>
        <v>8</v>
      </c>
      <c r="M1930" s="2">
        <f>YEAR(ORDERS[[#This Row],[OrderDate]])</f>
        <v>2016</v>
      </c>
    </row>
    <row r="1931" spans="1:13" x14ac:dyDescent="0.3">
      <c r="A1931">
        <v>1930</v>
      </c>
      <c r="B1931">
        <v>7</v>
      </c>
      <c r="C1931">
        <v>4</v>
      </c>
      <c r="D1931" s="1">
        <v>42468</v>
      </c>
      <c r="E1931">
        <v>97</v>
      </c>
      <c r="F1931">
        <f>VLOOKUP(ORDERS[[#This Row],[ProductID]],Products[],4,FALSE)</f>
        <v>30</v>
      </c>
      <c r="G1931">
        <v>5.0000001000000002E-2</v>
      </c>
      <c r="H1931">
        <f>(ORDERS[[#This Row],[UnitsOrdered]]*ORDERS[[#This Row],[unit price]])-(ORDERS[[#This Row],[UnitsOrdered]]*ORDERS[[#This Row],[unit price]]*ORDERS[[#This Row],[Discount]])</f>
        <v>2764.4999970899999</v>
      </c>
      <c r="I1931" t="str">
        <f>VLOOKUP(ORDERS[[#This Row],[CustomerID]],customers[],2,FALSE)</f>
        <v>The Shirt on Your Back</v>
      </c>
      <c r="J1931" s="2" t="str">
        <f>VLOOKUP(ORDERS[[#This Row],[CustomerID]],customers[],4,FALSE)</f>
        <v>Bonners Ferry</v>
      </c>
      <c r="K1931" s="2" t="str">
        <f>VLOOKUP(ORDERS[[#This Row],[ProductID]],Products[],3,FALSE)</f>
        <v>Both</v>
      </c>
      <c r="L1931" s="2">
        <f>DAY(ORDERS[[#This Row],[OrderDate]])</f>
        <v>8</v>
      </c>
      <c r="M1931" s="2">
        <f>YEAR(ORDERS[[#This Row],[OrderDate]])</f>
        <v>2016</v>
      </c>
    </row>
    <row r="1932" spans="1:13" x14ac:dyDescent="0.3">
      <c r="A1932">
        <v>1931</v>
      </c>
      <c r="B1932">
        <v>2</v>
      </c>
      <c r="C1932">
        <v>10</v>
      </c>
      <c r="D1932" s="1">
        <v>42469</v>
      </c>
      <c r="E1932">
        <v>74</v>
      </c>
      <c r="F1932">
        <f>VLOOKUP(ORDERS[[#This Row],[ProductID]],Products[],4,FALSE)</f>
        <v>35</v>
      </c>
      <c r="G1932">
        <v>0</v>
      </c>
      <c r="H1932">
        <f>(ORDERS[[#This Row],[UnitsOrdered]]*ORDERS[[#This Row],[unit price]])-(ORDERS[[#This Row],[UnitsOrdered]]*ORDERS[[#This Row],[unit price]]*ORDERS[[#This Row],[Discount]])</f>
        <v>2590</v>
      </c>
      <c r="I1932" t="str">
        <f>VLOOKUP(ORDERS[[#This Row],[CustomerID]],customers[],2,FALSE)</f>
        <v>A Shirts Life</v>
      </c>
      <c r="J1932" s="2" t="str">
        <f>VLOOKUP(ORDERS[[#This Row],[CustomerID]],customers[],4,FALSE)</f>
        <v>Portland</v>
      </c>
      <c r="K1932" s="2" t="str">
        <f>VLOOKUP(ORDERS[[#This Row],[ProductID]],Products[],3,FALSE)</f>
        <v>Male</v>
      </c>
      <c r="L1932" s="2">
        <f>DAY(ORDERS[[#This Row],[OrderDate]])</f>
        <v>9</v>
      </c>
      <c r="M1932" s="2">
        <f>YEAR(ORDERS[[#This Row],[OrderDate]])</f>
        <v>2016</v>
      </c>
    </row>
    <row r="1933" spans="1:13" x14ac:dyDescent="0.3">
      <c r="A1933">
        <v>1932</v>
      </c>
      <c r="B1933">
        <v>3</v>
      </c>
      <c r="C1933">
        <v>8</v>
      </c>
      <c r="D1933" s="1">
        <v>42469</v>
      </c>
      <c r="E1933">
        <v>47</v>
      </c>
      <c r="F1933">
        <f>VLOOKUP(ORDERS[[#This Row],[ProductID]],Products[],4,FALSE)</f>
        <v>27</v>
      </c>
      <c r="G1933">
        <v>0</v>
      </c>
      <c r="H1933">
        <f>(ORDERS[[#This Row],[UnitsOrdered]]*ORDERS[[#This Row],[unit price]])-(ORDERS[[#This Row],[UnitsOrdered]]*ORDERS[[#This Row],[unit price]]*ORDERS[[#This Row],[Discount]])</f>
        <v>1269</v>
      </c>
      <c r="I1933" t="str">
        <f>VLOOKUP(ORDERS[[#This Row],[CustomerID]],customers[],2,FALSE)</f>
        <v>Shirts R Us</v>
      </c>
      <c r="J1933" s="2" t="str">
        <f>VLOOKUP(ORDERS[[#This Row],[CustomerID]],customers[],4,FALSE)</f>
        <v>Los Angeles</v>
      </c>
      <c r="K1933" s="2" t="str">
        <f>VLOOKUP(ORDERS[[#This Row],[ProductID]],Products[],3,FALSE)</f>
        <v>Female</v>
      </c>
      <c r="L1933" s="2">
        <f>DAY(ORDERS[[#This Row],[OrderDate]])</f>
        <v>9</v>
      </c>
      <c r="M1933" s="2">
        <f>YEAR(ORDERS[[#This Row],[OrderDate]])</f>
        <v>2016</v>
      </c>
    </row>
    <row r="1934" spans="1:13" x14ac:dyDescent="0.3">
      <c r="A1934">
        <v>1933</v>
      </c>
      <c r="B1934">
        <v>1</v>
      </c>
      <c r="C1934">
        <v>8</v>
      </c>
      <c r="D1934" s="1">
        <v>42470</v>
      </c>
      <c r="E1934">
        <v>42</v>
      </c>
      <c r="F1934">
        <f>VLOOKUP(ORDERS[[#This Row],[ProductID]],Products[],4,FALSE)</f>
        <v>27</v>
      </c>
      <c r="G1934">
        <v>0</v>
      </c>
      <c r="H1934">
        <f>(ORDERS[[#This Row],[UnitsOrdered]]*ORDERS[[#This Row],[unit price]])-(ORDERS[[#This Row],[UnitsOrdered]]*ORDERS[[#This Row],[unit price]]*ORDERS[[#This Row],[Discount]])</f>
        <v>1134</v>
      </c>
      <c r="I1934" t="str">
        <f>VLOOKUP(ORDERS[[#This Row],[CustomerID]],customers[],2,FALSE)</f>
        <v>Threads</v>
      </c>
      <c r="J1934" s="2" t="str">
        <f>VLOOKUP(ORDERS[[#This Row],[CustomerID]],customers[],4,FALSE)</f>
        <v>Seattle</v>
      </c>
      <c r="K1934" s="2" t="str">
        <f>VLOOKUP(ORDERS[[#This Row],[ProductID]],Products[],3,FALSE)</f>
        <v>Female</v>
      </c>
      <c r="L1934" s="2">
        <f>DAY(ORDERS[[#This Row],[OrderDate]])</f>
        <v>10</v>
      </c>
      <c r="M1934" s="2">
        <f>YEAR(ORDERS[[#This Row],[OrderDate]])</f>
        <v>2016</v>
      </c>
    </row>
    <row r="1935" spans="1:13" x14ac:dyDescent="0.3">
      <c r="A1935">
        <v>1934</v>
      </c>
      <c r="B1935">
        <v>2</v>
      </c>
      <c r="C1935">
        <v>5</v>
      </c>
      <c r="D1935" s="1">
        <v>42470</v>
      </c>
      <c r="E1935">
        <v>101</v>
      </c>
      <c r="F1935">
        <f>VLOOKUP(ORDERS[[#This Row],[ProductID]],Products[],4,FALSE)</f>
        <v>16</v>
      </c>
      <c r="G1935">
        <v>0</v>
      </c>
      <c r="H1935">
        <f>(ORDERS[[#This Row],[UnitsOrdered]]*ORDERS[[#This Row],[unit price]])-(ORDERS[[#This Row],[UnitsOrdered]]*ORDERS[[#This Row],[unit price]]*ORDERS[[#This Row],[Discount]])</f>
        <v>1616</v>
      </c>
      <c r="I1935" t="str">
        <f>VLOOKUP(ORDERS[[#This Row],[CustomerID]],customers[],2,FALSE)</f>
        <v>A Shirts Life</v>
      </c>
      <c r="J1935" s="2" t="str">
        <f>VLOOKUP(ORDERS[[#This Row],[CustomerID]],customers[],4,FALSE)</f>
        <v>Portland</v>
      </c>
      <c r="K1935" s="2" t="str">
        <f>VLOOKUP(ORDERS[[#This Row],[ProductID]],Products[],3,FALSE)</f>
        <v>Female</v>
      </c>
      <c r="L1935" s="2">
        <f>DAY(ORDERS[[#This Row],[OrderDate]])</f>
        <v>10</v>
      </c>
      <c r="M1935" s="2">
        <f>YEAR(ORDERS[[#This Row],[OrderDate]])</f>
        <v>2016</v>
      </c>
    </row>
    <row r="1936" spans="1:13" x14ac:dyDescent="0.3">
      <c r="A1936">
        <v>1935</v>
      </c>
      <c r="B1936">
        <v>2</v>
      </c>
      <c r="C1936">
        <v>9</v>
      </c>
      <c r="D1936" s="1">
        <v>42470</v>
      </c>
      <c r="E1936">
        <v>57</v>
      </c>
      <c r="F1936">
        <f>VLOOKUP(ORDERS[[#This Row],[ProductID]],Products[],4,FALSE)</f>
        <v>25</v>
      </c>
      <c r="G1936">
        <v>0.10000000100000001</v>
      </c>
      <c r="H1936">
        <f>(ORDERS[[#This Row],[UnitsOrdered]]*ORDERS[[#This Row],[unit price]])-(ORDERS[[#This Row],[UnitsOrdered]]*ORDERS[[#This Row],[unit price]]*ORDERS[[#This Row],[Discount]])</f>
        <v>1282.4999985750001</v>
      </c>
      <c r="I1936" t="str">
        <f>VLOOKUP(ORDERS[[#This Row],[CustomerID]],customers[],2,FALSE)</f>
        <v>A Shirts Life</v>
      </c>
      <c r="J1936" s="2" t="str">
        <f>VLOOKUP(ORDERS[[#This Row],[CustomerID]],customers[],4,FALSE)</f>
        <v>Portland</v>
      </c>
      <c r="K1936" s="2" t="str">
        <f>VLOOKUP(ORDERS[[#This Row],[ProductID]],Products[],3,FALSE)</f>
        <v>Male</v>
      </c>
      <c r="L1936" s="2">
        <f>DAY(ORDERS[[#This Row],[OrderDate]])</f>
        <v>10</v>
      </c>
      <c r="M1936" s="2">
        <f>YEAR(ORDERS[[#This Row],[OrderDate]])</f>
        <v>2016</v>
      </c>
    </row>
    <row r="1937" spans="1:13" x14ac:dyDescent="0.3">
      <c r="A1937">
        <v>1936</v>
      </c>
      <c r="B1937">
        <v>4</v>
      </c>
      <c r="C1937">
        <v>9</v>
      </c>
      <c r="D1937" s="1">
        <v>42470</v>
      </c>
      <c r="E1937">
        <v>34</v>
      </c>
      <c r="F1937">
        <f>VLOOKUP(ORDERS[[#This Row],[ProductID]],Products[],4,FALSE)</f>
        <v>25</v>
      </c>
      <c r="G1937">
        <v>0.15000000599999999</v>
      </c>
      <c r="H1937">
        <f>(ORDERS[[#This Row],[UnitsOrdered]]*ORDERS[[#This Row],[unit price]])-(ORDERS[[#This Row],[UnitsOrdered]]*ORDERS[[#This Row],[unit price]]*ORDERS[[#This Row],[Discount]])</f>
        <v>722.49999490000005</v>
      </c>
      <c r="I1937" t="str">
        <f>VLOOKUP(ORDERS[[#This Row],[CustomerID]],customers[],2,FALSE)</f>
        <v>Tshirt Unlimited</v>
      </c>
      <c r="J1937" s="2" t="str">
        <f>VLOOKUP(ORDERS[[#This Row],[CustomerID]],customers[],4,FALSE)</f>
        <v>Phoenix</v>
      </c>
      <c r="K1937" s="2" t="str">
        <f>VLOOKUP(ORDERS[[#This Row],[ProductID]],Products[],3,FALSE)</f>
        <v>Male</v>
      </c>
      <c r="L1937" s="2">
        <f>DAY(ORDERS[[#This Row],[OrderDate]])</f>
        <v>10</v>
      </c>
      <c r="M1937" s="2">
        <f>YEAR(ORDERS[[#This Row],[OrderDate]])</f>
        <v>2016</v>
      </c>
    </row>
    <row r="1938" spans="1:13" x14ac:dyDescent="0.3">
      <c r="A1938">
        <v>1937</v>
      </c>
      <c r="B1938">
        <v>5</v>
      </c>
      <c r="C1938">
        <v>2</v>
      </c>
      <c r="D1938" s="1">
        <v>42470</v>
      </c>
      <c r="E1938">
        <v>36</v>
      </c>
      <c r="F1938">
        <f>VLOOKUP(ORDERS[[#This Row],[ProductID]],Products[],4,FALSE)</f>
        <v>30</v>
      </c>
      <c r="G1938">
        <v>0</v>
      </c>
      <c r="H1938">
        <f>(ORDERS[[#This Row],[UnitsOrdered]]*ORDERS[[#This Row],[unit price]])-(ORDERS[[#This Row],[UnitsOrdered]]*ORDERS[[#This Row],[unit price]]*ORDERS[[#This Row],[Discount]])</f>
        <v>1080</v>
      </c>
      <c r="I1938" t="str">
        <f>VLOOKUP(ORDERS[[#This Row],[CustomerID]],customers[],2,FALSE)</f>
        <v>Rags to Riches</v>
      </c>
      <c r="J1938" s="2" t="str">
        <f>VLOOKUP(ORDERS[[#This Row],[CustomerID]],customers[],4,FALSE)</f>
        <v>Las Vegas</v>
      </c>
      <c r="K1938" s="2" t="str">
        <f>VLOOKUP(ORDERS[[#This Row],[ProductID]],Products[],3,FALSE)</f>
        <v>Both</v>
      </c>
      <c r="L1938" s="2">
        <f>DAY(ORDERS[[#This Row],[OrderDate]])</f>
        <v>10</v>
      </c>
      <c r="M1938" s="2">
        <f>YEAR(ORDERS[[#This Row],[OrderDate]])</f>
        <v>2016</v>
      </c>
    </row>
    <row r="1939" spans="1:13" x14ac:dyDescent="0.3">
      <c r="A1939">
        <v>1938</v>
      </c>
      <c r="B1939">
        <v>6</v>
      </c>
      <c r="C1939">
        <v>1</v>
      </c>
      <c r="D1939" s="1">
        <v>42470</v>
      </c>
      <c r="E1939">
        <v>126</v>
      </c>
      <c r="F1939">
        <f>VLOOKUP(ORDERS[[#This Row],[ProductID]],Products[],4,FALSE)</f>
        <v>20</v>
      </c>
      <c r="G1939">
        <v>0</v>
      </c>
      <c r="H1939">
        <f>(ORDERS[[#This Row],[UnitsOrdered]]*ORDERS[[#This Row],[unit price]])-(ORDERS[[#This Row],[UnitsOrdered]]*ORDERS[[#This Row],[unit price]]*ORDERS[[#This Row],[Discount]])</f>
        <v>2520</v>
      </c>
      <c r="I1939" t="str">
        <f>VLOOKUP(ORDERS[[#This Row],[CustomerID]],customers[],2,FALSE)</f>
        <v>Abracadaba Ink</v>
      </c>
      <c r="J1939" s="2" t="str">
        <f>VLOOKUP(ORDERS[[#This Row],[CustomerID]],customers[],4,FALSE)</f>
        <v>Salt Lake City</v>
      </c>
      <c r="K1939" s="2" t="str">
        <f>VLOOKUP(ORDERS[[#This Row],[ProductID]],Products[],3,FALSE)</f>
        <v>Both</v>
      </c>
      <c r="L1939" s="2">
        <f>DAY(ORDERS[[#This Row],[OrderDate]])</f>
        <v>10</v>
      </c>
      <c r="M1939" s="2">
        <f>YEAR(ORDERS[[#This Row],[OrderDate]])</f>
        <v>2016</v>
      </c>
    </row>
    <row r="1940" spans="1:13" x14ac:dyDescent="0.3">
      <c r="A1940">
        <v>1939</v>
      </c>
      <c r="B1940">
        <v>3</v>
      </c>
      <c r="C1940">
        <v>2</v>
      </c>
      <c r="D1940" s="1">
        <v>42471</v>
      </c>
      <c r="E1940">
        <v>131</v>
      </c>
      <c r="F1940">
        <f>VLOOKUP(ORDERS[[#This Row],[ProductID]],Products[],4,FALSE)</f>
        <v>30</v>
      </c>
      <c r="G1940">
        <v>0</v>
      </c>
      <c r="H1940">
        <f>(ORDERS[[#This Row],[UnitsOrdered]]*ORDERS[[#This Row],[unit price]])-(ORDERS[[#This Row],[UnitsOrdered]]*ORDERS[[#This Row],[unit price]]*ORDERS[[#This Row],[Discount]])</f>
        <v>3930</v>
      </c>
      <c r="I1940" t="str">
        <f>VLOOKUP(ORDERS[[#This Row],[CustomerID]],customers[],2,FALSE)</f>
        <v>Shirts R Us</v>
      </c>
      <c r="J1940" s="2" t="str">
        <f>VLOOKUP(ORDERS[[#This Row],[CustomerID]],customers[],4,FALSE)</f>
        <v>Los Angeles</v>
      </c>
      <c r="K1940" s="2" t="str">
        <f>VLOOKUP(ORDERS[[#This Row],[ProductID]],Products[],3,FALSE)</f>
        <v>Both</v>
      </c>
      <c r="L1940" s="2">
        <f>DAY(ORDERS[[#This Row],[OrderDate]])</f>
        <v>11</v>
      </c>
      <c r="M1940" s="2">
        <f>YEAR(ORDERS[[#This Row],[OrderDate]])</f>
        <v>2016</v>
      </c>
    </row>
    <row r="1941" spans="1:13" x14ac:dyDescent="0.3">
      <c r="A1941">
        <v>1940</v>
      </c>
      <c r="B1941">
        <v>1</v>
      </c>
      <c r="C1941">
        <v>2</v>
      </c>
      <c r="D1941" s="1">
        <v>42473</v>
      </c>
      <c r="E1941">
        <v>57</v>
      </c>
      <c r="F1941">
        <f>VLOOKUP(ORDERS[[#This Row],[ProductID]],Products[],4,FALSE)</f>
        <v>30</v>
      </c>
      <c r="G1941">
        <v>0</v>
      </c>
      <c r="H1941">
        <f>(ORDERS[[#This Row],[UnitsOrdered]]*ORDERS[[#This Row],[unit price]])-(ORDERS[[#This Row],[UnitsOrdered]]*ORDERS[[#This Row],[unit price]]*ORDERS[[#This Row],[Discount]])</f>
        <v>1710</v>
      </c>
      <c r="I1941" t="str">
        <f>VLOOKUP(ORDERS[[#This Row],[CustomerID]],customers[],2,FALSE)</f>
        <v>Threads</v>
      </c>
      <c r="J1941" s="2" t="str">
        <f>VLOOKUP(ORDERS[[#This Row],[CustomerID]],customers[],4,FALSE)</f>
        <v>Seattle</v>
      </c>
      <c r="K1941" s="2" t="str">
        <f>VLOOKUP(ORDERS[[#This Row],[ProductID]],Products[],3,FALSE)</f>
        <v>Both</v>
      </c>
      <c r="L1941" s="2">
        <f>DAY(ORDERS[[#This Row],[OrderDate]])</f>
        <v>13</v>
      </c>
      <c r="M1941" s="2">
        <f>YEAR(ORDERS[[#This Row],[OrderDate]])</f>
        <v>2016</v>
      </c>
    </row>
    <row r="1942" spans="1:13" x14ac:dyDescent="0.3">
      <c r="A1942">
        <v>1941</v>
      </c>
      <c r="B1942">
        <v>3</v>
      </c>
      <c r="C1942">
        <v>6</v>
      </c>
      <c r="D1942" s="1">
        <v>42474</v>
      </c>
      <c r="E1942">
        <v>111</v>
      </c>
      <c r="F1942">
        <f>VLOOKUP(ORDERS[[#This Row],[ProductID]],Products[],4,FALSE)</f>
        <v>28</v>
      </c>
      <c r="G1942">
        <v>0</v>
      </c>
      <c r="H1942">
        <f>(ORDERS[[#This Row],[UnitsOrdered]]*ORDERS[[#This Row],[unit price]])-(ORDERS[[#This Row],[UnitsOrdered]]*ORDERS[[#This Row],[unit price]]*ORDERS[[#This Row],[Discount]])</f>
        <v>3108</v>
      </c>
      <c r="I1942" t="str">
        <f>VLOOKUP(ORDERS[[#This Row],[CustomerID]],customers[],2,FALSE)</f>
        <v>Shirts R Us</v>
      </c>
      <c r="J1942" s="2" t="str">
        <f>VLOOKUP(ORDERS[[#This Row],[CustomerID]],customers[],4,FALSE)</f>
        <v>Los Angeles</v>
      </c>
      <c r="K1942" s="2" t="str">
        <f>VLOOKUP(ORDERS[[#This Row],[ProductID]],Products[],3,FALSE)</f>
        <v>Female</v>
      </c>
      <c r="L1942" s="2">
        <f>DAY(ORDERS[[#This Row],[OrderDate]])</f>
        <v>14</v>
      </c>
      <c r="M1942" s="2">
        <f>YEAR(ORDERS[[#This Row],[OrderDate]])</f>
        <v>2016</v>
      </c>
    </row>
    <row r="1943" spans="1:13" x14ac:dyDescent="0.3">
      <c r="A1943">
        <v>1942</v>
      </c>
      <c r="B1943">
        <v>5</v>
      </c>
      <c r="C1943">
        <v>2</v>
      </c>
      <c r="D1943" s="1">
        <v>42474</v>
      </c>
      <c r="E1943">
        <v>149</v>
      </c>
      <c r="F1943">
        <f>VLOOKUP(ORDERS[[#This Row],[ProductID]],Products[],4,FALSE)</f>
        <v>30</v>
      </c>
      <c r="G1943">
        <v>0.15000000599999999</v>
      </c>
      <c r="H1943">
        <f>(ORDERS[[#This Row],[UnitsOrdered]]*ORDERS[[#This Row],[unit price]])-(ORDERS[[#This Row],[UnitsOrdered]]*ORDERS[[#This Row],[unit price]]*ORDERS[[#This Row],[Discount]])</f>
        <v>3799.4999731799999</v>
      </c>
      <c r="I1943" t="str">
        <f>VLOOKUP(ORDERS[[#This Row],[CustomerID]],customers[],2,FALSE)</f>
        <v>Rags to Riches</v>
      </c>
      <c r="J1943" s="2" t="str">
        <f>VLOOKUP(ORDERS[[#This Row],[CustomerID]],customers[],4,FALSE)</f>
        <v>Las Vegas</v>
      </c>
      <c r="K1943" s="2" t="str">
        <f>VLOOKUP(ORDERS[[#This Row],[ProductID]],Products[],3,FALSE)</f>
        <v>Both</v>
      </c>
      <c r="L1943" s="2">
        <f>DAY(ORDERS[[#This Row],[OrderDate]])</f>
        <v>14</v>
      </c>
      <c r="M1943" s="2">
        <f>YEAR(ORDERS[[#This Row],[OrderDate]])</f>
        <v>2016</v>
      </c>
    </row>
    <row r="1944" spans="1:13" x14ac:dyDescent="0.3">
      <c r="A1944">
        <v>1943</v>
      </c>
      <c r="B1944">
        <v>6</v>
      </c>
      <c r="C1944">
        <v>8</v>
      </c>
      <c r="D1944" s="1">
        <v>42474</v>
      </c>
      <c r="E1944">
        <v>28</v>
      </c>
      <c r="F1944">
        <f>VLOOKUP(ORDERS[[#This Row],[ProductID]],Products[],4,FALSE)</f>
        <v>27</v>
      </c>
      <c r="G1944">
        <v>0</v>
      </c>
      <c r="H1944">
        <f>(ORDERS[[#This Row],[UnitsOrdered]]*ORDERS[[#This Row],[unit price]])-(ORDERS[[#This Row],[UnitsOrdered]]*ORDERS[[#This Row],[unit price]]*ORDERS[[#This Row],[Discount]])</f>
        <v>756</v>
      </c>
      <c r="I1944" t="str">
        <f>VLOOKUP(ORDERS[[#This Row],[CustomerID]],customers[],2,FALSE)</f>
        <v>Abracadaba Ink</v>
      </c>
      <c r="J1944" s="2" t="str">
        <f>VLOOKUP(ORDERS[[#This Row],[CustomerID]],customers[],4,FALSE)</f>
        <v>Salt Lake City</v>
      </c>
      <c r="K1944" s="2" t="str">
        <f>VLOOKUP(ORDERS[[#This Row],[ProductID]],Products[],3,FALSE)</f>
        <v>Female</v>
      </c>
      <c r="L1944" s="2">
        <f>DAY(ORDERS[[#This Row],[OrderDate]])</f>
        <v>14</v>
      </c>
      <c r="M1944" s="2">
        <f>YEAR(ORDERS[[#This Row],[OrderDate]])</f>
        <v>2016</v>
      </c>
    </row>
    <row r="1945" spans="1:13" x14ac:dyDescent="0.3">
      <c r="A1945">
        <v>1944</v>
      </c>
      <c r="B1945">
        <v>7</v>
      </c>
      <c r="C1945">
        <v>7</v>
      </c>
      <c r="D1945" s="1">
        <v>42474</v>
      </c>
      <c r="E1945">
        <v>122</v>
      </c>
      <c r="F1945">
        <f>VLOOKUP(ORDERS[[#This Row],[ProductID]],Products[],4,FALSE)</f>
        <v>38</v>
      </c>
      <c r="G1945">
        <v>0</v>
      </c>
      <c r="H1945">
        <f>(ORDERS[[#This Row],[UnitsOrdered]]*ORDERS[[#This Row],[unit price]])-(ORDERS[[#This Row],[UnitsOrdered]]*ORDERS[[#This Row],[unit price]]*ORDERS[[#This Row],[Discount]])</f>
        <v>4636</v>
      </c>
      <c r="I1945" t="str">
        <f>VLOOKUP(ORDERS[[#This Row],[CustomerID]],customers[],2,FALSE)</f>
        <v>The Shirt on Your Back</v>
      </c>
      <c r="J1945" s="2" t="str">
        <f>VLOOKUP(ORDERS[[#This Row],[CustomerID]],customers[],4,FALSE)</f>
        <v>Bonners Ferry</v>
      </c>
      <c r="K1945" s="2" t="str">
        <f>VLOOKUP(ORDERS[[#This Row],[ProductID]],Products[],3,FALSE)</f>
        <v>Female</v>
      </c>
      <c r="L1945" s="2">
        <f>DAY(ORDERS[[#This Row],[OrderDate]])</f>
        <v>14</v>
      </c>
      <c r="M1945" s="2">
        <f>YEAR(ORDERS[[#This Row],[OrderDate]])</f>
        <v>2016</v>
      </c>
    </row>
    <row r="1946" spans="1:13" x14ac:dyDescent="0.3">
      <c r="A1946">
        <v>1945</v>
      </c>
      <c r="B1946">
        <v>6</v>
      </c>
      <c r="C1946">
        <v>3</v>
      </c>
      <c r="D1946" s="1">
        <v>42476</v>
      </c>
      <c r="E1946">
        <v>113</v>
      </c>
      <c r="F1946">
        <f>VLOOKUP(ORDERS[[#This Row],[ProductID]],Products[],4,FALSE)</f>
        <v>22</v>
      </c>
      <c r="G1946">
        <v>0</v>
      </c>
      <c r="H1946">
        <f>(ORDERS[[#This Row],[UnitsOrdered]]*ORDERS[[#This Row],[unit price]])-(ORDERS[[#This Row],[UnitsOrdered]]*ORDERS[[#This Row],[unit price]]*ORDERS[[#This Row],[Discount]])</f>
        <v>2486</v>
      </c>
      <c r="I1946" t="str">
        <f>VLOOKUP(ORDERS[[#This Row],[CustomerID]],customers[],2,FALSE)</f>
        <v>Abracadaba Ink</v>
      </c>
      <c r="J1946" s="2" t="str">
        <f>VLOOKUP(ORDERS[[#This Row],[CustomerID]],customers[],4,FALSE)</f>
        <v>Salt Lake City</v>
      </c>
      <c r="K1946" s="2" t="str">
        <f>VLOOKUP(ORDERS[[#This Row],[ProductID]],Products[],3,FALSE)</f>
        <v>Both</v>
      </c>
      <c r="L1946" s="2">
        <f>DAY(ORDERS[[#This Row],[OrderDate]])</f>
        <v>16</v>
      </c>
      <c r="M1946" s="2">
        <f>YEAR(ORDERS[[#This Row],[OrderDate]])</f>
        <v>2016</v>
      </c>
    </row>
    <row r="1947" spans="1:13" x14ac:dyDescent="0.3">
      <c r="A1947">
        <v>1946</v>
      </c>
      <c r="B1947">
        <v>4</v>
      </c>
      <c r="C1947">
        <v>2</v>
      </c>
      <c r="D1947" s="1">
        <v>42477</v>
      </c>
      <c r="E1947">
        <v>70</v>
      </c>
      <c r="F1947">
        <f>VLOOKUP(ORDERS[[#This Row],[ProductID]],Products[],4,FALSE)</f>
        <v>30</v>
      </c>
      <c r="G1947">
        <v>0</v>
      </c>
      <c r="H1947">
        <f>(ORDERS[[#This Row],[UnitsOrdered]]*ORDERS[[#This Row],[unit price]])-(ORDERS[[#This Row],[UnitsOrdered]]*ORDERS[[#This Row],[unit price]]*ORDERS[[#This Row],[Discount]])</f>
        <v>2100</v>
      </c>
      <c r="I1947" t="str">
        <f>VLOOKUP(ORDERS[[#This Row],[CustomerID]],customers[],2,FALSE)</f>
        <v>Tshirt Unlimited</v>
      </c>
      <c r="J1947" s="2" t="str">
        <f>VLOOKUP(ORDERS[[#This Row],[CustomerID]],customers[],4,FALSE)</f>
        <v>Phoenix</v>
      </c>
      <c r="K1947" s="2" t="str">
        <f>VLOOKUP(ORDERS[[#This Row],[ProductID]],Products[],3,FALSE)</f>
        <v>Both</v>
      </c>
      <c r="L1947" s="2">
        <f>DAY(ORDERS[[#This Row],[OrderDate]])</f>
        <v>17</v>
      </c>
      <c r="M1947" s="2">
        <f>YEAR(ORDERS[[#This Row],[OrderDate]])</f>
        <v>2016</v>
      </c>
    </row>
    <row r="1948" spans="1:13" x14ac:dyDescent="0.3">
      <c r="A1948">
        <v>1947</v>
      </c>
      <c r="B1948">
        <v>4</v>
      </c>
      <c r="C1948">
        <v>6</v>
      </c>
      <c r="D1948" s="1">
        <v>42477</v>
      </c>
      <c r="E1948">
        <v>45</v>
      </c>
      <c r="F1948">
        <f>VLOOKUP(ORDERS[[#This Row],[ProductID]],Products[],4,FALSE)</f>
        <v>28</v>
      </c>
      <c r="G1948">
        <v>0</v>
      </c>
      <c r="H1948">
        <f>(ORDERS[[#This Row],[UnitsOrdered]]*ORDERS[[#This Row],[unit price]])-(ORDERS[[#This Row],[UnitsOrdered]]*ORDERS[[#This Row],[unit price]]*ORDERS[[#This Row],[Discount]])</f>
        <v>1260</v>
      </c>
      <c r="I1948" t="str">
        <f>VLOOKUP(ORDERS[[#This Row],[CustomerID]],customers[],2,FALSE)</f>
        <v>Tshirt Unlimited</v>
      </c>
      <c r="J1948" s="2" t="str">
        <f>VLOOKUP(ORDERS[[#This Row],[CustomerID]],customers[],4,FALSE)</f>
        <v>Phoenix</v>
      </c>
      <c r="K1948" s="2" t="str">
        <f>VLOOKUP(ORDERS[[#This Row],[ProductID]],Products[],3,FALSE)</f>
        <v>Female</v>
      </c>
      <c r="L1948" s="2">
        <f>DAY(ORDERS[[#This Row],[OrderDate]])</f>
        <v>17</v>
      </c>
      <c r="M1948" s="2">
        <f>YEAR(ORDERS[[#This Row],[OrderDate]])</f>
        <v>2016</v>
      </c>
    </row>
    <row r="1949" spans="1:13" x14ac:dyDescent="0.3">
      <c r="A1949">
        <v>1948</v>
      </c>
      <c r="B1949">
        <v>1</v>
      </c>
      <c r="C1949">
        <v>3</v>
      </c>
      <c r="D1949" s="1">
        <v>42478</v>
      </c>
      <c r="E1949">
        <v>119</v>
      </c>
      <c r="F1949">
        <f>VLOOKUP(ORDERS[[#This Row],[ProductID]],Products[],4,FALSE)</f>
        <v>22</v>
      </c>
      <c r="G1949">
        <v>0</v>
      </c>
      <c r="H1949">
        <f>(ORDERS[[#This Row],[UnitsOrdered]]*ORDERS[[#This Row],[unit price]])-(ORDERS[[#This Row],[UnitsOrdered]]*ORDERS[[#This Row],[unit price]]*ORDERS[[#This Row],[Discount]])</f>
        <v>2618</v>
      </c>
      <c r="I1949" t="str">
        <f>VLOOKUP(ORDERS[[#This Row],[CustomerID]],customers[],2,FALSE)</f>
        <v>Threads</v>
      </c>
      <c r="J1949" s="2" t="str">
        <f>VLOOKUP(ORDERS[[#This Row],[CustomerID]],customers[],4,FALSE)</f>
        <v>Seattle</v>
      </c>
      <c r="K1949" s="2" t="str">
        <f>VLOOKUP(ORDERS[[#This Row],[ProductID]],Products[],3,FALSE)</f>
        <v>Both</v>
      </c>
      <c r="L1949" s="2">
        <f>DAY(ORDERS[[#This Row],[OrderDate]])</f>
        <v>18</v>
      </c>
      <c r="M1949" s="2">
        <f>YEAR(ORDERS[[#This Row],[OrderDate]])</f>
        <v>2016</v>
      </c>
    </row>
    <row r="1950" spans="1:13" x14ac:dyDescent="0.3">
      <c r="A1950">
        <v>1949</v>
      </c>
      <c r="B1950">
        <v>6</v>
      </c>
      <c r="C1950">
        <v>7</v>
      </c>
      <c r="D1950" s="1">
        <v>42480</v>
      </c>
      <c r="E1950">
        <v>88</v>
      </c>
      <c r="F1950">
        <f>VLOOKUP(ORDERS[[#This Row],[ProductID]],Products[],4,FALSE)</f>
        <v>38</v>
      </c>
      <c r="G1950">
        <v>5.0000001000000002E-2</v>
      </c>
      <c r="H1950">
        <f>(ORDERS[[#This Row],[UnitsOrdered]]*ORDERS[[#This Row],[unit price]])-(ORDERS[[#This Row],[UnitsOrdered]]*ORDERS[[#This Row],[unit price]]*ORDERS[[#This Row],[Discount]])</f>
        <v>3176.7999966560001</v>
      </c>
      <c r="I1950" t="str">
        <f>VLOOKUP(ORDERS[[#This Row],[CustomerID]],customers[],2,FALSE)</f>
        <v>Abracadaba Ink</v>
      </c>
      <c r="J1950" s="2" t="str">
        <f>VLOOKUP(ORDERS[[#This Row],[CustomerID]],customers[],4,FALSE)</f>
        <v>Salt Lake City</v>
      </c>
      <c r="K1950" s="2" t="str">
        <f>VLOOKUP(ORDERS[[#This Row],[ProductID]],Products[],3,FALSE)</f>
        <v>Female</v>
      </c>
      <c r="L1950" s="2">
        <f>DAY(ORDERS[[#This Row],[OrderDate]])</f>
        <v>20</v>
      </c>
      <c r="M1950" s="2">
        <f>YEAR(ORDERS[[#This Row],[OrderDate]])</f>
        <v>2016</v>
      </c>
    </row>
    <row r="1951" spans="1:13" x14ac:dyDescent="0.3">
      <c r="A1951">
        <v>1950</v>
      </c>
      <c r="B1951">
        <v>4</v>
      </c>
      <c r="C1951">
        <v>6</v>
      </c>
      <c r="D1951" s="1">
        <v>42481</v>
      </c>
      <c r="E1951">
        <v>128</v>
      </c>
      <c r="F1951">
        <f>VLOOKUP(ORDERS[[#This Row],[ProductID]],Products[],4,FALSE)</f>
        <v>28</v>
      </c>
      <c r="G1951">
        <v>0</v>
      </c>
      <c r="H1951">
        <f>(ORDERS[[#This Row],[UnitsOrdered]]*ORDERS[[#This Row],[unit price]])-(ORDERS[[#This Row],[UnitsOrdered]]*ORDERS[[#This Row],[unit price]]*ORDERS[[#This Row],[Discount]])</f>
        <v>3584</v>
      </c>
      <c r="I1951" t="str">
        <f>VLOOKUP(ORDERS[[#This Row],[CustomerID]],customers[],2,FALSE)</f>
        <v>Tshirt Unlimited</v>
      </c>
      <c r="J1951" s="2" t="str">
        <f>VLOOKUP(ORDERS[[#This Row],[CustomerID]],customers[],4,FALSE)</f>
        <v>Phoenix</v>
      </c>
      <c r="K1951" s="2" t="str">
        <f>VLOOKUP(ORDERS[[#This Row],[ProductID]],Products[],3,FALSE)</f>
        <v>Female</v>
      </c>
      <c r="L1951" s="2">
        <f>DAY(ORDERS[[#This Row],[OrderDate]])</f>
        <v>21</v>
      </c>
      <c r="M1951" s="2">
        <f>YEAR(ORDERS[[#This Row],[OrderDate]])</f>
        <v>2016</v>
      </c>
    </row>
    <row r="1952" spans="1:13" x14ac:dyDescent="0.3">
      <c r="A1952">
        <v>1951</v>
      </c>
      <c r="B1952">
        <v>6</v>
      </c>
      <c r="C1952">
        <v>1</v>
      </c>
      <c r="D1952" s="1">
        <v>42481</v>
      </c>
      <c r="E1952">
        <v>49</v>
      </c>
      <c r="F1952">
        <f>VLOOKUP(ORDERS[[#This Row],[ProductID]],Products[],4,FALSE)</f>
        <v>20</v>
      </c>
      <c r="G1952">
        <v>0.10000000100000001</v>
      </c>
      <c r="H1952">
        <f>(ORDERS[[#This Row],[UnitsOrdered]]*ORDERS[[#This Row],[unit price]])-(ORDERS[[#This Row],[UnitsOrdered]]*ORDERS[[#This Row],[unit price]]*ORDERS[[#This Row],[Discount]])</f>
        <v>881.99999902000002</v>
      </c>
      <c r="I1952" t="str">
        <f>VLOOKUP(ORDERS[[#This Row],[CustomerID]],customers[],2,FALSE)</f>
        <v>Abracadaba Ink</v>
      </c>
      <c r="J1952" s="2" t="str">
        <f>VLOOKUP(ORDERS[[#This Row],[CustomerID]],customers[],4,FALSE)</f>
        <v>Salt Lake City</v>
      </c>
      <c r="K1952" s="2" t="str">
        <f>VLOOKUP(ORDERS[[#This Row],[ProductID]],Products[],3,FALSE)</f>
        <v>Both</v>
      </c>
      <c r="L1952" s="2">
        <f>DAY(ORDERS[[#This Row],[OrderDate]])</f>
        <v>21</v>
      </c>
      <c r="M1952" s="2">
        <f>YEAR(ORDERS[[#This Row],[OrderDate]])</f>
        <v>2016</v>
      </c>
    </row>
    <row r="1953" spans="1:13" x14ac:dyDescent="0.3">
      <c r="A1953">
        <v>1952</v>
      </c>
      <c r="B1953">
        <v>4</v>
      </c>
      <c r="C1953">
        <v>4</v>
      </c>
      <c r="D1953" s="1">
        <v>42482</v>
      </c>
      <c r="E1953">
        <v>38</v>
      </c>
      <c r="F1953">
        <f>VLOOKUP(ORDERS[[#This Row],[ProductID]],Products[],4,FALSE)</f>
        <v>30</v>
      </c>
      <c r="G1953">
        <v>0</v>
      </c>
      <c r="H1953">
        <f>(ORDERS[[#This Row],[UnitsOrdered]]*ORDERS[[#This Row],[unit price]])-(ORDERS[[#This Row],[UnitsOrdered]]*ORDERS[[#This Row],[unit price]]*ORDERS[[#This Row],[Discount]])</f>
        <v>1140</v>
      </c>
      <c r="I1953" t="str">
        <f>VLOOKUP(ORDERS[[#This Row],[CustomerID]],customers[],2,FALSE)</f>
        <v>Tshirt Unlimited</v>
      </c>
      <c r="J1953" s="2" t="str">
        <f>VLOOKUP(ORDERS[[#This Row],[CustomerID]],customers[],4,FALSE)</f>
        <v>Phoenix</v>
      </c>
      <c r="K1953" s="2" t="str">
        <f>VLOOKUP(ORDERS[[#This Row],[ProductID]],Products[],3,FALSE)</f>
        <v>Both</v>
      </c>
      <c r="L1953" s="2">
        <f>DAY(ORDERS[[#This Row],[OrderDate]])</f>
        <v>22</v>
      </c>
      <c r="M1953" s="2">
        <f>YEAR(ORDERS[[#This Row],[OrderDate]])</f>
        <v>2016</v>
      </c>
    </row>
    <row r="1954" spans="1:13" x14ac:dyDescent="0.3">
      <c r="A1954">
        <v>1953</v>
      </c>
      <c r="B1954">
        <v>5</v>
      </c>
      <c r="C1954">
        <v>4</v>
      </c>
      <c r="D1954" s="1">
        <v>42482</v>
      </c>
      <c r="E1954">
        <v>72</v>
      </c>
      <c r="F1954">
        <f>VLOOKUP(ORDERS[[#This Row],[ProductID]],Products[],4,FALSE)</f>
        <v>30</v>
      </c>
      <c r="G1954">
        <v>0</v>
      </c>
      <c r="H1954">
        <f>(ORDERS[[#This Row],[UnitsOrdered]]*ORDERS[[#This Row],[unit price]])-(ORDERS[[#This Row],[UnitsOrdered]]*ORDERS[[#This Row],[unit price]]*ORDERS[[#This Row],[Discount]])</f>
        <v>2160</v>
      </c>
      <c r="I1954" t="str">
        <f>VLOOKUP(ORDERS[[#This Row],[CustomerID]],customers[],2,FALSE)</f>
        <v>Rags to Riches</v>
      </c>
      <c r="J1954" s="2" t="str">
        <f>VLOOKUP(ORDERS[[#This Row],[CustomerID]],customers[],4,FALSE)</f>
        <v>Las Vegas</v>
      </c>
      <c r="K1954" s="2" t="str">
        <f>VLOOKUP(ORDERS[[#This Row],[ProductID]],Products[],3,FALSE)</f>
        <v>Both</v>
      </c>
      <c r="L1954" s="2">
        <f>DAY(ORDERS[[#This Row],[OrderDate]])</f>
        <v>22</v>
      </c>
      <c r="M1954" s="2">
        <f>YEAR(ORDERS[[#This Row],[OrderDate]])</f>
        <v>2016</v>
      </c>
    </row>
    <row r="1955" spans="1:13" x14ac:dyDescent="0.3">
      <c r="A1955">
        <v>1954</v>
      </c>
      <c r="B1955">
        <v>6</v>
      </c>
      <c r="C1955">
        <v>10</v>
      </c>
      <c r="D1955" s="1">
        <v>42486</v>
      </c>
      <c r="E1955">
        <v>87</v>
      </c>
      <c r="F1955">
        <f>VLOOKUP(ORDERS[[#This Row],[ProductID]],Products[],4,FALSE)</f>
        <v>35</v>
      </c>
      <c r="G1955">
        <v>5.0000001000000002E-2</v>
      </c>
      <c r="H1955">
        <f>(ORDERS[[#This Row],[UnitsOrdered]]*ORDERS[[#This Row],[unit price]])-(ORDERS[[#This Row],[UnitsOrdered]]*ORDERS[[#This Row],[unit price]]*ORDERS[[#This Row],[Discount]])</f>
        <v>2892.7499969549999</v>
      </c>
      <c r="I1955" t="str">
        <f>VLOOKUP(ORDERS[[#This Row],[CustomerID]],customers[],2,FALSE)</f>
        <v>Abracadaba Ink</v>
      </c>
      <c r="J1955" s="2" t="str">
        <f>VLOOKUP(ORDERS[[#This Row],[CustomerID]],customers[],4,FALSE)</f>
        <v>Salt Lake City</v>
      </c>
      <c r="K1955" s="2" t="str">
        <f>VLOOKUP(ORDERS[[#This Row],[ProductID]],Products[],3,FALSE)</f>
        <v>Male</v>
      </c>
      <c r="L1955" s="2">
        <f>DAY(ORDERS[[#This Row],[OrderDate]])</f>
        <v>26</v>
      </c>
      <c r="M1955" s="2">
        <f>YEAR(ORDERS[[#This Row],[OrderDate]])</f>
        <v>2016</v>
      </c>
    </row>
    <row r="1956" spans="1:13" x14ac:dyDescent="0.3">
      <c r="A1956">
        <v>1955</v>
      </c>
      <c r="B1956">
        <v>3</v>
      </c>
      <c r="C1956">
        <v>10</v>
      </c>
      <c r="D1956" s="1">
        <v>42487</v>
      </c>
      <c r="E1956">
        <v>65</v>
      </c>
      <c r="F1956">
        <f>VLOOKUP(ORDERS[[#This Row],[ProductID]],Products[],4,FALSE)</f>
        <v>35</v>
      </c>
      <c r="G1956">
        <v>0</v>
      </c>
      <c r="H1956">
        <f>(ORDERS[[#This Row],[UnitsOrdered]]*ORDERS[[#This Row],[unit price]])-(ORDERS[[#This Row],[UnitsOrdered]]*ORDERS[[#This Row],[unit price]]*ORDERS[[#This Row],[Discount]])</f>
        <v>2275</v>
      </c>
      <c r="I1956" t="str">
        <f>VLOOKUP(ORDERS[[#This Row],[CustomerID]],customers[],2,FALSE)</f>
        <v>Shirts R Us</v>
      </c>
      <c r="J1956" s="2" t="str">
        <f>VLOOKUP(ORDERS[[#This Row],[CustomerID]],customers[],4,FALSE)</f>
        <v>Los Angeles</v>
      </c>
      <c r="K1956" s="2" t="str">
        <f>VLOOKUP(ORDERS[[#This Row],[ProductID]],Products[],3,FALSE)</f>
        <v>Male</v>
      </c>
      <c r="L1956" s="2">
        <f>DAY(ORDERS[[#This Row],[OrderDate]])</f>
        <v>27</v>
      </c>
      <c r="M1956" s="2">
        <f>YEAR(ORDERS[[#This Row],[OrderDate]])</f>
        <v>2016</v>
      </c>
    </row>
    <row r="1957" spans="1:13" x14ac:dyDescent="0.3">
      <c r="A1957">
        <v>1956</v>
      </c>
      <c r="B1957">
        <v>7</v>
      </c>
      <c r="C1957">
        <v>6</v>
      </c>
      <c r="D1957" s="1">
        <v>42487</v>
      </c>
      <c r="E1957">
        <v>73</v>
      </c>
      <c r="F1957">
        <f>VLOOKUP(ORDERS[[#This Row],[ProductID]],Products[],4,FALSE)</f>
        <v>28</v>
      </c>
      <c r="G1957">
        <v>0.10000000100000001</v>
      </c>
      <c r="H1957">
        <f>(ORDERS[[#This Row],[UnitsOrdered]]*ORDERS[[#This Row],[unit price]])-(ORDERS[[#This Row],[UnitsOrdered]]*ORDERS[[#This Row],[unit price]]*ORDERS[[#This Row],[Discount]])</f>
        <v>1839.5999979559999</v>
      </c>
      <c r="I1957" t="str">
        <f>VLOOKUP(ORDERS[[#This Row],[CustomerID]],customers[],2,FALSE)</f>
        <v>The Shirt on Your Back</v>
      </c>
      <c r="J1957" s="2" t="str">
        <f>VLOOKUP(ORDERS[[#This Row],[CustomerID]],customers[],4,FALSE)</f>
        <v>Bonners Ferry</v>
      </c>
      <c r="K1957" s="2" t="str">
        <f>VLOOKUP(ORDERS[[#This Row],[ProductID]],Products[],3,FALSE)</f>
        <v>Female</v>
      </c>
      <c r="L1957" s="2">
        <f>DAY(ORDERS[[#This Row],[OrderDate]])</f>
        <v>27</v>
      </c>
      <c r="M1957" s="2">
        <f>YEAR(ORDERS[[#This Row],[OrderDate]])</f>
        <v>2016</v>
      </c>
    </row>
    <row r="1958" spans="1:13" x14ac:dyDescent="0.3">
      <c r="A1958">
        <v>1957</v>
      </c>
      <c r="B1958">
        <v>7</v>
      </c>
      <c r="C1958">
        <v>4</v>
      </c>
      <c r="D1958" s="1">
        <v>42488</v>
      </c>
      <c r="E1958">
        <v>123</v>
      </c>
      <c r="F1958">
        <f>VLOOKUP(ORDERS[[#This Row],[ProductID]],Products[],4,FALSE)</f>
        <v>30</v>
      </c>
      <c r="G1958">
        <v>0</v>
      </c>
      <c r="H1958">
        <f>(ORDERS[[#This Row],[UnitsOrdered]]*ORDERS[[#This Row],[unit price]])-(ORDERS[[#This Row],[UnitsOrdered]]*ORDERS[[#This Row],[unit price]]*ORDERS[[#This Row],[Discount]])</f>
        <v>3690</v>
      </c>
      <c r="I1958" t="str">
        <f>VLOOKUP(ORDERS[[#This Row],[CustomerID]],customers[],2,FALSE)</f>
        <v>The Shirt on Your Back</v>
      </c>
      <c r="J1958" s="2" t="str">
        <f>VLOOKUP(ORDERS[[#This Row],[CustomerID]],customers[],4,FALSE)</f>
        <v>Bonners Ferry</v>
      </c>
      <c r="K1958" s="2" t="str">
        <f>VLOOKUP(ORDERS[[#This Row],[ProductID]],Products[],3,FALSE)</f>
        <v>Both</v>
      </c>
      <c r="L1958" s="2">
        <f>DAY(ORDERS[[#This Row],[OrderDate]])</f>
        <v>28</v>
      </c>
      <c r="M1958" s="2">
        <f>YEAR(ORDERS[[#This Row],[OrderDate]])</f>
        <v>2016</v>
      </c>
    </row>
    <row r="1959" spans="1:13" x14ac:dyDescent="0.3">
      <c r="A1959">
        <v>1958</v>
      </c>
      <c r="B1959">
        <v>5</v>
      </c>
      <c r="C1959">
        <v>5</v>
      </c>
      <c r="D1959" s="1">
        <v>42489</v>
      </c>
      <c r="E1959">
        <v>72</v>
      </c>
      <c r="F1959">
        <f>VLOOKUP(ORDERS[[#This Row],[ProductID]],Products[],4,FALSE)</f>
        <v>16</v>
      </c>
      <c r="G1959">
        <v>5.0000001000000002E-2</v>
      </c>
      <c r="H1959">
        <f>(ORDERS[[#This Row],[UnitsOrdered]]*ORDERS[[#This Row],[unit price]])-(ORDERS[[#This Row],[UnitsOrdered]]*ORDERS[[#This Row],[unit price]]*ORDERS[[#This Row],[Discount]])</f>
        <v>1094.399998848</v>
      </c>
      <c r="I1959" t="str">
        <f>VLOOKUP(ORDERS[[#This Row],[CustomerID]],customers[],2,FALSE)</f>
        <v>Rags to Riches</v>
      </c>
      <c r="J1959" s="2" t="str">
        <f>VLOOKUP(ORDERS[[#This Row],[CustomerID]],customers[],4,FALSE)</f>
        <v>Las Vegas</v>
      </c>
      <c r="K1959" s="2" t="str">
        <f>VLOOKUP(ORDERS[[#This Row],[ProductID]],Products[],3,FALSE)</f>
        <v>Female</v>
      </c>
      <c r="L1959" s="2">
        <f>DAY(ORDERS[[#This Row],[OrderDate]])</f>
        <v>29</v>
      </c>
      <c r="M1959" s="2">
        <f>YEAR(ORDERS[[#This Row],[OrderDate]])</f>
        <v>2016</v>
      </c>
    </row>
    <row r="1960" spans="1:13" x14ac:dyDescent="0.3">
      <c r="A1960">
        <v>1959</v>
      </c>
      <c r="B1960">
        <v>6</v>
      </c>
      <c r="C1960">
        <v>2</v>
      </c>
      <c r="D1960" s="1">
        <v>42489</v>
      </c>
      <c r="E1960">
        <v>28</v>
      </c>
      <c r="F1960">
        <f>VLOOKUP(ORDERS[[#This Row],[ProductID]],Products[],4,FALSE)</f>
        <v>30</v>
      </c>
      <c r="G1960">
        <v>0</v>
      </c>
      <c r="H1960">
        <f>(ORDERS[[#This Row],[UnitsOrdered]]*ORDERS[[#This Row],[unit price]])-(ORDERS[[#This Row],[UnitsOrdered]]*ORDERS[[#This Row],[unit price]]*ORDERS[[#This Row],[Discount]])</f>
        <v>840</v>
      </c>
      <c r="I1960" t="str">
        <f>VLOOKUP(ORDERS[[#This Row],[CustomerID]],customers[],2,FALSE)</f>
        <v>Abracadaba Ink</v>
      </c>
      <c r="J1960" s="2" t="str">
        <f>VLOOKUP(ORDERS[[#This Row],[CustomerID]],customers[],4,FALSE)</f>
        <v>Salt Lake City</v>
      </c>
      <c r="K1960" s="2" t="str">
        <f>VLOOKUP(ORDERS[[#This Row],[ProductID]],Products[],3,FALSE)</f>
        <v>Both</v>
      </c>
      <c r="L1960" s="2">
        <f>DAY(ORDERS[[#This Row],[OrderDate]])</f>
        <v>29</v>
      </c>
      <c r="M1960" s="2">
        <f>YEAR(ORDERS[[#This Row],[OrderDate]])</f>
        <v>2016</v>
      </c>
    </row>
    <row r="1961" spans="1:13" x14ac:dyDescent="0.3">
      <c r="A1961">
        <v>1960</v>
      </c>
      <c r="B1961">
        <v>6</v>
      </c>
      <c r="C1961">
        <v>4</v>
      </c>
      <c r="D1961" s="1">
        <v>42489</v>
      </c>
      <c r="E1961">
        <v>123</v>
      </c>
      <c r="F1961">
        <f>VLOOKUP(ORDERS[[#This Row],[ProductID]],Products[],4,FALSE)</f>
        <v>30</v>
      </c>
      <c r="G1961">
        <v>0</v>
      </c>
      <c r="H1961">
        <f>(ORDERS[[#This Row],[UnitsOrdered]]*ORDERS[[#This Row],[unit price]])-(ORDERS[[#This Row],[UnitsOrdered]]*ORDERS[[#This Row],[unit price]]*ORDERS[[#This Row],[Discount]])</f>
        <v>3690</v>
      </c>
      <c r="I1961" t="str">
        <f>VLOOKUP(ORDERS[[#This Row],[CustomerID]],customers[],2,FALSE)</f>
        <v>Abracadaba Ink</v>
      </c>
      <c r="J1961" s="2" t="str">
        <f>VLOOKUP(ORDERS[[#This Row],[CustomerID]],customers[],4,FALSE)</f>
        <v>Salt Lake City</v>
      </c>
      <c r="K1961" s="2" t="str">
        <f>VLOOKUP(ORDERS[[#This Row],[ProductID]],Products[],3,FALSE)</f>
        <v>Both</v>
      </c>
      <c r="L1961" s="2">
        <f>DAY(ORDERS[[#This Row],[OrderDate]])</f>
        <v>29</v>
      </c>
      <c r="M1961" s="2">
        <f>YEAR(ORDERS[[#This Row],[OrderDate]])</f>
        <v>2016</v>
      </c>
    </row>
    <row r="1962" spans="1:13" x14ac:dyDescent="0.3">
      <c r="A1962">
        <v>1961</v>
      </c>
      <c r="B1962">
        <v>1</v>
      </c>
      <c r="C1962">
        <v>5</v>
      </c>
      <c r="D1962" s="1">
        <v>42490</v>
      </c>
      <c r="E1962">
        <v>75</v>
      </c>
      <c r="F1962">
        <f>VLOOKUP(ORDERS[[#This Row],[ProductID]],Products[],4,FALSE)</f>
        <v>16</v>
      </c>
      <c r="G1962">
        <v>0.10000000100000001</v>
      </c>
      <c r="H1962">
        <f>(ORDERS[[#This Row],[UnitsOrdered]]*ORDERS[[#This Row],[unit price]])-(ORDERS[[#This Row],[UnitsOrdered]]*ORDERS[[#This Row],[unit price]]*ORDERS[[#This Row],[Discount]])</f>
        <v>1079.9999988</v>
      </c>
      <c r="I1962" t="str">
        <f>VLOOKUP(ORDERS[[#This Row],[CustomerID]],customers[],2,FALSE)</f>
        <v>Threads</v>
      </c>
      <c r="J1962" s="2" t="str">
        <f>VLOOKUP(ORDERS[[#This Row],[CustomerID]],customers[],4,FALSE)</f>
        <v>Seattle</v>
      </c>
      <c r="K1962" s="2" t="str">
        <f>VLOOKUP(ORDERS[[#This Row],[ProductID]],Products[],3,FALSE)</f>
        <v>Female</v>
      </c>
      <c r="L1962" s="2">
        <f>DAY(ORDERS[[#This Row],[OrderDate]])</f>
        <v>30</v>
      </c>
      <c r="M1962" s="2">
        <f>YEAR(ORDERS[[#This Row],[OrderDate]])</f>
        <v>2016</v>
      </c>
    </row>
    <row r="1963" spans="1:13" x14ac:dyDescent="0.3">
      <c r="A1963">
        <v>1962</v>
      </c>
      <c r="B1963">
        <v>4</v>
      </c>
      <c r="C1963">
        <v>1</v>
      </c>
      <c r="D1963" s="1">
        <v>42490</v>
      </c>
      <c r="E1963">
        <v>38</v>
      </c>
      <c r="F1963">
        <f>VLOOKUP(ORDERS[[#This Row],[ProductID]],Products[],4,FALSE)</f>
        <v>20</v>
      </c>
      <c r="G1963">
        <v>5.0000001000000002E-2</v>
      </c>
      <c r="H1963">
        <f>(ORDERS[[#This Row],[UnitsOrdered]]*ORDERS[[#This Row],[unit price]])-(ORDERS[[#This Row],[UnitsOrdered]]*ORDERS[[#This Row],[unit price]]*ORDERS[[#This Row],[Discount]])</f>
        <v>721.99999923999997</v>
      </c>
      <c r="I1963" t="str">
        <f>VLOOKUP(ORDERS[[#This Row],[CustomerID]],customers[],2,FALSE)</f>
        <v>Tshirt Unlimited</v>
      </c>
      <c r="J1963" s="2" t="str">
        <f>VLOOKUP(ORDERS[[#This Row],[CustomerID]],customers[],4,FALSE)</f>
        <v>Phoenix</v>
      </c>
      <c r="K1963" s="2" t="str">
        <f>VLOOKUP(ORDERS[[#This Row],[ProductID]],Products[],3,FALSE)</f>
        <v>Both</v>
      </c>
      <c r="L1963" s="2">
        <f>DAY(ORDERS[[#This Row],[OrderDate]])</f>
        <v>30</v>
      </c>
      <c r="M1963" s="2">
        <f>YEAR(ORDERS[[#This Row],[OrderDate]])</f>
        <v>2016</v>
      </c>
    </row>
    <row r="1964" spans="1:13" x14ac:dyDescent="0.3">
      <c r="A1964">
        <v>1963</v>
      </c>
      <c r="B1964">
        <v>3</v>
      </c>
      <c r="C1964">
        <v>9</v>
      </c>
      <c r="D1964" s="1">
        <v>42491</v>
      </c>
      <c r="E1964">
        <v>143</v>
      </c>
      <c r="F1964">
        <f>VLOOKUP(ORDERS[[#This Row],[ProductID]],Products[],4,FALSE)</f>
        <v>25</v>
      </c>
      <c r="G1964">
        <v>0</v>
      </c>
      <c r="H1964">
        <f>(ORDERS[[#This Row],[UnitsOrdered]]*ORDERS[[#This Row],[unit price]])-(ORDERS[[#This Row],[UnitsOrdered]]*ORDERS[[#This Row],[unit price]]*ORDERS[[#This Row],[Discount]])</f>
        <v>3575</v>
      </c>
      <c r="I1964" t="str">
        <f>VLOOKUP(ORDERS[[#This Row],[CustomerID]],customers[],2,FALSE)</f>
        <v>Shirts R Us</v>
      </c>
      <c r="J1964" s="2" t="str">
        <f>VLOOKUP(ORDERS[[#This Row],[CustomerID]],customers[],4,FALSE)</f>
        <v>Los Angeles</v>
      </c>
      <c r="K1964" s="2" t="str">
        <f>VLOOKUP(ORDERS[[#This Row],[ProductID]],Products[],3,FALSE)</f>
        <v>Male</v>
      </c>
      <c r="L1964" s="2">
        <f>DAY(ORDERS[[#This Row],[OrderDate]])</f>
        <v>1</v>
      </c>
      <c r="M1964" s="2">
        <f>YEAR(ORDERS[[#This Row],[OrderDate]])</f>
        <v>2016</v>
      </c>
    </row>
    <row r="1965" spans="1:13" x14ac:dyDescent="0.3">
      <c r="A1965">
        <v>1964</v>
      </c>
      <c r="B1965">
        <v>4</v>
      </c>
      <c r="C1965">
        <v>1</v>
      </c>
      <c r="D1965" s="1">
        <v>42491</v>
      </c>
      <c r="E1965">
        <v>94</v>
      </c>
      <c r="F1965">
        <f>VLOOKUP(ORDERS[[#This Row],[ProductID]],Products[],4,FALSE)</f>
        <v>20</v>
      </c>
      <c r="G1965">
        <v>0</v>
      </c>
      <c r="H1965">
        <f>(ORDERS[[#This Row],[UnitsOrdered]]*ORDERS[[#This Row],[unit price]])-(ORDERS[[#This Row],[UnitsOrdered]]*ORDERS[[#This Row],[unit price]]*ORDERS[[#This Row],[Discount]])</f>
        <v>1880</v>
      </c>
      <c r="I1965" t="str">
        <f>VLOOKUP(ORDERS[[#This Row],[CustomerID]],customers[],2,FALSE)</f>
        <v>Tshirt Unlimited</v>
      </c>
      <c r="J1965" s="2" t="str">
        <f>VLOOKUP(ORDERS[[#This Row],[CustomerID]],customers[],4,FALSE)</f>
        <v>Phoenix</v>
      </c>
      <c r="K1965" s="2" t="str">
        <f>VLOOKUP(ORDERS[[#This Row],[ProductID]],Products[],3,FALSE)</f>
        <v>Both</v>
      </c>
      <c r="L1965" s="2">
        <f>DAY(ORDERS[[#This Row],[OrderDate]])</f>
        <v>1</v>
      </c>
      <c r="M1965" s="2">
        <f>YEAR(ORDERS[[#This Row],[OrderDate]])</f>
        <v>2016</v>
      </c>
    </row>
    <row r="1966" spans="1:13" x14ac:dyDescent="0.3">
      <c r="A1966">
        <v>1965</v>
      </c>
      <c r="B1966">
        <v>5</v>
      </c>
      <c r="C1966">
        <v>8</v>
      </c>
      <c r="D1966" s="1">
        <v>42491</v>
      </c>
      <c r="E1966">
        <v>84</v>
      </c>
      <c r="F1966">
        <f>VLOOKUP(ORDERS[[#This Row],[ProductID]],Products[],4,FALSE)</f>
        <v>27</v>
      </c>
      <c r="G1966">
        <v>0</v>
      </c>
      <c r="H1966">
        <f>(ORDERS[[#This Row],[UnitsOrdered]]*ORDERS[[#This Row],[unit price]])-(ORDERS[[#This Row],[UnitsOrdered]]*ORDERS[[#This Row],[unit price]]*ORDERS[[#This Row],[Discount]])</f>
        <v>2268</v>
      </c>
      <c r="I1966" t="str">
        <f>VLOOKUP(ORDERS[[#This Row],[CustomerID]],customers[],2,FALSE)</f>
        <v>Rags to Riches</v>
      </c>
      <c r="J1966" s="2" t="str">
        <f>VLOOKUP(ORDERS[[#This Row],[CustomerID]],customers[],4,FALSE)</f>
        <v>Las Vegas</v>
      </c>
      <c r="K1966" s="2" t="str">
        <f>VLOOKUP(ORDERS[[#This Row],[ProductID]],Products[],3,FALSE)</f>
        <v>Female</v>
      </c>
      <c r="L1966" s="2">
        <f>DAY(ORDERS[[#This Row],[OrderDate]])</f>
        <v>1</v>
      </c>
      <c r="M1966" s="2">
        <f>YEAR(ORDERS[[#This Row],[OrderDate]])</f>
        <v>2016</v>
      </c>
    </row>
    <row r="1967" spans="1:13" x14ac:dyDescent="0.3">
      <c r="A1967">
        <v>1966</v>
      </c>
      <c r="B1967">
        <v>6</v>
      </c>
      <c r="C1967">
        <v>9</v>
      </c>
      <c r="D1967" s="1">
        <v>42493</v>
      </c>
      <c r="E1967">
        <v>53</v>
      </c>
      <c r="F1967">
        <f>VLOOKUP(ORDERS[[#This Row],[ProductID]],Products[],4,FALSE)</f>
        <v>25</v>
      </c>
      <c r="G1967">
        <v>0</v>
      </c>
      <c r="H1967">
        <f>(ORDERS[[#This Row],[UnitsOrdered]]*ORDERS[[#This Row],[unit price]])-(ORDERS[[#This Row],[UnitsOrdered]]*ORDERS[[#This Row],[unit price]]*ORDERS[[#This Row],[Discount]])</f>
        <v>1325</v>
      </c>
      <c r="I1967" t="str">
        <f>VLOOKUP(ORDERS[[#This Row],[CustomerID]],customers[],2,FALSE)</f>
        <v>Abracadaba Ink</v>
      </c>
      <c r="J1967" s="2" t="str">
        <f>VLOOKUP(ORDERS[[#This Row],[CustomerID]],customers[],4,FALSE)</f>
        <v>Salt Lake City</v>
      </c>
      <c r="K1967" s="2" t="str">
        <f>VLOOKUP(ORDERS[[#This Row],[ProductID]],Products[],3,FALSE)</f>
        <v>Male</v>
      </c>
      <c r="L1967" s="2">
        <f>DAY(ORDERS[[#This Row],[OrderDate]])</f>
        <v>3</v>
      </c>
      <c r="M1967" s="2">
        <f>YEAR(ORDERS[[#This Row],[OrderDate]])</f>
        <v>2016</v>
      </c>
    </row>
    <row r="1968" spans="1:13" x14ac:dyDescent="0.3">
      <c r="A1968">
        <v>1967</v>
      </c>
      <c r="B1968">
        <v>4</v>
      </c>
      <c r="C1968">
        <v>2</v>
      </c>
      <c r="D1968" s="1">
        <v>42494</v>
      </c>
      <c r="E1968">
        <v>56</v>
      </c>
      <c r="F1968">
        <f>VLOOKUP(ORDERS[[#This Row],[ProductID]],Products[],4,FALSE)</f>
        <v>30</v>
      </c>
      <c r="G1968">
        <v>0</v>
      </c>
      <c r="H1968">
        <f>(ORDERS[[#This Row],[UnitsOrdered]]*ORDERS[[#This Row],[unit price]])-(ORDERS[[#This Row],[UnitsOrdered]]*ORDERS[[#This Row],[unit price]]*ORDERS[[#This Row],[Discount]])</f>
        <v>1680</v>
      </c>
      <c r="I1968" t="str">
        <f>VLOOKUP(ORDERS[[#This Row],[CustomerID]],customers[],2,FALSE)</f>
        <v>Tshirt Unlimited</v>
      </c>
      <c r="J1968" s="2" t="str">
        <f>VLOOKUP(ORDERS[[#This Row],[CustomerID]],customers[],4,FALSE)</f>
        <v>Phoenix</v>
      </c>
      <c r="K1968" s="2" t="str">
        <f>VLOOKUP(ORDERS[[#This Row],[ProductID]],Products[],3,FALSE)</f>
        <v>Both</v>
      </c>
      <c r="L1968" s="2">
        <f>DAY(ORDERS[[#This Row],[OrderDate]])</f>
        <v>4</v>
      </c>
      <c r="M1968" s="2">
        <f>YEAR(ORDERS[[#This Row],[OrderDate]])</f>
        <v>2016</v>
      </c>
    </row>
    <row r="1969" spans="1:13" x14ac:dyDescent="0.3">
      <c r="A1969">
        <v>1968</v>
      </c>
      <c r="B1969">
        <v>2</v>
      </c>
      <c r="C1969">
        <v>9</v>
      </c>
      <c r="D1969" s="1">
        <v>42496</v>
      </c>
      <c r="E1969">
        <v>139</v>
      </c>
      <c r="F1969">
        <f>VLOOKUP(ORDERS[[#This Row],[ProductID]],Products[],4,FALSE)</f>
        <v>25</v>
      </c>
      <c r="G1969">
        <v>0</v>
      </c>
      <c r="H1969">
        <f>(ORDERS[[#This Row],[UnitsOrdered]]*ORDERS[[#This Row],[unit price]])-(ORDERS[[#This Row],[UnitsOrdered]]*ORDERS[[#This Row],[unit price]]*ORDERS[[#This Row],[Discount]])</f>
        <v>3475</v>
      </c>
      <c r="I1969" t="str">
        <f>VLOOKUP(ORDERS[[#This Row],[CustomerID]],customers[],2,FALSE)</f>
        <v>A Shirts Life</v>
      </c>
      <c r="J1969" s="2" t="str">
        <f>VLOOKUP(ORDERS[[#This Row],[CustomerID]],customers[],4,FALSE)</f>
        <v>Portland</v>
      </c>
      <c r="K1969" s="2" t="str">
        <f>VLOOKUP(ORDERS[[#This Row],[ProductID]],Products[],3,FALSE)</f>
        <v>Male</v>
      </c>
      <c r="L1969" s="2">
        <f>DAY(ORDERS[[#This Row],[OrderDate]])</f>
        <v>6</v>
      </c>
      <c r="M1969" s="2">
        <f>YEAR(ORDERS[[#This Row],[OrderDate]])</f>
        <v>2016</v>
      </c>
    </row>
    <row r="1970" spans="1:13" x14ac:dyDescent="0.3">
      <c r="A1970">
        <v>1969</v>
      </c>
      <c r="B1970">
        <v>6</v>
      </c>
      <c r="C1970">
        <v>6</v>
      </c>
      <c r="D1970" s="1">
        <v>42496</v>
      </c>
      <c r="E1970">
        <v>39</v>
      </c>
      <c r="F1970">
        <f>VLOOKUP(ORDERS[[#This Row],[ProductID]],Products[],4,FALSE)</f>
        <v>28</v>
      </c>
      <c r="G1970">
        <v>0</v>
      </c>
      <c r="H1970">
        <f>(ORDERS[[#This Row],[UnitsOrdered]]*ORDERS[[#This Row],[unit price]])-(ORDERS[[#This Row],[UnitsOrdered]]*ORDERS[[#This Row],[unit price]]*ORDERS[[#This Row],[Discount]])</f>
        <v>1092</v>
      </c>
      <c r="I1970" t="str">
        <f>VLOOKUP(ORDERS[[#This Row],[CustomerID]],customers[],2,FALSE)</f>
        <v>Abracadaba Ink</v>
      </c>
      <c r="J1970" s="2" t="str">
        <f>VLOOKUP(ORDERS[[#This Row],[CustomerID]],customers[],4,FALSE)</f>
        <v>Salt Lake City</v>
      </c>
      <c r="K1970" s="2" t="str">
        <f>VLOOKUP(ORDERS[[#This Row],[ProductID]],Products[],3,FALSE)</f>
        <v>Female</v>
      </c>
      <c r="L1970" s="2">
        <f>DAY(ORDERS[[#This Row],[OrderDate]])</f>
        <v>6</v>
      </c>
      <c r="M1970" s="2">
        <f>YEAR(ORDERS[[#This Row],[OrderDate]])</f>
        <v>2016</v>
      </c>
    </row>
    <row r="1971" spans="1:13" x14ac:dyDescent="0.3">
      <c r="A1971">
        <v>1970</v>
      </c>
      <c r="B1971">
        <v>2</v>
      </c>
      <c r="C1971">
        <v>1</v>
      </c>
      <c r="D1971" s="1">
        <v>42499</v>
      </c>
      <c r="E1971">
        <v>116</v>
      </c>
      <c r="F1971">
        <f>VLOOKUP(ORDERS[[#This Row],[ProductID]],Products[],4,FALSE)</f>
        <v>20</v>
      </c>
      <c r="G1971">
        <v>0</v>
      </c>
      <c r="H1971">
        <f>(ORDERS[[#This Row],[UnitsOrdered]]*ORDERS[[#This Row],[unit price]])-(ORDERS[[#This Row],[UnitsOrdered]]*ORDERS[[#This Row],[unit price]]*ORDERS[[#This Row],[Discount]])</f>
        <v>2320</v>
      </c>
      <c r="I1971" t="str">
        <f>VLOOKUP(ORDERS[[#This Row],[CustomerID]],customers[],2,FALSE)</f>
        <v>A Shirts Life</v>
      </c>
      <c r="J1971" s="2" t="str">
        <f>VLOOKUP(ORDERS[[#This Row],[CustomerID]],customers[],4,FALSE)</f>
        <v>Portland</v>
      </c>
      <c r="K1971" s="2" t="str">
        <f>VLOOKUP(ORDERS[[#This Row],[ProductID]],Products[],3,FALSE)</f>
        <v>Both</v>
      </c>
      <c r="L1971" s="2">
        <f>DAY(ORDERS[[#This Row],[OrderDate]])</f>
        <v>9</v>
      </c>
      <c r="M1971" s="2">
        <f>YEAR(ORDERS[[#This Row],[OrderDate]])</f>
        <v>2016</v>
      </c>
    </row>
    <row r="1972" spans="1:13" x14ac:dyDescent="0.3">
      <c r="A1972">
        <v>1971</v>
      </c>
      <c r="B1972">
        <v>4</v>
      </c>
      <c r="C1972">
        <v>5</v>
      </c>
      <c r="D1972" s="1">
        <v>42499</v>
      </c>
      <c r="E1972">
        <v>133</v>
      </c>
      <c r="F1972">
        <f>VLOOKUP(ORDERS[[#This Row],[ProductID]],Products[],4,FALSE)</f>
        <v>16</v>
      </c>
      <c r="G1972">
        <v>0</v>
      </c>
      <c r="H1972">
        <f>(ORDERS[[#This Row],[UnitsOrdered]]*ORDERS[[#This Row],[unit price]])-(ORDERS[[#This Row],[UnitsOrdered]]*ORDERS[[#This Row],[unit price]]*ORDERS[[#This Row],[Discount]])</f>
        <v>2128</v>
      </c>
      <c r="I1972" t="str">
        <f>VLOOKUP(ORDERS[[#This Row],[CustomerID]],customers[],2,FALSE)</f>
        <v>Tshirt Unlimited</v>
      </c>
      <c r="J1972" s="2" t="str">
        <f>VLOOKUP(ORDERS[[#This Row],[CustomerID]],customers[],4,FALSE)</f>
        <v>Phoenix</v>
      </c>
      <c r="K1972" s="2" t="str">
        <f>VLOOKUP(ORDERS[[#This Row],[ProductID]],Products[],3,FALSE)</f>
        <v>Female</v>
      </c>
      <c r="L1972" s="2">
        <f>DAY(ORDERS[[#This Row],[OrderDate]])</f>
        <v>9</v>
      </c>
      <c r="M1972" s="2">
        <f>YEAR(ORDERS[[#This Row],[OrderDate]])</f>
        <v>2016</v>
      </c>
    </row>
    <row r="1973" spans="1:13" x14ac:dyDescent="0.3">
      <c r="A1973">
        <v>1972</v>
      </c>
      <c r="B1973">
        <v>6</v>
      </c>
      <c r="C1973">
        <v>1</v>
      </c>
      <c r="D1973" s="1">
        <v>42500</v>
      </c>
      <c r="E1973">
        <v>134</v>
      </c>
      <c r="F1973">
        <f>VLOOKUP(ORDERS[[#This Row],[ProductID]],Products[],4,FALSE)</f>
        <v>20</v>
      </c>
      <c r="G1973">
        <v>0</v>
      </c>
      <c r="H1973">
        <f>(ORDERS[[#This Row],[UnitsOrdered]]*ORDERS[[#This Row],[unit price]])-(ORDERS[[#This Row],[UnitsOrdered]]*ORDERS[[#This Row],[unit price]]*ORDERS[[#This Row],[Discount]])</f>
        <v>2680</v>
      </c>
      <c r="I1973" t="str">
        <f>VLOOKUP(ORDERS[[#This Row],[CustomerID]],customers[],2,FALSE)</f>
        <v>Abracadaba Ink</v>
      </c>
      <c r="J1973" s="2" t="str">
        <f>VLOOKUP(ORDERS[[#This Row],[CustomerID]],customers[],4,FALSE)</f>
        <v>Salt Lake City</v>
      </c>
      <c r="K1973" s="2" t="str">
        <f>VLOOKUP(ORDERS[[#This Row],[ProductID]],Products[],3,FALSE)</f>
        <v>Both</v>
      </c>
      <c r="L1973" s="2">
        <f>DAY(ORDERS[[#This Row],[OrderDate]])</f>
        <v>10</v>
      </c>
      <c r="M1973" s="2">
        <f>YEAR(ORDERS[[#This Row],[OrderDate]])</f>
        <v>2016</v>
      </c>
    </row>
    <row r="1974" spans="1:13" x14ac:dyDescent="0.3">
      <c r="A1974">
        <v>1973</v>
      </c>
      <c r="B1974">
        <v>6</v>
      </c>
      <c r="C1974">
        <v>6</v>
      </c>
      <c r="D1974" s="1">
        <v>42500</v>
      </c>
      <c r="E1974">
        <v>78</v>
      </c>
      <c r="F1974">
        <f>VLOOKUP(ORDERS[[#This Row],[ProductID]],Products[],4,FALSE)</f>
        <v>28</v>
      </c>
      <c r="G1974">
        <v>0</v>
      </c>
      <c r="H1974">
        <f>(ORDERS[[#This Row],[UnitsOrdered]]*ORDERS[[#This Row],[unit price]])-(ORDERS[[#This Row],[UnitsOrdered]]*ORDERS[[#This Row],[unit price]]*ORDERS[[#This Row],[Discount]])</f>
        <v>2184</v>
      </c>
      <c r="I1974" t="str">
        <f>VLOOKUP(ORDERS[[#This Row],[CustomerID]],customers[],2,FALSE)</f>
        <v>Abracadaba Ink</v>
      </c>
      <c r="J1974" s="2" t="str">
        <f>VLOOKUP(ORDERS[[#This Row],[CustomerID]],customers[],4,FALSE)</f>
        <v>Salt Lake City</v>
      </c>
      <c r="K1974" s="2" t="str">
        <f>VLOOKUP(ORDERS[[#This Row],[ProductID]],Products[],3,FALSE)</f>
        <v>Female</v>
      </c>
      <c r="L1974" s="2">
        <f>DAY(ORDERS[[#This Row],[OrderDate]])</f>
        <v>10</v>
      </c>
      <c r="M1974" s="2">
        <f>YEAR(ORDERS[[#This Row],[OrderDate]])</f>
        <v>2016</v>
      </c>
    </row>
    <row r="1975" spans="1:13" x14ac:dyDescent="0.3">
      <c r="A1975">
        <v>1974</v>
      </c>
      <c r="B1975">
        <v>1</v>
      </c>
      <c r="C1975">
        <v>3</v>
      </c>
      <c r="D1975" s="1">
        <v>42501</v>
      </c>
      <c r="E1975">
        <v>52</v>
      </c>
      <c r="F1975">
        <f>VLOOKUP(ORDERS[[#This Row],[ProductID]],Products[],4,FALSE)</f>
        <v>22</v>
      </c>
      <c r="G1975">
        <v>0</v>
      </c>
      <c r="H1975">
        <f>(ORDERS[[#This Row],[UnitsOrdered]]*ORDERS[[#This Row],[unit price]])-(ORDERS[[#This Row],[UnitsOrdered]]*ORDERS[[#This Row],[unit price]]*ORDERS[[#This Row],[Discount]])</f>
        <v>1144</v>
      </c>
      <c r="I1975" t="str">
        <f>VLOOKUP(ORDERS[[#This Row],[CustomerID]],customers[],2,FALSE)</f>
        <v>Threads</v>
      </c>
      <c r="J1975" s="2" t="str">
        <f>VLOOKUP(ORDERS[[#This Row],[CustomerID]],customers[],4,FALSE)</f>
        <v>Seattle</v>
      </c>
      <c r="K1975" s="2" t="str">
        <f>VLOOKUP(ORDERS[[#This Row],[ProductID]],Products[],3,FALSE)</f>
        <v>Both</v>
      </c>
      <c r="L1975" s="2">
        <f>DAY(ORDERS[[#This Row],[OrderDate]])</f>
        <v>11</v>
      </c>
      <c r="M1975" s="2">
        <f>YEAR(ORDERS[[#This Row],[OrderDate]])</f>
        <v>2016</v>
      </c>
    </row>
    <row r="1976" spans="1:13" x14ac:dyDescent="0.3">
      <c r="A1976">
        <v>1975</v>
      </c>
      <c r="B1976">
        <v>5</v>
      </c>
      <c r="C1976">
        <v>6</v>
      </c>
      <c r="D1976" s="1">
        <v>42501</v>
      </c>
      <c r="E1976">
        <v>60</v>
      </c>
      <c r="F1976">
        <f>VLOOKUP(ORDERS[[#This Row],[ProductID]],Products[],4,FALSE)</f>
        <v>28</v>
      </c>
      <c r="G1976">
        <v>0</v>
      </c>
      <c r="H1976">
        <f>(ORDERS[[#This Row],[UnitsOrdered]]*ORDERS[[#This Row],[unit price]])-(ORDERS[[#This Row],[UnitsOrdered]]*ORDERS[[#This Row],[unit price]]*ORDERS[[#This Row],[Discount]])</f>
        <v>1680</v>
      </c>
      <c r="I1976" t="str">
        <f>VLOOKUP(ORDERS[[#This Row],[CustomerID]],customers[],2,FALSE)</f>
        <v>Rags to Riches</v>
      </c>
      <c r="J1976" s="2" t="str">
        <f>VLOOKUP(ORDERS[[#This Row],[CustomerID]],customers[],4,FALSE)</f>
        <v>Las Vegas</v>
      </c>
      <c r="K1976" s="2" t="str">
        <f>VLOOKUP(ORDERS[[#This Row],[ProductID]],Products[],3,FALSE)</f>
        <v>Female</v>
      </c>
      <c r="L1976" s="2">
        <f>DAY(ORDERS[[#This Row],[OrderDate]])</f>
        <v>11</v>
      </c>
      <c r="M1976" s="2">
        <f>YEAR(ORDERS[[#This Row],[OrderDate]])</f>
        <v>2016</v>
      </c>
    </row>
    <row r="1977" spans="1:13" x14ac:dyDescent="0.3">
      <c r="A1977">
        <v>1976</v>
      </c>
      <c r="B1977">
        <v>7</v>
      </c>
      <c r="C1977">
        <v>2</v>
      </c>
      <c r="D1977" s="1">
        <v>42501</v>
      </c>
      <c r="E1977">
        <v>68</v>
      </c>
      <c r="F1977">
        <f>VLOOKUP(ORDERS[[#This Row],[ProductID]],Products[],4,FALSE)</f>
        <v>30</v>
      </c>
      <c r="G1977">
        <v>0</v>
      </c>
      <c r="H1977">
        <f>(ORDERS[[#This Row],[UnitsOrdered]]*ORDERS[[#This Row],[unit price]])-(ORDERS[[#This Row],[UnitsOrdered]]*ORDERS[[#This Row],[unit price]]*ORDERS[[#This Row],[Discount]])</f>
        <v>2040</v>
      </c>
      <c r="I1977" t="str">
        <f>VLOOKUP(ORDERS[[#This Row],[CustomerID]],customers[],2,FALSE)</f>
        <v>The Shirt on Your Back</v>
      </c>
      <c r="J1977" s="2" t="str">
        <f>VLOOKUP(ORDERS[[#This Row],[CustomerID]],customers[],4,FALSE)</f>
        <v>Bonners Ferry</v>
      </c>
      <c r="K1977" s="2" t="str">
        <f>VLOOKUP(ORDERS[[#This Row],[ProductID]],Products[],3,FALSE)</f>
        <v>Both</v>
      </c>
      <c r="L1977" s="2">
        <f>DAY(ORDERS[[#This Row],[OrderDate]])</f>
        <v>11</v>
      </c>
      <c r="M1977" s="2">
        <f>YEAR(ORDERS[[#This Row],[OrderDate]])</f>
        <v>2016</v>
      </c>
    </row>
    <row r="1978" spans="1:13" x14ac:dyDescent="0.3">
      <c r="A1978">
        <v>1977</v>
      </c>
      <c r="B1978">
        <v>6</v>
      </c>
      <c r="C1978">
        <v>6</v>
      </c>
      <c r="D1978" s="1">
        <v>42502</v>
      </c>
      <c r="E1978">
        <v>149</v>
      </c>
      <c r="F1978">
        <f>VLOOKUP(ORDERS[[#This Row],[ProductID]],Products[],4,FALSE)</f>
        <v>28</v>
      </c>
      <c r="G1978">
        <v>0</v>
      </c>
      <c r="H1978">
        <f>(ORDERS[[#This Row],[UnitsOrdered]]*ORDERS[[#This Row],[unit price]])-(ORDERS[[#This Row],[UnitsOrdered]]*ORDERS[[#This Row],[unit price]]*ORDERS[[#This Row],[Discount]])</f>
        <v>4172</v>
      </c>
      <c r="I1978" t="str">
        <f>VLOOKUP(ORDERS[[#This Row],[CustomerID]],customers[],2,FALSE)</f>
        <v>Abracadaba Ink</v>
      </c>
      <c r="J1978" s="2" t="str">
        <f>VLOOKUP(ORDERS[[#This Row],[CustomerID]],customers[],4,FALSE)</f>
        <v>Salt Lake City</v>
      </c>
      <c r="K1978" s="2" t="str">
        <f>VLOOKUP(ORDERS[[#This Row],[ProductID]],Products[],3,FALSE)</f>
        <v>Female</v>
      </c>
      <c r="L1978" s="2">
        <f>DAY(ORDERS[[#This Row],[OrderDate]])</f>
        <v>12</v>
      </c>
      <c r="M1978" s="2">
        <f>YEAR(ORDERS[[#This Row],[OrderDate]])</f>
        <v>2016</v>
      </c>
    </row>
    <row r="1979" spans="1:13" x14ac:dyDescent="0.3">
      <c r="A1979">
        <v>1978</v>
      </c>
      <c r="B1979">
        <v>7</v>
      </c>
      <c r="C1979">
        <v>8</v>
      </c>
      <c r="D1979" s="1">
        <v>42503</v>
      </c>
      <c r="E1979">
        <v>71</v>
      </c>
      <c r="F1979">
        <f>VLOOKUP(ORDERS[[#This Row],[ProductID]],Products[],4,FALSE)</f>
        <v>27</v>
      </c>
      <c r="G1979">
        <v>0</v>
      </c>
      <c r="H1979">
        <f>(ORDERS[[#This Row],[UnitsOrdered]]*ORDERS[[#This Row],[unit price]])-(ORDERS[[#This Row],[UnitsOrdered]]*ORDERS[[#This Row],[unit price]]*ORDERS[[#This Row],[Discount]])</f>
        <v>1917</v>
      </c>
      <c r="I1979" t="str">
        <f>VLOOKUP(ORDERS[[#This Row],[CustomerID]],customers[],2,FALSE)</f>
        <v>The Shirt on Your Back</v>
      </c>
      <c r="J1979" s="2" t="str">
        <f>VLOOKUP(ORDERS[[#This Row],[CustomerID]],customers[],4,FALSE)</f>
        <v>Bonners Ferry</v>
      </c>
      <c r="K1979" s="2" t="str">
        <f>VLOOKUP(ORDERS[[#This Row],[ProductID]],Products[],3,FALSE)</f>
        <v>Female</v>
      </c>
      <c r="L1979" s="2">
        <f>DAY(ORDERS[[#This Row],[OrderDate]])</f>
        <v>13</v>
      </c>
      <c r="M1979" s="2">
        <f>YEAR(ORDERS[[#This Row],[OrderDate]])</f>
        <v>2016</v>
      </c>
    </row>
    <row r="1980" spans="1:13" x14ac:dyDescent="0.3">
      <c r="A1980">
        <v>1979</v>
      </c>
      <c r="B1980">
        <v>5</v>
      </c>
      <c r="C1980">
        <v>8</v>
      </c>
      <c r="D1980" s="1">
        <v>42504</v>
      </c>
      <c r="E1980">
        <v>132</v>
      </c>
      <c r="F1980">
        <f>VLOOKUP(ORDERS[[#This Row],[ProductID]],Products[],4,FALSE)</f>
        <v>27</v>
      </c>
      <c r="G1980">
        <v>0</v>
      </c>
      <c r="H1980">
        <f>(ORDERS[[#This Row],[UnitsOrdered]]*ORDERS[[#This Row],[unit price]])-(ORDERS[[#This Row],[UnitsOrdered]]*ORDERS[[#This Row],[unit price]]*ORDERS[[#This Row],[Discount]])</f>
        <v>3564</v>
      </c>
      <c r="I1980" t="str">
        <f>VLOOKUP(ORDERS[[#This Row],[CustomerID]],customers[],2,FALSE)</f>
        <v>Rags to Riches</v>
      </c>
      <c r="J1980" s="2" t="str">
        <f>VLOOKUP(ORDERS[[#This Row],[CustomerID]],customers[],4,FALSE)</f>
        <v>Las Vegas</v>
      </c>
      <c r="K1980" s="2" t="str">
        <f>VLOOKUP(ORDERS[[#This Row],[ProductID]],Products[],3,FALSE)</f>
        <v>Female</v>
      </c>
      <c r="L1980" s="2">
        <f>DAY(ORDERS[[#This Row],[OrderDate]])</f>
        <v>14</v>
      </c>
      <c r="M1980" s="2">
        <f>YEAR(ORDERS[[#This Row],[OrderDate]])</f>
        <v>2016</v>
      </c>
    </row>
    <row r="1981" spans="1:13" x14ac:dyDescent="0.3">
      <c r="A1981">
        <v>1980</v>
      </c>
      <c r="B1981">
        <v>6</v>
      </c>
      <c r="C1981">
        <v>2</v>
      </c>
      <c r="D1981" s="1">
        <v>42504</v>
      </c>
      <c r="E1981">
        <v>99</v>
      </c>
      <c r="F1981">
        <f>VLOOKUP(ORDERS[[#This Row],[ProductID]],Products[],4,FALSE)</f>
        <v>30</v>
      </c>
      <c r="G1981">
        <v>0</v>
      </c>
      <c r="H1981">
        <f>(ORDERS[[#This Row],[UnitsOrdered]]*ORDERS[[#This Row],[unit price]])-(ORDERS[[#This Row],[UnitsOrdered]]*ORDERS[[#This Row],[unit price]]*ORDERS[[#This Row],[Discount]])</f>
        <v>2970</v>
      </c>
      <c r="I1981" t="str">
        <f>VLOOKUP(ORDERS[[#This Row],[CustomerID]],customers[],2,FALSE)</f>
        <v>Abracadaba Ink</v>
      </c>
      <c r="J1981" s="2" t="str">
        <f>VLOOKUP(ORDERS[[#This Row],[CustomerID]],customers[],4,FALSE)</f>
        <v>Salt Lake City</v>
      </c>
      <c r="K1981" s="2" t="str">
        <f>VLOOKUP(ORDERS[[#This Row],[ProductID]],Products[],3,FALSE)</f>
        <v>Both</v>
      </c>
      <c r="L1981" s="2">
        <f>DAY(ORDERS[[#This Row],[OrderDate]])</f>
        <v>14</v>
      </c>
      <c r="M1981" s="2">
        <f>YEAR(ORDERS[[#This Row],[OrderDate]])</f>
        <v>2016</v>
      </c>
    </row>
    <row r="1982" spans="1:13" x14ac:dyDescent="0.3">
      <c r="A1982">
        <v>1981</v>
      </c>
      <c r="B1982">
        <v>7</v>
      </c>
      <c r="C1982">
        <v>10</v>
      </c>
      <c r="D1982" s="1">
        <v>42504</v>
      </c>
      <c r="E1982">
        <v>91</v>
      </c>
      <c r="F1982">
        <f>VLOOKUP(ORDERS[[#This Row],[ProductID]],Products[],4,FALSE)</f>
        <v>35</v>
      </c>
      <c r="G1982">
        <v>0</v>
      </c>
      <c r="H1982">
        <f>(ORDERS[[#This Row],[UnitsOrdered]]*ORDERS[[#This Row],[unit price]])-(ORDERS[[#This Row],[UnitsOrdered]]*ORDERS[[#This Row],[unit price]]*ORDERS[[#This Row],[Discount]])</f>
        <v>3185</v>
      </c>
      <c r="I1982" t="str">
        <f>VLOOKUP(ORDERS[[#This Row],[CustomerID]],customers[],2,FALSE)</f>
        <v>The Shirt on Your Back</v>
      </c>
      <c r="J1982" s="2" t="str">
        <f>VLOOKUP(ORDERS[[#This Row],[CustomerID]],customers[],4,FALSE)</f>
        <v>Bonners Ferry</v>
      </c>
      <c r="K1982" s="2" t="str">
        <f>VLOOKUP(ORDERS[[#This Row],[ProductID]],Products[],3,FALSE)</f>
        <v>Male</v>
      </c>
      <c r="L1982" s="2">
        <f>DAY(ORDERS[[#This Row],[OrderDate]])</f>
        <v>14</v>
      </c>
      <c r="M1982" s="2">
        <f>YEAR(ORDERS[[#This Row],[OrderDate]])</f>
        <v>2016</v>
      </c>
    </row>
    <row r="1983" spans="1:13" x14ac:dyDescent="0.3">
      <c r="A1983">
        <v>1982</v>
      </c>
      <c r="B1983">
        <v>2</v>
      </c>
      <c r="C1983">
        <v>7</v>
      </c>
      <c r="D1983" s="1">
        <v>42507</v>
      </c>
      <c r="E1983">
        <v>76</v>
      </c>
      <c r="F1983">
        <f>VLOOKUP(ORDERS[[#This Row],[ProductID]],Products[],4,FALSE)</f>
        <v>38</v>
      </c>
      <c r="G1983">
        <v>0</v>
      </c>
      <c r="H1983">
        <f>(ORDERS[[#This Row],[UnitsOrdered]]*ORDERS[[#This Row],[unit price]])-(ORDERS[[#This Row],[UnitsOrdered]]*ORDERS[[#This Row],[unit price]]*ORDERS[[#This Row],[Discount]])</f>
        <v>2888</v>
      </c>
      <c r="I1983" t="str">
        <f>VLOOKUP(ORDERS[[#This Row],[CustomerID]],customers[],2,FALSE)</f>
        <v>A Shirts Life</v>
      </c>
      <c r="J1983" s="2" t="str">
        <f>VLOOKUP(ORDERS[[#This Row],[CustomerID]],customers[],4,FALSE)</f>
        <v>Portland</v>
      </c>
      <c r="K1983" s="2" t="str">
        <f>VLOOKUP(ORDERS[[#This Row],[ProductID]],Products[],3,FALSE)</f>
        <v>Female</v>
      </c>
      <c r="L1983" s="2">
        <f>DAY(ORDERS[[#This Row],[OrderDate]])</f>
        <v>17</v>
      </c>
      <c r="M1983" s="2">
        <f>YEAR(ORDERS[[#This Row],[OrderDate]])</f>
        <v>2016</v>
      </c>
    </row>
    <row r="1984" spans="1:13" x14ac:dyDescent="0.3">
      <c r="A1984">
        <v>1983</v>
      </c>
      <c r="B1984">
        <v>5</v>
      </c>
      <c r="C1984">
        <v>9</v>
      </c>
      <c r="D1984" s="1">
        <v>42508</v>
      </c>
      <c r="E1984">
        <v>44</v>
      </c>
      <c r="F1984">
        <f>VLOOKUP(ORDERS[[#This Row],[ProductID]],Products[],4,FALSE)</f>
        <v>25</v>
      </c>
      <c r="G1984">
        <v>0</v>
      </c>
      <c r="H1984">
        <f>(ORDERS[[#This Row],[UnitsOrdered]]*ORDERS[[#This Row],[unit price]])-(ORDERS[[#This Row],[UnitsOrdered]]*ORDERS[[#This Row],[unit price]]*ORDERS[[#This Row],[Discount]])</f>
        <v>1100</v>
      </c>
      <c r="I1984" t="str">
        <f>VLOOKUP(ORDERS[[#This Row],[CustomerID]],customers[],2,FALSE)</f>
        <v>Rags to Riches</v>
      </c>
      <c r="J1984" s="2" t="str">
        <f>VLOOKUP(ORDERS[[#This Row],[CustomerID]],customers[],4,FALSE)</f>
        <v>Las Vegas</v>
      </c>
      <c r="K1984" s="2" t="str">
        <f>VLOOKUP(ORDERS[[#This Row],[ProductID]],Products[],3,FALSE)</f>
        <v>Male</v>
      </c>
      <c r="L1984" s="2">
        <f>DAY(ORDERS[[#This Row],[OrderDate]])</f>
        <v>18</v>
      </c>
      <c r="M1984" s="2">
        <f>YEAR(ORDERS[[#This Row],[OrderDate]])</f>
        <v>2016</v>
      </c>
    </row>
    <row r="1985" spans="1:13" x14ac:dyDescent="0.3">
      <c r="A1985">
        <v>1984</v>
      </c>
      <c r="B1985">
        <v>1</v>
      </c>
      <c r="C1985">
        <v>1</v>
      </c>
      <c r="D1985" s="1">
        <v>42509</v>
      </c>
      <c r="E1985">
        <v>31</v>
      </c>
      <c r="F1985">
        <f>VLOOKUP(ORDERS[[#This Row],[ProductID]],Products[],4,FALSE)</f>
        <v>20</v>
      </c>
      <c r="G1985">
        <v>5.0000001000000002E-2</v>
      </c>
      <c r="H1985">
        <f>(ORDERS[[#This Row],[UnitsOrdered]]*ORDERS[[#This Row],[unit price]])-(ORDERS[[#This Row],[UnitsOrdered]]*ORDERS[[#This Row],[unit price]]*ORDERS[[#This Row],[Discount]])</f>
        <v>588.99999937999996</v>
      </c>
      <c r="I1985" t="str">
        <f>VLOOKUP(ORDERS[[#This Row],[CustomerID]],customers[],2,FALSE)</f>
        <v>Threads</v>
      </c>
      <c r="J1985" s="2" t="str">
        <f>VLOOKUP(ORDERS[[#This Row],[CustomerID]],customers[],4,FALSE)</f>
        <v>Seattle</v>
      </c>
      <c r="K1985" s="2" t="str">
        <f>VLOOKUP(ORDERS[[#This Row],[ProductID]],Products[],3,FALSE)</f>
        <v>Both</v>
      </c>
      <c r="L1985" s="2">
        <f>DAY(ORDERS[[#This Row],[OrderDate]])</f>
        <v>19</v>
      </c>
      <c r="M1985" s="2">
        <f>YEAR(ORDERS[[#This Row],[OrderDate]])</f>
        <v>2016</v>
      </c>
    </row>
    <row r="1986" spans="1:13" x14ac:dyDescent="0.3">
      <c r="A1986">
        <v>1985</v>
      </c>
      <c r="B1986">
        <v>5</v>
      </c>
      <c r="C1986">
        <v>7</v>
      </c>
      <c r="D1986" s="1">
        <v>42510</v>
      </c>
      <c r="E1986">
        <v>77</v>
      </c>
      <c r="F1986">
        <f>VLOOKUP(ORDERS[[#This Row],[ProductID]],Products[],4,FALSE)</f>
        <v>38</v>
      </c>
      <c r="G1986">
        <v>0</v>
      </c>
      <c r="H1986">
        <f>(ORDERS[[#This Row],[UnitsOrdered]]*ORDERS[[#This Row],[unit price]])-(ORDERS[[#This Row],[UnitsOrdered]]*ORDERS[[#This Row],[unit price]]*ORDERS[[#This Row],[Discount]])</f>
        <v>2926</v>
      </c>
      <c r="I1986" t="str">
        <f>VLOOKUP(ORDERS[[#This Row],[CustomerID]],customers[],2,FALSE)</f>
        <v>Rags to Riches</v>
      </c>
      <c r="J1986" s="2" t="str">
        <f>VLOOKUP(ORDERS[[#This Row],[CustomerID]],customers[],4,FALSE)</f>
        <v>Las Vegas</v>
      </c>
      <c r="K1986" s="2" t="str">
        <f>VLOOKUP(ORDERS[[#This Row],[ProductID]],Products[],3,FALSE)</f>
        <v>Female</v>
      </c>
      <c r="L1986" s="2">
        <f>DAY(ORDERS[[#This Row],[OrderDate]])</f>
        <v>20</v>
      </c>
      <c r="M1986" s="2">
        <f>YEAR(ORDERS[[#This Row],[OrderDate]])</f>
        <v>2016</v>
      </c>
    </row>
    <row r="1987" spans="1:13" x14ac:dyDescent="0.3">
      <c r="A1987">
        <v>1986</v>
      </c>
      <c r="B1987">
        <v>6</v>
      </c>
      <c r="C1987">
        <v>9</v>
      </c>
      <c r="D1987" s="1">
        <v>42510</v>
      </c>
      <c r="E1987">
        <v>136</v>
      </c>
      <c r="F1987">
        <f>VLOOKUP(ORDERS[[#This Row],[ProductID]],Products[],4,FALSE)</f>
        <v>25</v>
      </c>
      <c r="G1987">
        <v>0</v>
      </c>
      <c r="H1987">
        <f>(ORDERS[[#This Row],[UnitsOrdered]]*ORDERS[[#This Row],[unit price]])-(ORDERS[[#This Row],[UnitsOrdered]]*ORDERS[[#This Row],[unit price]]*ORDERS[[#This Row],[Discount]])</f>
        <v>3400</v>
      </c>
      <c r="I1987" t="str">
        <f>VLOOKUP(ORDERS[[#This Row],[CustomerID]],customers[],2,FALSE)</f>
        <v>Abracadaba Ink</v>
      </c>
      <c r="J1987" s="2" t="str">
        <f>VLOOKUP(ORDERS[[#This Row],[CustomerID]],customers[],4,FALSE)</f>
        <v>Salt Lake City</v>
      </c>
      <c r="K1987" s="2" t="str">
        <f>VLOOKUP(ORDERS[[#This Row],[ProductID]],Products[],3,FALSE)</f>
        <v>Male</v>
      </c>
      <c r="L1987" s="2">
        <f>DAY(ORDERS[[#This Row],[OrderDate]])</f>
        <v>20</v>
      </c>
      <c r="M1987" s="2">
        <f>YEAR(ORDERS[[#This Row],[OrderDate]])</f>
        <v>2016</v>
      </c>
    </row>
    <row r="1988" spans="1:13" x14ac:dyDescent="0.3">
      <c r="A1988">
        <v>1987</v>
      </c>
      <c r="B1988">
        <v>5</v>
      </c>
      <c r="C1988">
        <v>3</v>
      </c>
      <c r="D1988" s="1">
        <v>42512</v>
      </c>
      <c r="E1988">
        <v>104</v>
      </c>
      <c r="F1988">
        <f>VLOOKUP(ORDERS[[#This Row],[ProductID]],Products[],4,FALSE)</f>
        <v>22</v>
      </c>
      <c r="G1988">
        <v>5.0000001000000002E-2</v>
      </c>
      <c r="H1988">
        <f>(ORDERS[[#This Row],[UnitsOrdered]]*ORDERS[[#This Row],[unit price]])-(ORDERS[[#This Row],[UnitsOrdered]]*ORDERS[[#This Row],[unit price]]*ORDERS[[#This Row],[Discount]])</f>
        <v>2173.599997712</v>
      </c>
      <c r="I1988" t="str">
        <f>VLOOKUP(ORDERS[[#This Row],[CustomerID]],customers[],2,FALSE)</f>
        <v>Rags to Riches</v>
      </c>
      <c r="J1988" s="2" t="str">
        <f>VLOOKUP(ORDERS[[#This Row],[CustomerID]],customers[],4,FALSE)</f>
        <v>Las Vegas</v>
      </c>
      <c r="K1988" s="2" t="str">
        <f>VLOOKUP(ORDERS[[#This Row],[ProductID]],Products[],3,FALSE)</f>
        <v>Both</v>
      </c>
      <c r="L1988" s="2">
        <f>DAY(ORDERS[[#This Row],[OrderDate]])</f>
        <v>22</v>
      </c>
      <c r="M1988" s="2">
        <f>YEAR(ORDERS[[#This Row],[OrderDate]])</f>
        <v>2016</v>
      </c>
    </row>
    <row r="1989" spans="1:13" x14ac:dyDescent="0.3">
      <c r="A1989">
        <v>1988</v>
      </c>
      <c r="B1989">
        <v>5</v>
      </c>
      <c r="C1989">
        <v>3</v>
      </c>
      <c r="D1989" s="1">
        <v>42513</v>
      </c>
      <c r="E1989">
        <v>91</v>
      </c>
      <c r="F1989">
        <f>VLOOKUP(ORDERS[[#This Row],[ProductID]],Products[],4,FALSE)</f>
        <v>22</v>
      </c>
      <c r="G1989">
        <v>0</v>
      </c>
      <c r="H1989">
        <f>(ORDERS[[#This Row],[UnitsOrdered]]*ORDERS[[#This Row],[unit price]])-(ORDERS[[#This Row],[UnitsOrdered]]*ORDERS[[#This Row],[unit price]]*ORDERS[[#This Row],[Discount]])</f>
        <v>2002</v>
      </c>
      <c r="I1989" t="str">
        <f>VLOOKUP(ORDERS[[#This Row],[CustomerID]],customers[],2,FALSE)</f>
        <v>Rags to Riches</v>
      </c>
      <c r="J1989" s="2" t="str">
        <f>VLOOKUP(ORDERS[[#This Row],[CustomerID]],customers[],4,FALSE)</f>
        <v>Las Vegas</v>
      </c>
      <c r="K1989" s="2" t="str">
        <f>VLOOKUP(ORDERS[[#This Row],[ProductID]],Products[],3,FALSE)</f>
        <v>Both</v>
      </c>
      <c r="L1989" s="2">
        <f>DAY(ORDERS[[#This Row],[OrderDate]])</f>
        <v>23</v>
      </c>
      <c r="M1989" s="2">
        <f>YEAR(ORDERS[[#This Row],[OrderDate]])</f>
        <v>2016</v>
      </c>
    </row>
    <row r="1990" spans="1:13" x14ac:dyDescent="0.3">
      <c r="A1990">
        <v>1989</v>
      </c>
      <c r="B1990">
        <v>3</v>
      </c>
      <c r="C1990">
        <v>7</v>
      </c>
      <c r="D1990" s="1">
        <v>42514</v>
      </c>
      <c r="E1990">
        <v>89</v>
      </c>
      <c r="F1990">
        <f>VLOOKUP(ORDERS[[#This Row],[ProductID]],Products[],4,FALSE)</f>
        <v>38</v>
      </c>
      <c r="G1990">
        <v>0</v>
      </c>
      <c r="H1990">
        <f>(ORDERS[[#This Row],[UnitsOrdered]]*ORDERS[[#This Row],[unit price]])-(ORDERS[[#This Row],[UnitsOrdered]]*ORDERS[[#This Row],[unit price]]*ORDERS[[#This Row],[Discount]])</f>
        <v>3382</v>
      </c>
      <c r="I1990" t="str">
        <f>VLOOKUP(ORDERS[[#This Row],[CustomerID]],customers[],2,FALSE)</f>
        <v>Shirts R Us</v>
      </c>
      <c r="J1990" s="2" t="str">
        <f>VLOOKUP(ORDERS[[#This Row],[CustomerID]],customers[],4,FALSE)</f>
        <v>Los Angeles</v>
      </c>
      <c r="K1990" s="2" t="str">
        <f>VLOOKUP(ORDERS[[#This Row],[ProductID]],Products[],3,FALSE)</f>
        <v>Female</v>
      </c>
      <c r="L1990" s="2">
        <f>DAY(ORDERS[[#This Row],[OrderDate]])</f>
        <v>24</v>
      </c>
      <c r="M1990" s="2">
        <f>YEAR(ORDERS[[#This Row],[OrderDate]])</f>
        <v>2016</v>
      </c>
    </row>
    <row r="1991" spans="1:13" x14ac:dyDescent="0.3">
      <c r="A1991">
        <v>1990</v>
      </c>
      <c r="B1991">
        <v>5</v>
      </c>
      <c r="C1991">
        <v>1</v>
      </c>
      <c r="D1991" s="1">
        <v>42514</v>
      </c>
      <c r="E1991">
        <v>30</v>
      </c>
      <c r="F1991">
        <f>VLOOKUP(ORDERS[[#This Row],[ProductID]],Products[],4,FALSE)</f>
        <v>20</v>
      </c>
      <c r="G1991">
        <v>0</v>
      </c>
      <c r="H1991">
        <f>(ORDERS[[#This Row],[UnitsOrdered]]*ORDERS[[#This Row],[unit price]])-(ORDERS[[#This Row],[UnitsOrdered]]*ORDERS[[#This Row],[unit price]]*ORDERS[[#This Row],[Discount]])</f>
        <v>600</v>
      </c>
      <c r="I1991" t="str">
        <f>VLOOKUP(ORDERS[[#This Row],[CustomerID]],customers[],2,FALSE)</f>
        <v>Rags to Riches</v>
      </c>
      <c r="J1991" s="2" t="str">
        <f>VLOOKUP(ORDERS[[#This Row],[CustomerID]],customers[],4,FALSE)</f>
        <v>Las Vegas</v>
      </c>
      <c r="K1991" s="2" t="str">
        <f>VLOOKUP(ORDERS[[#This Row],[ProductID]],Products[],3,FALSE)</f>
        <v>Both</v>
      </c>
      <c r="L1991" s="2">
        <f>DAY(ORDERS[[#This Row],[OrderDate]])</f>
        <v>24</v>
      </c>
      <c r="M1991" s="2">
        <f>YEAR(ORDERS[[#This Row],[OrderDate]])</f>
        <v>2016</v>
      </c>
    </row>
    <row r="1992" spans="1:13" x14ac:dyDescent="0.3">
      <c r="A1992">
        <v>1991</v>
      </c>
      <c r="B1992">
        <v>1</v>
      </c>
      <c r="C1992">
        <v>7</v>
      </c>
      <c r="D1992" s="1">
        <v>42515</v>
      </c>
      <c r="E1992">
        <v>138</v>
      </c>
      <c r="F1992">
        <f>VLOOKUP(ORDERS[[#This Row],[ProductID]],Products[],4,FALSE)</f>
        <v>38</v>
      </c>
      <c r="G1992">
        <v>0.10000000100000001</v>
      </c>
      <c r="H1992">
        <f>(ORDERS[[#This Row],[UnitsOrdered]]*ORDERS[[#This Row],[unit price]])-(ORDERS[[#This Row],[UnitsOrdered]]*ORDERS[[#This Row],[unit price]]*ORDERS[[#This Row],[Discount]])</f>
        <v>4719.5999947560003</v>
      </c>
      <c r="I1992" t="str">
        <f>VLOOKUP(ORDERS[[#This Row],[CustomerID]],customers[],2,FALSE)</f>
        <v>Threads</v>
      </c>
      <c r="J1992" s="2" t="str">
        <f>VLOOKUP(ORDERS[[#This Row],[CustomerID]],customers[],4,FALSE)</f>
        <v>Seattle</v>
      </c>
      <c r="K1992" s="2" t="str">
        <f>VLOOKUP(ORDERS[[#This Row],[ProductID]],Products[],3,FALSE)</f>
        <v>Female</v>
      </c>
      <c r="L1992" s="2">
        <f>DAY(ORDERS[[#This Row],[OrderDate]])</f>
        <v>25</v>
      </c>
      <c r="M1992" s="2">
        <f>YEAR(ORDERS[[#This Row],[OrderDate]])</f>
        <v>2016</v>
      </c>
    </row>
    <row r="1993" spans="1:13" x14ac:dyDescent="0.3">
      <c r="A1993">
        <v>1992</v>
      </c>
      <c r="B1993">
        <v>4</v>
      </c>
      <c r="C1993">
        <v>8</v>
      </c>
      <c r="D1993" s="1">
        <v>42516</v>
      </c>
      <c r="E1993">
        <v>126</v>
      </c>
      <c r="F1993">
        <f>VLOOKUP(ORDERS[[#This Row],[ProductID]],Products[],4,FALSE)</f>
        <v>27</v>
      </c>
      <c r="G1993">
        <v>0</v>
      </c>
      <c r="H1993">
        <f>(ORDERS[[#This Row],[UnitsOrdered]]*ORDERS[[#This Row],[unit price]])-(ORDERS[[#This Row],[UnitsOrdered]]*ORDERS[[#This Row],[unit price]]*ORDERS[[#This Row],[Discount]])</f>
        <v>3402</v>
      </c>
      <c r="I1993" t="str">
        <f>VLOOKUP(ORDERS[[#This Row],[CustomerID]],customers[],2,FALSE)</f>
        <v>Tshirt Unlimited</v>
      </c>
      <c r="J1993" s="2" t="str">
        <f>VLOOKUP(ORDERS[[#This Row],[CustomerID]],customers[],4,FALSE)</f>
        <v>Phoenix</v>
      </c>
      <c r="K1993" s="2" t="str">
        <f>VLOOKUP(ORDERS[[#This Row],[ProductID]],Products[],3,FALSE)</f>
        <v>Female</v>
      </c>
      <c r="L1993" s="2">
        <f>DAY(ORDERS[[#This Row],[OrderDate]])</f>
        <v>26</v>
      </c>
      <c r="M1993" s="2">
        <f>YEAR(ORDERS[[#This Row],[OrderDate]])</f>
        <v>2016</v>
      </c>
    </row>
    <row r="1994" spans="1:13" x14ac:dyDescent="0.3">
      <c r="A1994">
        <v>1993</v>
      </c>
      <c r="B1994">
        <v>3</v>
      </c>
      <c r="C1994">
        <v>8</v>
      </c>
      <c r="D1994" s="1">
        <v>42518</v>
      </c>
      <c r="E1994">
        <v>106</v>
      </c>
      <c r="F1994">
        <f>VLOOKUP(ORDERS[[#This Row],[ProductID]],Products[],4,FALSE)</f>
        <v>27</v>
      </c>
      <c r="G1994">
        <v>0</v>
      </c>
      <c r="H1994">
        <f>(ORDERS[[#This Row],[UnitsOrdered]]*ORDERS[[#This Row],[unit price]])-(ORDERS[[#This Row],[UnitsOrdered]]*ORDERS[[#This Row],[unit price]]*ORDERS[[#This Row],[Discount]])</f>
        <v>2862</v>
      </c>
      <c r="I1994" t="str">
        <f>VLOOKUP(ORDERS[[#This Row],[CustomerID]],customers[],2,FALSE)</f>
        <v>Shirts R Us</v>
      </c>
      <c r="J1994" s="2" t="str">
        <f>VLOOKUP(ORDERS[[#This Row],[CustomerID]],customers[],4,FALSE)</f>
        <v>Los Angeles</v>
      </c>
      <c r="K1994" s="2" t="str">
        <f>VLOOKUP(ORDERS[[#This Row],[ProductID]],Products[],3,FALSE)</f>
        <v>Female</v>
      </c>
      <c r="L1994" s="2">
        <f>DAY(ORDERS[[#This Row],[OrderDate]])</f>
        <v>28</v>
      </c>
      <c r="M1994" s="2">
        <f>YEAR(ORDERS[[#This Row],[OrderDate]])</f>
        <v>2016</v>
      </c>
    </row>
    <row r="1995" spans="1:13" x14ac:dyDescent="0.3">
      <c r="A1995">
        <v>1994</v>
      </c>
      <c r="B1995">
        <v>3</v>
      </c>
      <c r="C1995">
        <v>10</v>
      </c>
      <c r="D1995" s="1">
        <v>42519</v>
      </c>
      <c r="E1995">
        <v>46</v>
      </c>
      <c r="F1995">
        <f>VLOOKUP(ORDERS[[#This Row],[ProductID]],Products[],4,FALSE)</f>
        <v>35</v>
      </c>
      <c r="G1995">
        <v>0.15000000599999999</v>
      </c>
      <c r="H1995">
        <f>(ORDERS[[#This Row],[UnitsOrdered]]*ORDERS[[#This Row],[unit price]])-(ORDERS[[#This Row],[UnitsOrdered]]*ORDERS[[#This Row],[unit price]]*ORDERS[[#This Row],[Discount]])</f>
        <v>1368.4999903400001</v>
      </c>
      <c r="I1995" t="str">
        <f>VLOOKUP(ORDERS[[#This Row],[CustomerID]],customers[],2,FALSE)</f>
        <v>Shirts R Us</v>
      </c>
      <c r="J1995" s="2" t="str">
        <f>VLOOKUP(ORDERS[[#This Row],[CustomerID]],customers[],4,FALSE)</f>
        <v>Los Angeles</v>
      </c>
      <c r="K1995" s="2" t="str">
        <f>VLOOKUP(ORDERS[[#This Row],[ProductID]],Products[],3,FALSE)</f>
        <v>Male</v>
      </c>
      <c r="L1995" s="2">
        <f>DAY(ORDERS[[#This Row],[OrderDate]])</f>
        <v>29</v>
      </c>
      <c r="M1995" s="2">
        <f>YEAR(ORDERS[[#This Row],[OrderDate]])</f>
        <v>2016</v>
      </c>
    </row>
    <row r="1996" spans="1:13" x14ac:dyDescent="0.3">
      <c r="A1996">
        <v>1995</v>
      </c>
      <c r="B1996">
        <v>5</v>
      </c>
      <c r="C1996">
        <v>2</v>
      </c>
      <c r="D1996" s="1">
        <v>42520</v>
      </c>
      <c r="E1996">
        <v>91</v>
      </c>
      <c r="F1996">
        <f>VLOOKUP(ORDERS[[#This Row],[ProductID]],Products[],4,FALSE)</f>
        <v>30</v>
      </c>
      <c r="G1996">
        <v>0.10000000100000001</v>
      </c>
      <c r="H1996">
        <f>(ORDERS[[#This Row],[UnitsOrdered]]*ORDERS[[#This Row],[unit price]])-(ORDERS[[#This Row],[UnitsOrdered]]*ORDERS[[#This Row],[unit price]]*ORDERS[[#This Row],[Discount]])</f>
        <v>2456.9999972699998</v>
      </c>
      <c r="I1996" t="str">
        <f>VLOOKUP(ORDERS[[#This Row],[CustomerID]],customers[],2,FALSE)</f>
        <v>Rags to Riches</v>
      </c>
      <c r="J1996" s="2" t="str">
        <f>VLOOKUP(ORDERS[[#This Row],[CustomerID]],customers[],4,FALSE)</f>
        <v>Las Vegas</v>
      </c>
      <c r="K1996" s="2" t="str">
        <f>VLOOKUP(ORDERS[[#This Row],[ProductID]],Products[],3,FALSE)</f>
        <v>Both</v>
      </c>
      <c r="L1996" s="2">
        <f>DAY(ORDERS[[#This Row],[OrderDate]])</f>
        <v>30</v>
      </c>
      <c r="M1996" s="2">
        <f>YEAR(ORDERS[[#This Row],[OrderDate]])</f>
        <v>2016</v>
      </c>
    </row>
    <row r="1997" spans="1:13" x14ac:dyDescent="0.3">
      <c r="A1997">
        <v>1996</v>
      </c>
      <c r="B1997">
        <v>5</v>
      </c>
      <c r="C1997">
        <v>3</v>
      </c>
      <c r="D1997" s="1">
        <v>42520</v>
      </c>
      <c r="E1997">
        <v>135</v>
      </c>
      <c r="F1997">
        <f>VLOOKUP(ORDERS[[#This Row],[ProductID]],Products[],4,FALSE)</f>
        <v>22</v>
      </c>
      <c r="G1997">
        <v>0</v>
      </c>
      <c r="H1997">
        <f>(ORDERS[[#This Row],[UnitsOrdered]]*ORDERS[[#This Row],[unit price]])-(ORDERS[[#This Row],[UnitsOrdered]]*ORDERS[[#This Row],[unit price]]*ORDERS[[#This Row],[Discount]])</f>
        <v>2970</v>
      </c>
      <c r="I1997" t="str">
        <f>VLOOKUP(ORDERS[[#This Row],[CustomerID]],customers[],2,FALSE)</f>
        <v>Rags to Riches</v>
      </c>
      <c r="J1997" s="2" t="str">
        <f>VLOOKUP(ORDERS[[#This Row],[CustomerID]],customers[],4,FALSE)</f>
        <v>Las Vegas</v>
      </c>
      <c r="K1997" s="2" t="str">
        <f>VLOOKUP(ORDERS[[#This Row],[ProductID]],Products[],3,FALSE)</f>
        <v>Both</v>
      </c>
      <c r="L1997" s="2">
        <f>DAY(ORDERS[[#This Row],[OrderDate]])</f>
        <v>30</v>
      </c>
      <c r="M1997" s="2">
        <f>YEAR(ORDERS[[#This Row],[OrderDate]])</f>
        <v>2016</v>
      </c>
    </row>
    <row r="1998" spans="1:13" x14ac:dyDescent="0.3">
      <c r="A1998">
        <v>1997</v>
      </c>
      <c r="B1998">
        <v>5</v>
      </c>
      <c r="C1998">
        <v>7</v>
      </c>
      <c r="D1998" s="1">
        <v>42520</v>
      </c>
      <c r="E1998">
        <v>133</v>
      </c>
      <c r="F1998">
        <f>VLOOKUP(ORDERS[[#This Row],[ProductID]],Products[],4,FALSE)</f>
        <v>38</v>
      </c>
      <c r="G1998">
        <v>0</v>
      </c>
      <c r="H1998">
        <f>(ORDERS[[#This Row],[UnitsOrdered]]*ORDERS[[#This Row],[unit price]])-(ORDERS[[#This Row],[UnitsOrdered]]*ORDERS[[#This Row],[unit price]]*ORDERS[[#This Row],[Discount]])</f>
        <v>5054</v>
      </c>
      <c r="I1998" t="str">
        <f>VLOOKUP(ORDERS[[#This Row],[CustomerID]],customers[],2,FALSE)</f>
        <v>Rags to Riches</v>
      </c>
      <c r="J1998" s="2" t="str">
        <f>VLOOKUP(ORDERS[[#This Row],[CustomerID]],customers[],4,FALSE)</f>
        <v>Las Vegas</v>
      </c>
      <c r="K1998" s="2" t="str">
        <f>VLOOKUP(ORDERS[[#This Row],[ProductID]],Products[],3,FALSE)</f>
        <v>Female</v>
      </c>
      <c r="L1998" s="2">
        <f>DAY(ORDERS[[#This Row],[OrderDate]])</f>
        <v>30</v>
      </c>
      <c r="M1998" s="2">
        <f>YEAR(ORDERS[[#This Row],[OrderDate]])</f>
        <v>2016</v>
      </c>
    </row>
    <row r="1999" spans="1:13" x14ac:dyDescent="0.3">
      <c r="A1999">
        <v>1998</v>
      </c>
      <c r="B1999">
        <v>5</v>
      </c>
      <c r="C1999">
        <v>8</v>
      </c>
      <c r="D1999" s="1">
        <v>42520</v>
      </c>
      <c r="E1999">
        <v>139</v>
      </c>
      <c r="F1999">
        <f>VLOOKUP(ORDERS[[#This Row],[ProductID]],Products[],4,FALSE)</f>
        <v>27</v>
      </c>
      <c r="G1999">
        <v>0</v>
      </c>
      <c r="H1999">
        <f>(ORDERS[[#This Row],[UnitsOrdered]]*ORDERS[[#This Row],[unit price]])-(ORDERS[[#This Row],[UnitsOrdered]]*ORDERS[[#This Row],[unit price]]*ORDERS[[#This Row],[Discount]])</f>
        <v>3753</v>
      </c>
      <c r="I1999" t="str">
        <f>VLOOKUP(ORDERS[[#This Row],[CustomerID]],customers[],2,FALSE)</f>
        <v>Rags to Riches</v>
      </c>
      <c r="J1999" s="2" t="str">
        <f>VLOOKUP(ORDERS[[#This Row],[CustomerID]],customers[],4,FALSE)</f>
        <v>Las Vegas</v>
      </c>
      <c r="K1999" s="2" t="str">
        <f>VLOOKUP(ORDERS[[#This Row],[ProductID]],Products[],3,FALSE)</f>
        <v>Female</v>
      </c>
      <c r="L1999" s="2">
        <f>DAY(ORDERS[[#This Row],[OrderDate]])</f>
        <v>30</v>
      </c>
      <c r="M1999" s="2">
        <f>YEAR(ORDERS[[#This Row],[OrderDate]])</f>
        <v>2016</v>
      </c>
    </row>
    <row r="2000" spans="1:13" x14ac:dyDescent="0.3">
      <c r="A2000">
        <v>1999</v>
      </c>
      <c r="B2000">
        <v>6</v>
      </c>
      <c r="C2000">
        <v>7</v>
      </c>
      <c r="D2000" s="1">
        <v>42522</v>
      </c>
      <c r="E2000">
        <v>47</v>
      </c>
      <c r="F2000">
        <f>VLOOKUP(ORDERS[[#This Row],[ProductID]],Products[],4,FALSE)</f>
        <v>38</v>
      </c>
      <c r="G2000">
        <v>0.10000000100000001</v>
      </c>
      <c r="H2000">
        <f>(ORDERS[[#This Row],[UnitsOrdered]]*ORDERS[[#This Row],[unit price]])-(ORDERS[[#This Row],[UnitsOrdered]]*ORDERS[[#This Row],[unit price]]*ORDERS[[#This Row],[Discount]])</f>
        <v>1607.3999982139999</v>
      </c>
      <c r="I2000" t="str">
        <f>VLOOKUP(ORDERS[[#This Row],[CustomerID]],customers[],2,FALSE)</f>
        <v>Abracadaba Ink</v>
      </c>
      <c r="J2000" s="2" t="str">
        <f>VLOOKUP(ORDERS[[#This Row],[CustomerID]],customers[],4,FALSE)</f>
        <v>Salt Lake City</v>
      </c>
      <c r="K2000" s="2" t="str">
        <f>VLOOKUP(ORDERS[[#This Row],[ProductID]],Products[],3,FALSE)</f>
        <v>Female</v>
      </c>
      <c r="L2000" s="2">
        <f>DAY(ORDERS[[#This Row],[OrderDate]])</f>
        <v>1</v>
      </c>
      <c r="M2000" s="2">
        <f>YEAR(ORDERS[[#This Row],[OrderDate]])</f>
        <v>2016</v>
      </c>
    </row>
    <row r="2001" spans="1:13" x14ac:dyDescent="0.3">
      <c r="A2001">
        <v>2000</v>
      </c>
      <c r="B2001">
        <v>1</v>
      </c>
      <c r="C2001">
        <v>6</v>
      </c>
      <c r="D2001" s="1">
        <v>42524</v>
      </c>
      <c r="E2001">
        <v>145</v>
      </c>
      <c r="F2001">
        <f>VLOOKUP(ORDERS[[#This Row],[ProductID]],Products[],4,FALSE)</f>
        <v>28</v>
      </c>
      <c r="G2001">
        <v>0</v>
      </c>
      <c r="H2001">
        <f>(ORDERS[[#This Row],[UnitsOrdered]]*ORDERS[[#This Row],[unit price]])-(ORDERS[[#This Row],[UnitsOrdered]]*ORDERS[[#This Row],[unit price]]*ORDERS[[#This Row],[Discount]])</f>
        <v>4060</v>
      </c>
      <c r="I2001" t="str">
        <f>VLOOKUP(ORDERS[[#This Row],[CustomerID]],customers[],2,FALSE)</f>
        <v>Threads</v>
      </c>
      <c r="J2001" s="2" t="str">
        <f>VLOOKUP(ORDERS[[#This Row],[CustomerID]],customers[],4,FALSE)</f>
        <v>Seattle</v>
      </c>
      <c r="K2001" s="2" t="str">
        <f>VLOOKUP(ORDERS[[#This Row],[ProductID]],Products[],3,FALSE)</f>
        <v>Female</v>
      </c>
      <c r="L2001" s="2">
        <f>DAY(ORDERS[[#This Row],[OrderDate]])</f>
        <v>3</v>
      </c>
      <c r="M2001" s="2">
        <f>YEAR(ORDERS[[#This Row],[OrderDate]])</f>
        <v>2016</v>
      </c>
    </row>
    <row r="2002" spans="1:13" x14ac:dyDescent="0.3">
      <c r="A2002">
        <v>2001</v>
      </c>
      <c r="B2002">
        <v>2</v>
      </c>
      <c r="C2002">
        <v>8</v>
      </c>
      <c r="D2002" s="1">
        <v>42524</v>
      </c>
      <c r="E2002">
        <v>113</v>
      </c>
      <c r="F2002">
        <f>VLOOKUP(ORDERS[[#This Row],[ProductID]],Products[],4,FALSE)</f>
        <v>27</v>
      </c>
      <c r="G2002">
        <v>0</v>
      </c>
      <c r="H2002">
        <f>(ORDERS[[#This Row],[UnitsOrdered]]*ORDERS[[#This Row],[unit price]])-(ORDERS[[#This Row],[UnitsOrdered]]*ORDERS[[#This Row],[unit price]]*ORDERS[[#This Row],[Discount]])</f>
        <v>3051</v>
      </c>
      <c r="I2002" t="str">
        <f>VLOOKUP(ORDERS[[#This Row],[CustomerID]],customers[],2,FALSE)</f>
        <v>A Shirts Life</v>
      </c>
      <c r="J2002" s="2" t="str">
        <f>VLOOKUP(ORDERS[[#This Row],[CustomerID]],customers[],4,FALSE)</f>
        <v>Portland</v>
      </c>
      <c r="K2002" s="2" t="str">
        <f>VLOOKUP(ORDERS[[#This Row],[ProductID]],Products[],3,FALSE)</f>
        <v>Female</v>
      </c>
      <c r="L2002" s="2">
        <f>DAY(ORDERS[[#This Row],[OrderDate]])</f>
        <v>3</v>
      </c>
      <c r="M2002" s="2">
        <f>YEAR(ORDERS[[#This Row],[OrderDate]])</f>
        <v>2016</v>
      </c>
    </row>
    <row r="2003" spans="1:13" x14ac:dyDescent="0.3">
      <c r="A2003">
        <v>2002</v>
      </c>
      <c r="B2003">
        <v>3</v>
      </c>
      <c r="C2003">
        <v>9</v>
      </c>
      <c r="D2003" s="1">
        <v>42524</v>
      </c>
      <c r="E2003">
        <v>141</v>
      </c>
      <c r="F2003">
        <f>VLOOKUP(ORDERS[[#This Row],[ProductID]],Products[],4,FALSE)</f>
        <v>25</v>
      </c>
      <c r="G2003">
        <v>0</v>
      </c>
      <c r="H2003">
        <f>(ORDERS[[#This Row],[UnitsOrdered]]*ORDERS[[#This Row],[unit price]])-(ORDERS[[#This Row],[UnitsOrdered]]*ORDERS[[#This Row],[unit price]]*ORDERS[[#This Row],[Discount]])</f>
        <v>3525</v>
      </c>
      <c r="I2003" t="str">
        <f>VLOOKUP(ORDERS[[#This Row],[CustomerID]],customers[],2,FALSE)</f>
        <v>Shirts R Us</v>
      </c>
      <c r="J2003" s="2" t="str">
        <f>VLOOKUP(ORDERS[[#This Row],[CustomerID]],customers[],4,FALSE)</f>
        <v>Los Angeles</v>
      </c>
      <c r="K2003" s="2" t="str">
        <f>VLOOKUP(ORDERS[[#This Row],[ProductID]],Products[],3,FALSE)</f>
        <v>Male</v>
      </c>
      <c r="L2003" s="2">
        <f>DAY(ORDERS[[#This Row],[OrderDate]])</f>
        <v>3</v>
      </c>
      <c r="M2003" s="2">
        <f>YEAR(ORDERS[[#This Row],[OrderDate]])</f>
        <v>2016</v>
      </c>
    </row>
    <row r="2004" spans="1:13" x14ac:dyDescent="0.3">
      <c r="A2004">
        <v>2003</v>
      </c>
      <c r="B2004">
        <v>6</v>
      </c>
      <c r="C2004">
        <v>8</v>
      </c>
      <c r="D2004" s="1">
        <v>42524</v>
      </c>
      <c r="E2004">
        <v>81</v>
      </c>
      <c r="F2004">
        <f>VLOOKUP(ORDERS[[#This Row],[ProductID]],Products[],4,FALSE)</f>
        <v>27</v>
      </c>
      <c r="G2004">
        <v>0</v>
      </c>
      <c r="H2004">
        <f>(ORDERS[[#This Row],[UnitsOrdered]]*ORDERS[[#This Row],[unit price]])-(ORDERS[[#This Row],[UnitsOrdered]]*ORDERS[[#This Row],[unit price]]*ORDERS[[#This Row],[Discount]])</f>
        <v>2187</v>
      </c>
      <c r="I2004" t="str">
        <f>VLOOKUP(ORDERS[[#This Row],[CustomerID]],customers[],2,FALSE)</f>
        <v>Abracadaba Ink</v>
      </c>
      <c r="J2004" s="2" t="str">
        <f>VLOOKUP(ORDERS[[#This Row],[CustomerID]],customers[],4,FALSE)</f>
        <v>Salt Lake City</v>
      </c>
      <c r="K2004" s="2" t="str">
        <f>VLOOKUP(ORDERS[[#This Row],[ProductID]],Products[],3,FALSE)</f>
        <v>Female</v>
      </c>
      <c r="L2004" s="2">
        <f>DAY(ORDERS[[#This Row],[OrderDate]])</f>
        <v>3</v>
      </c>
      <c r="M2004" s="2">
        <f>YEAR(ORDERS[[#This Row],[OrderDate]])</f>
        <v>2016</v>
      </c>
    </row>
    <row r="2005" spans="1:13" x14ac:dyDescent="0.3">
      <c r="A2005">
        <v>2004</v>
      </c>
      <c r="B2005">
        <v>5</v>
      </c>
      <c r="C2005">
        <v>8</v>
      </c>
      <c r="D2005" s="1">
        <v>42525</v>
      </c>
      <c r="E2005">
        <v>138</v>
      </c>
      <c r="F2005">
        <f>VLOOKUP(ORDERS[[#This Row],[ProductID]],Products[],4,FALSE)</f>
        <v>27</v>
      </c>
      <c r="G2005">
        <v>0.10000000100000001</v>
      </c>
      <c r="H2005">
        <f>(ORDERS[[#This Row],[UnitsOrdered]]*ORDERS[[#This Row],[unit price]])-(ORDERS[[#This Row],[UnitsOrdered]]*ORDERS[[#This Row],[unit price]]*ORDERS[[#This Row],[Discount]])</f>
        <v>3353.3999962739999</v>
      </c>
      <c r="I2005" t="str">
        <f>VLOOKUP(ORDERS[[#This Row],[CustomerID]],customers[],2,FALSE)</f>
        <v>Rags to Riches</v>
      </c>
      <c r="J2005" s="2" t="str">
        <f>VLOOKUP(ORDERS[[#This Row],[CustomerID]],customers[],4,FALSE)</f>
        <v>Las Vegas</v>
      </c>
      <c r="K2005" s="2" t="str">
        <f>VLOOKUP(ORDERS[[#This Row],[ProductID]],Products[],3,FALSE)</f>
        <v>Female</v>
      </c>
      <c r="L2005" s="2">
        <f>DAY(ORDERS[[#This Row],[OrderDate]])</f>
        <v>4</v>
      </c>
      <c r="M2005" s="2">
        <f>YEAR(ORDERS[[#This Row],[OrderDate]])</f>
        <v>2016</v>
      </c>
    </row>
    <row r="2006" spans="1:13" x14ac:dyDescent="0.3">
      <c r="A2006">
        <v>2005</v>
      </c>
      <c r="B2006">
        <v>1</v>
      </c>
      <c r="C2006">
        <v>9</v>
      </c>
      <c r="D2006" s="1">
        <v>42526</v>
      </c>
      <c r="E2006">
        <v>34</v>
      </c>
      <c r="F2006">
        <f>VLOOKUP(ORDERS[[#This Row],[ProductID]],Products[],4,FALSE)</f>
        <v>25</v>
      </c>
      <c r="G2006">
        <v>5.0000001000000002E-2</v>
      </c>
      <c r="H2006">
        <f>(ORDERS[[#This Row],[UnitsOrdered]]*ORDERS[[#This Row],[unit price]])-(ORDERS[[#This Row],[UnitsOrdered]]*ORDERS[[#This Row],[unit price]]*ORDERS[[#This Row],[Discount]])</f>
        <v>807.49999915000001</v>
      </c>
      <c r="I2006" t="str">
        <f>VLOOKUP(ORDERS[[#This Row],[CustomerID]],customers[],2,FALSE)</f>
        <v>Threads</v>
      </c>
      <c r="J2006" s="2" t="str">
        <f>VLOOKUP(ORDERS[[#This Row],[CustomerID]],customers[],4,FALSE)</f>
        <v>Seattle</v>
      </c>
      <c r="K2006" s="2" t="str">
        <f>VLOOKUP(ORDERS[[#This Row],[ProductID]],Products[],3,FALSE)</f>
        <v>Male</v>
      </c>
      <c r="L2006" s="2">
        <f>DAY(ORDERS[[#This Row],[OrderDate]])</f>
        <v>5</v>
      </c>
      <c r="M2006" s="2">
        <f>YEAR(ORDERS[[#This Row],[OrderDate]])</f>
        <v>2016</v>
      </c>
    </row>
    <row r="2007" spans="1:13" x14ac:dyDescent="0.3">
      <c r="A2007">
        <v>2006</v>
      </c>
      <c r="B2007">
        <v>6</v>
      </c>
      <c r="C2007">
        <v>3</v>
      </c>
      <c r="D2007" s="1">
        <v>42526</v>
      </c>
      <c r="E2007">
        <v>80</v>
      </c>
      <c r="F2007">
        <f>VLOOKUP(ORDERS[[#This Row],[ProductID]],Products[],4,FALSE)</f>
        <v>22</v>
      </c>
      <c r="G2007">
        <v>0</v>
      </c>
      <c r="H2007">
        <f>(ORDERS[[#This Row],[UnitsOrdered]]*ORDERS[[#This Row],[unit price]])-(ORDERS[[#This Row],[UnitsOrdered]]*ORDERS[[#This Row],[unit price]]*ORDERS[[#This Row],[Discount]])</f>
        <v>1760</v>
      </c>
      <c r="I2007" t="str">
        <f>VLOOKUP(ORDERS[[#This Row],[CustomerID]],customers[],2,FALSE)</f>
        <v>Abracadaba Ink</v>
      </c>
      <c r="J2007" s="2" t="str">
        <f>VLOOKUP(ORDERS[[#This Row],[CustomerID]],customers[],4,FALSE)</f>
        <v>Salt Lake City</v>
      </c>
      <c r="K2007" s="2" t="str">
        <f>VLOOKUP(ORDERS[[#This Row],[ProductID]],Products[],3,FALSE)</f>
        <v>Both</v>
      </c>
      <c r="L2007" s="2">
        <f>DAY(ORDERS[[#This Row],[OrderDate]])</f>
        <v>5</v>
      </c>
      <c r="M2007" s="2">
        <f>YEAR(ORDERS[[#This Row],[OrderDate]])</f>
        <v>2016</v>
      </c>
    </row>
    <row r="2008" spans="1:13" x14ac:dyDescent="0.3">
      <c r="A2008">
        <v>2007</v>
      </c>
      <c r="B2008">
        <v>2</v>
      </c>
      <c r="C2008">
        <v>5</v>
      </c>
      <c r="D2008" s="1">
        <v>42527</v>
      </c>
      <c r="E2008">
        <v>117</v>
      </c>
      <c r="F2008">
        <f>VLOOKUP(ORDERS[[#This Row],[ProductID]],Products[],4,FALSE)</f>
        <v>16</v>
      </c>
      <c r="G2008">
        <v>0</v>
      </c>
      <c r="H2008">
        <f>(ORDERS[[#This Row],[UnitsOrdered]]*ORDERS[[#This Row],[unit price]])-(ORDERS[[#This Row],[UnitsOrdered]]*ORDERS[[#This Row],[unit price]]*ORDERS[[#This Row],[Discount]])</f>
        <v>1872</v>
      </c>
      <c r="I2008" t="str">
        <f>VLOOKUP(ORDERS[[#This Row],[CustomerID]],customers[],2,FALSE)</f>
        <v>A Shirts Life</v>
      </c>
      <c r="J2008" s="2" t="str">
        <f>VLOOKUP(ORDERS[[#This Row],[CustomerID]],customers[],4,FALSE)</f>
        <v>Portland</v>
      </c>
      <c r="K2008" s="2" t="str">
        <f>VLOOKUP(ORDERS[[#This Row],[ProductID]],Products[],3,FALSE)</f>
        <v>Female</v>
      </c>
      <c r="L2008" s="2">
        <f>DAY(ORDERS[[#This Row],[OrderDate]])</f>
        <v>6</v>
      </c>
      <c r="M2008" s="2">
        <f>YEAR(ORDERS[[#This Row],[OrderDate]])</f>
        <v>2016</v>
      </c>
    </row>
    <row r="2009" spans="1:13" x14ac:dyDescent="0.3">
      <c r="A2009">
        <v>2008</v>
      </c>
      <c r="B2009">
        <v>4</v>
      </c>
      <c r="C2009">
        <v>3</v>
      </c>
      <c r="D2009" s="1">
        <v>42527</v>
      </c>
      <c r="E2009">
        <v>86</v>
      </c>
      <c r="F2009">
        <f>VLOOKUP(ORDERS[[#This Row],[ProductID]],Products[],4,FALSE)</f>
        <v>22</v>
      </c>
      <c r="G2009">
        <v>0</v>
      </c>
      <c r="H2009">
        <f>(ORDERS[[#This Row],[UnitsOrdered]]*ORDERS[[#This Row],[unit price]])-(ORDERS[[#This Row],[UnitsOrdered]]*ORDERS[[#This Row],[unit price]]*ORDERS[[#This Row],[Discount]])</f>
        <v>1892</v>
      </c>
      <c r="I2009" t="str">
        <f>VLOOKUP(ORDERS[[#This Row],[CustomerID]],customers[],2,FALSE)</f>
        <v>Tshirt Unlimited</v>
      </c>
      <c r="J2009" s="2" t="str">
        <f>VLOOKUP(ORDERS[[#This Row],[CustomerID]],customers[],4,FALSE)</f>
        <v>Phoenix</v>
      </c>
      <c r="K2009" s="2" t="str">
        <f>VLOOKUP(ORDERS[[#This Row],[ProductID]],Products[],3,FALSE)</f>
        <v>Both</v>
      </c>
      <c r="L2009" s="2">
        <f>DAY(ORDERS[[#This Row],[OrderDate]])</f>
        <v>6</v>
      </c>
      <c r="M2009" s="2">
        <f>YEAR(ORDERS[[#This Row],[OrderDate]])</f>
        <v>2016</v>
      </c>
    </row>
    <row r="2010" spans="1:13" x14ac:dyDescent="0.3">
      <c r="A2010">
        <v>2009</v>
      </c>
      <c r="B2010">
        <v>1</v>
      </c>
      <c r="C2010">
        <v>9</v>
      </c>
      <c r="D2010" s="1">
        <v>42528</v>
      </c>
      <c r="E2010">
        <v>126</v>
      </c>
      <c r="F2010">
        <f>VLOOKUP(ORDERS[[#This Row],[ProductID]],Products[],4,FALSE)</f>
        <v>25</v>
      </c>
      <c r="G2010">
        <v>0.15000000599999999</v>
      </c>
      <c r="H2010">
        <f>(ORDERS[[#This Row],[UnitsOrdered]]*ORDERS[[#This Row],[unit price]])-(ORDERS[[#This Row],[UnitsOrdered]]*ORDERS[[#This Row],[unit price]]*ORDERS[[#This Row],[Discount]])</f>
        <v>2677.4999810999998</v>
      </c>
      <c r="I2010" t="str">
        <f>VLOOKUP(ORDERS[[#This Row],[CustomerID]],customers[],2,FALSE)</f>
        <v>Threads</v>
      </c>
      <c r="J2010" s="2" t="str">
        <f>VLOOKUP(ORDERS[[#This Row],[CustomerID]],customers[],4,FALSE)</f>
        <v>Seattle</v>
      </c>
      <c r="K2010" s="2" t="str">
        <f>VLOOKUP(ORDERS[[#This Row],[ProductID]],Products[],3,FALSE)</f>
        <v>Male</v>
      </c>
      <c r="L2010" s="2">
        <f>DAY(ORDERS[[#This Row],[OrderDate]])</f>
        <v>7</v>
      </c>
      <c r="M2010" s="2">
        <f>YEAR(ORDERS[[#This Row],[OrderDate]])</f>
        <v>2016</v>
      </c>
    </row>
    <row r="2011" spans="1:13" x14ac:dyDescent="0.3">
      <c r="A2011">
        <v>2010</v>
      </c>
      <c r="B2011">
        <v>7</v>
      </c>
      <c r="C2011">
        <v>2</v>
      </c>
      <c r="D2011" s="1">
        <v>42529</v>
      </c>
      <c r="E2011">
        <v>136</v>
      </c>
      <c r="F2011">
        <f>VLOOKUP(ORDERS[[#This Row],[ProductID]],Products[],4,FALSE)</f>
        <v>30</v>
      </c>
      <c r="G2011">
        <v>0</v>
      </c>
      <c r="H2011">
        <f>(ORDERS[[#This Row],[UnitsOrdered]]*ORDERS[[#This Row],[unit price]])-(ORDERS[[#This Row],[UnitsOrdered]]*ORDERS[[#This Row],[unit price]]*ORDERS[[#This Row],[Discount]])</f>
        <v>4080</v>
      </c>
      <c r="I2011" t="str">
        <f>VLOOKUP(ORDERS[[#This Row],[CustomerID]],customers[],2,FALSE)</f>
        <v>The Shirt on Your Back</v>
      </c>
      <c r="J2011" s="2" t="str">
        <f>VLOOKUP(ORDERS[[#This Row],[CustomerID]],customers[],4,FALSE)</f>
        <v>Bonners Ferry</v>
      </c>
      <c r="K2011" s="2" t="str">
        <f>VLOOKUP(ORDERS[[#This Row],[ProductID]],Products[],3,FALSE)</f>
        <v>Both</v>
      </c>
      <c r="L2011" s="2">
        <f>DAY(ORDERS[[#This Row],[OrderDate]])</f>
        <v>8</v>
      </c>
      <c r="M2011" s="2">
        <f>YEAR(ORDERS[[#This Row],[OrderDate]])</f>
        <v>2016</v>
      </c>
    </row>
    <row r="2012" spans="1:13" x14ac:dyDescent="0.3">
      <c r="A2012">
        <v>2011</v>
      </c>
      <c r="B2012">
        <v>7</v>
      </c>
      <c r="C2012">
        <v>8</v>
      </c>
      <c r="D2012" s="1">
        <v>42529</v>
      </c>
      <c r="E2012">
        <v>110</v>
      </c>
      <c r="F2012">
        <f>VLOOKUP(ORDERS[[#This Row],[ProductID]],Products[],4,FALSE)</f>
        <v>27</v>
      </c>
      <c r="G2012">
        <v>0</v>
      </c>
      <c r="H2012">
        <f>(ORDERS[[#This Row],[UnitsOrdered]]*ORDERS[[#This Row],[unit price]])-(ORDERS[[#This Row],[UnitsOrdered]]*ORDERS[[#This Row],[unit price]]*ORDERS[[#This Row],[Discount]])</f>
        <v>2970</v>
      </c>
      <c r="I2012" t="str">
        <f>VLOOKUP(ORDERS[[#This Row],[CustomerID]],customers[],2,FALSE)</f>
        <v>The Shirt on Your Back</v>
      </c>
      <c r="J2012" s="2" t="str">
        <f>VLOOKUP(ORDERS[[#This Row],[CustomerID]],customers[],4,FALSE)</f>
        <v>Bonners Ferry</v>
      </c>
      <c r="K2012" s="2" t="str">
        <f>VLOOKUP(ORDERS[[#This Row],[ProductID]],Products[],3,FALSE)</f>
        <v>Female</v>
      </c>
      <c r="L2012" s="2">
        <f>DAY(ORDERS[[#This Row],[OrderDate]])</f>
        <v>8</v>
      </c>
      <c r="M2012" s="2">
        <f>YEAR(ORDERS[[#This Row],[OrderDate]])</f>
        <v>2016</v>
      </c>
    </row>
    <row r="2013" spans="1:13" x14ac:dyDescent="0.3">
      <c r="A2013">
        <v>2012</v>
      </c>
      <c r="B2013">
        <v>1</v>
      </c>
      <c r="C2013">
        <v>7</v>
      </c>
      <c r="D2013" s="1">
        <v>42530</v>
      </c>
      <c r="E2013">
        <v>47</v>
      </c>
      <c r="F2013">
        <f>VLOOKUP(ORDERS[[#This Row],[ProductID]],Products[],4,FALSE)</f>
        <v>38</v>
      </c>
      <c r="G2013">
        <v>0</v>
      </c>
      <c r="H2013">
        <f>(ORDERS[[#This Row],[UnitsOrdered]]*ORDERS[[#This Row],[unit price]])-(ORDERS[[#This Row],[UnitsOrdered]]*ORDERS[[#This Row],[unit price]]*ORDERS[[#This Row],[Discount]])</f>
        <v>1786</v>
      </c>
      <c r="I2013" t="str">
        <f>VLOOKUP(ORDERS[[#This Row],[CustomerID]],customers[],2,FALSE)</f>
        <v>Threads</v>
      </c>
      <c r="J2013" s="2" t="str">
        <f>VLOOKUP(ORDERS[[#This Row],[CustomerID]],customers[],4,FALSE)</f>
        <v>Seattle</v>
      </c>
      <c r="K2013" s="2" t="str">
        <f>VLOOKUP(ORDERS[[#This Row],[ProductID]],Products[],3,FALSE)</f>
        <v>Female</v>
      </c>
      <c r="L2013" s="2">
        <f>DAY(ORDERS[[#This Row],[OrderDate]])</f>
        <v>9</v>
      </c>
      <c r="M2013" s="2">
        <f>YEAR(ORDERS[[#This Row],[OrderDate]])</f>
        <v>2016</v>
      </c>
    </row>
    <row r="2014" spans="1:13" x14ac:dyDescent="0.3">
      <c r="A2014">
        <v>2013</v>
      </c>
      <c r="B2014">
        <v>4</v>
      </c>
      <c r="C2014">
        <v>2</v>
      </c>
      <c r="D2014" s="1">
        <v>42530</v>
      </c>
      <c r="E2014">
        <v>118</v>
      </c>
      <c r="F2014">
        <f>VLOOKUP(ORDERS[[#This Row],[ProductID]],Products[],4,FALSE)</f>
        <v>30</v>
      </c>
      <c r="G2014">
        <v>0</v>
      </c>
      <c r="H2014">
        <f>(ORDERS[[#This Row],[UnitsOrdered]]*ORDERS[[#This Row],[unit price]])-(ORDERS[[#This Row],[UnitsOrdered]]*ORDERS[[#This Row],[unit price]]*ORDERS[[#This Row],[Discount]])</f>
        <v>3540</v>
      </c>
      <c r="I2014" t="str">
        <f>VLOOKUP(ORDERS[[#This Row],[CustomerID]],customers[],2,FALSE)</f>
        <v>Tshirt Unlimited</v>
      </c>
      <c r="J2014" s="2" t="str">
        <f>VLOOKUP(ORDERS[[#This Row],[CustomerID]],customers[],4,FALSE)</f>
        <v>Phoenix</v>
      </c>
      <c r="K2014" s="2" t="str">
        <f>VLOOKUP(ORDERS[[#This Row],[ProductID]],Products[],3,FALSE)</f>
        <v>Both</v>
      </c>
      <c r="L2014" s="2">
        <f>DAY(ORDERS[[#This Row],[OrderDate]])</f>
        <v>9</v>
      </c>
      <c r="M2014" s="2">
        <f>YEAR(ORDERS[[#This Row],[OrderDate]])</f>
        <v>2016</v>
      </c>
    </row>
    <row r="2015" spans="1:13" x14ac:dyDescent="0.3">
      <c r="A2015">
        <v>2014</v>
      </c>
      <c r="B2015">
        <v>4</v>
      </c>
      <c r="C2015">
        <v>6</v>
      </c>
      <c r="D2015" s="1">
        <v>42530</v>
      </c>
      <c r="E2015">
        <v>60</v>
      </c>
      <c r="F2015">
        <f>VLOOKUP(ORDERS[[#This Row],[ProductID]],Products[],4,FALSE)</f>
        <v>28</v>
      </c>
      <c r="G2015">
        <v>0</v>
      </c>
      <c r="H2015">
        <f>(ORDERS[[#This Row],[UnitsOrdered]]*ORDERS[[#This Row],[unit price]])-(ORDERS[[#This Row],[UnitsOrdered]]*ORDERS[[#This Row],[unit price]]*ORDERS[[#This Row],[Discount]])</f>
        <v>1680</v>
      </c>
      <c r="I2015" t="str">
        <f>VLOOKUP(ORDERS[[#This Row],[CustomerID]],customers[],2,FALSE)</f>
        <v>Tshirt Unlimited</v>
      </c>
      <c r="J2015" s="2" t="str">
        <f>VLOOKUP(ORDERS[[#This Row],[CustomerID]],customers[],4,FALSE)</f>
        <v>Phoenix</v>
      </c>
      <c r="K2015" s="2" t="str">
        <f>VLOOKUP(ORDERS[[#This Row],[ProductID]],Products[],3,FALSE)</f>
        <v>Female</v>
      </c>
      <c r="L2015" s="2">
        <f>DAY(ORDERS[[#This Row],[OrderDate]])</f>
        <v>9</v>
      </c>
      <c r="M2015" s="2">
        <f>YEAR(ORDERS[[#This Row],[OrderDate]])</f>
        <v>2016</v>
      </c>
    </row>
    <row r="2016" spans="1:13" x14ac:dyDescent="0.3">
      <c r="A2016">
        <v>2015</v>
      </c>
      <c r="B2016">
        <v>7</v>
      </c>
      <c r="C2016">
        <v>1</v>
      </c>
      <c r="D2016" s="1">
        <v>42530</v>
      </c>
      <c r="E2016">
        <v>127</v>
      </c>
      <c r="F2016">
        <f>VLOOKUP(ORDERS[[#This Row],[ProductID]],Products[],4,FALSE)</f>
        <v>20</v>
      </c>
      <c r="G2016">
        <v>0</v>
      </c>
      <c r="H2016">
        <f>(ORDERS[[#This Row],[UnitsOrdered]]*ORDERS[[#This Row],[unit price]])-(ORDERS[[#This Row],[UnitsOrdered]]*ORDERS[[#This Row],[unit price]]*ORDERS[[#This Row],[Discount]])</f>
        <v>2540</v>
      </c>
      <c r="I2016" t="str">
        <f>VLOOKUP(ORDERS[[#This Row],[CustomerID]],customers[],2,FALSE)</f>
        <v>The Shirt on Your Back</v>
      </c>
      <c r="J2016" s="2" t="str">
        <f>VLOOKUP(ORDERS[[#This Row],[CustomerID]],customers[],4,FALSE)</f>
        <v>Bonners Ferry</v>
      </c>
      <c r="K2016" s="2" t="str">
        <f>VLOOKUP(ORDERS[[#This Row],[ProductID]],Products[],3,FALSE)</f>
        <v>Both</v>
      </c>
      <c r="L2016" s="2">
        <f>DAY(ORDERS[[#This Row],[OrderDate]])</f>
        <v>9</v>
      </c>
      <c r="M2016" s="2">
        <f>YEAR(ORDERS[[#This Row],[OrderDate]])</f>
        <v>2016</v>
      </c>
    </row>
    <row r="2017" spans="1:13" x14ac:dyDescent="0.3">
      <c r="A2017">
        <v>2016</v>
      </c>
      <c r="B2017">
        <v>7</v>
      </c>
      <c r="C2017">
        <v>2</v>
      </c>
      <c r="D2017" s="1">
        <v>42530</v>
      </c>
      <c r="E2017">
        <v>59</v>
      </c>
      <c r="F2017">
        <f>VLOOKUP(ORDERS[[#This Row],[ProductID]],Products[],4,FALSE)</f>
        <v>30</v>
      </c>
      <c r="G2017">
        <v>0</v>
      </c>
      <c r="H2017">
        <f>(ORDERS[[#This Row],[UnitsOrdered]]*ORDERS[[#This Row],[unit price]])-(ORDERS[[#This Row],[UnitsOrdered]]*ORDERS[[#This Row],[unit price]]*ORDERS[[#This Row],[Discount]])</f>
        <v>1770</v>
      </c>
      <c r="I2017" t="str">
        <f>VLOOKUP(ORDERS[[#This Row],[CustomerID]],customers[],2,FALSE)</f>
        <v>The Shirt on Your Back</v>
      </c>
      <c r="J2017" s="2" t="str">
        <f>VLOOKUP(ORDERS[[#This Row],[CustomerID]],customers[],4,FALSE)</f>
        <v>Bonners Ferry</v>
      </c>
      <c r="K2017" s="2" t="str">
        <f>VLOOKUP(ORDERS[[#This Row],[ProductID]],Products[],3,FALSE)</f>
        <v>Both</v>
      </c>
      <c r="L2017" s="2">
        <f>DAY(ORDERS[[#This Row],[OrderDate]])</f>
        <v>9</v>
      </c>
      <c r="M2017" s="2">
        <f>YEAR(ORDERS[[#This Row],[OrderDate]])</f>
        <v>2016</v>
      </c>
    </row>
    <row r="2018" spans="1:13" x14ac:dyDescent="0.3">
      <c r="A2018">
        <v>2017</v>
      </c>
      <c r="B2018">
        <v>7</v>
      </c>
      <c r="C2018">
        <v>10</v>
      </c>
      <c r="D2018" s="1">
        <v>42531</v>
      </c>
      <c r="E2018">
        <v>134</v>
      </c>
      <c r="F2018">
        <f>VLOOKUP(ORDERS[[#This Row],[ProductID]],Products[],4,FALSE)</f>
        <v>35</v>
      </c>
      <c r="G2018">
        <v>0</v>
      </c>
      <c r="H2018">
        <f>(ORDERS[[#This Row],[UnitsOrdered]]*ORDERS[[#This Row],[unit price]])-(ORDERS[[#This Row],[UnitsOrdered]]*ORDERS[[#This Row],[unit price]]*ORDERS[[#This Row],[Discount]])</f>
        <v>4690</v>
      </c>
      <c r="I2018" t="str">
        <f>VLOOKUP(ORDERS[[#This Row],[CustomerID]],customers[],2,FALSE)</f>
        <v>The Shirt on Your Back</v>
      </c>
      <c r="J2018" s="2" t="str">
        <f>VLOOKUP(ORDERS[[#This Row],[CustomerID]],customers[],4,FALSE)</f>
        <v>Bonners Ferry</v>
      </c>
      <c r="K2018" s="2" t="str">
        <f>VLOOKUP(ORDERS[[#This Row],[ProductID]],Products[],3,FALSE)</f>
        <v>Male</v>
      </c>
      <c r="L2018" s="2">
        <f>DAY(ORDERS[[#This Row],[OrderDate]])</f>
        <v>10</v>
      </c>
      <c r="M2018" s="2">
        <f>YEAR(ORDERS[[#This Row],[OrderDate]])</f>
        <v>2016</v>
      </c>
    </row>
    <row r="2019" spans="1:13" x14ac:dyDescent="0.3">
      <c r="A2019">
        <v>2018</v>
      </c>
      <c r="B2019">
        <v>5</v>
      </c>
      <c r="C2019">
        <v>9</v>
      </c>
      <c r="D2019" s="1">
        <v>42533</v>
      </c>
      <c r="E2019">
        <v>113</v>
      </c>
      <c r="F2019">
        <f>VLOOKUP(ORDERS[[#This Row],[ProductID]],Products[],4,FALSE)</f>
        <v>25</v>
      </c>
      <c r="G2019">
        <v>0</v>
      </c>
      <c r="H2019">
        <f>(ORDERS[[#This Row],[UnitsOrdered]]*ORDERS[[#This Row],[unit price]])-(ORDERS[[#This Row],[UnitsOrdered]]*ORDERS[[#This Row],[unit price]]*ORDERS[[#This Row],[Discount]])</f>
        <v>2825</v>
      </c>
      <c r="I2019" t="str">
        <f>VLOOKUP(ORDERS[[#This Row],[CustomerID]],customers[],2,FALSE)</f>
        <v>Rags to Riches</v>
      </c>
      <c r="J2019" s="2" t="str">
        <f>VLOOKUP(ORDERS[[#This Row],[CustomerID]],customers[],4,FALSE)</f>
        <v>Las Vegas</v>
      </c>
      <c r="K2019" s="2" t="str">
        <f>VLOOKUP(ORDERS[[#This Row],[ProductID]],Products[],3,FALSE)</f>
        <v>Male</v>
      </c>
      <c r="L2019" s="2">
        <f>DAY(ORDERS[[#This Row],[OrderDate]])</f>
        <v>12</v>
      </c>
      <c r="M2019" s="2">
        <f>YEAR(ORDERS[[#This Row],[OrderDate]])</f>
        <v>2016</v>
      </c>
    </row>
    <row r="2020" spans="1:13" x14ac:dyDescent="0.3">
      <c r="A2020">
        <v>2019</v>
      </c>
      <c r="B2020">
        <v>7</v>
      </c>
      <c r="C2020">
        <v>6</v>
      </c>
      <c r="D2020" s="1">
        <v>42533</v>
      </c>
      <c r="E2020">
        <v>119</v>
      </c>
      <c r="F2020">
        <f>VLOOKUP(ORDERS[[#This Row],[ProductID]],Products[],4,FALSE)</f>
        <v>28</v>
      </c>
      <c r="G2020">
        <v>5.0000001000000002E-2</v>
      </c>
      <c r="H2020">
        <f>(ORDERS[[#This Row],[UnitsOrdered]]*ORDERS[[#This Row],[unit price]])-(ORDERS[[#This Row],[UnitsOrdered]]*ORDERS[[#This Row],[unit price]]*ORDERS[[#This Row],[Discount]])</f>
        <v>3165.3999966679999</v>
      </c>
      <c r="I2020" t="str">
        <f>VLOOKUP(ORDERS[[#This Row],[CustomerID]],customers[],2,FALSE)</f>
        <v>The Shirt on Your Back</v>
      </c>
      <c r="J2020" s="2" t="str">
        <f>VLOOKUP(ORDERS[[#This Row],[CustomerID]],customers[],4,FALSE)</f>
        <v>Bonners Ferry</v>
      </c>
      <c r="K2020" s="2" t="str">
        <f>VLOOKUP(ORDERS[[#This Row],[ProductID]],Products[],3,FALSE)</f>
        <v>Female</v>
      </c>
      <c r="L2020" s="2">
        <f>DAY(ORDERS[[#This Row],[OrderDate]])</f>
        <v>12</v>
      </c>
      <c r="M2020" s="2">
        <f>YEAR(ORDERS[[#This Row],[OrderDate]])</f>
        <v>2016</v>
      </c>
    </row>
    <row r="2021" spans="1:13" x14ac:dyDescent="0.3">
      <c r="A2021">
        <v>2020</v>
      </c>
      <c r="B2021">
        <v>4</v>
      </c>
      <c r="C2021">
        <v>3</v>
      </c>
      <c r="D2021" s="1">
        <v>42534</v>
      </c>
      <c r="E2021">
        <v>112</v>
      </c>
      <c r="F2021">
        <f>VLOOKUP(ORDERS[[#This Row],[ProductID]],Products[],4,FALSE)</f>
        <v>22</v>
      </c>
      <c r="G2021">
        <v>5.0000001000000002E-2</v>
      </c>
      <c r="H2021">
        <f>(ORDERS[[#This Row],[UnitsOrdered]]*ORDERS[[#This Row],[unit price]])-(ORDERS[[#This Row],[UnitsOrdered]]*ORDERS[[#This Row],[unit price]]*ORDERS[[#This Row],[Discount]])</f>
        <v>2340.7999975359999</v>
      </c>
      <c r="I2021" t="str">
        <f>VLOOKUP(ORDERS[[#This Row],[CustomerID]],customers[],2,FALSE)</f>
        <v>Tshirt Unlimited</v>
      </c>
      <c r="J2021" s="2" t="str">
        <f>VLOOKUP(ORDERS[[#This Row],[CustomerID]],customers[],4,FALSE)</f>
        <v>Phoenix</v>
      </c>
      <c r="K2021" s="2" t="str">
        <f>VLOOKUP(ORDERS[[#This Row],[ProductID]],Products[],3,FALSE)</f>
        <v>Both</v>
      </c>
      <c r="L2021" s="2">
        <f>DAY(ORDERS[[#This Row],[OrderDate]])</f>
        <v>13</v>
      </c>
      <c r="M2021" s="2">
        <f>YEAR(ORDERS[[#This Row],[OrderDate]])</f>
        <v>2016</v>
      </c>
    </row>
    <row r="2022" spans="1:13" x14ac:dyDescent="0.3">
      <c r="A2022">
        <v>2021</v>
      </c>
      <c r="B2022">
        <v>5</v>
      </c>
      <c r="C2022">
        <v>10</v>
      </c>
      <c r="D2022" s="1">
        <v>42536</v>
      </c>
      <c r="E2022">
        <v>98</v>
      </c>
      <c r="F2022">
        <f>VLOOKUP(ORDERS[[#This Row],[ProductID]],Products[],4,FALSE)</f>
        <v>35</v>
      </c>
      <c r="G2022">
        <v>0</v>
      </c>
      <c r="H2022">
        <f>(ORDERS[[#This Row],[UnitsOrdered]]*ORDERS[[#This Row],[unit price]])-(ORDERS[[#This Row],[UnitsOrdered]]*ORDERS[[#This Row],[unit price]]*ORDERS[[#This Row],[Discount]])</f>
        <v>3430</v>
      </c>
      <c r="I2022" t="str">
        <f>VLOOKUP(ORDERS[[#This Row],[CustomerID]],customers[],2,FALSE)</f>
        <v>Rags to Riches</v>
      </c>
      <c r="J2022" s="2" t="str">
        <f>VLOOKUP(ORDERS[[#This Row],[CustomerID]],customers[],4,FALSE)</f>
        <v>Las Vegas</v>
      </c>
      <c r="K2022" s="2" t="str">
        <f>VLOOKUP(ORDERS[[#This Row],[ProductID]],Products[],3,FALSE)</f>
        <v>Male</v>
      </c>
      <c r="L2022" s="2">
        <f>DAY(ORDERS[[#This Row],[OrderDate]])</f>
        <v>15</v>
      </c>
      <c r="M2022" s="2">
        <f>YEAR(ORDERS[[#This Row],[OrderDate]])</f>
        <v>2016</v>
      </c>
    </row>
    <row r="2023" spans="1:13" x14ac:dyDescent="0.3">
      <c r="A2023">
        <v>2022</v>
      </c>
      <c r="B2023">
        <v>2</v>
      </c>
      <c r="C2023">
        <v>1</v>
      </c>
      <c r="D2023" s="1">
        <v>42537</v>
      </c>
      <c r="E2023">
        <v>128</v>
      </c>
      <c r="F2023">
        <f>VLOOKUP(ORDERS[[#This Row],[ProductID]],Products[],4,FALSE)</f>
        <v>20</v>
      </c>
      <c r="G2023">
        <v>0</v>
      </c>
      <c r="H2023">
        <f>(ORDERS[[#This Row],[UnitsOrdered]]*ORDERS[[#This Row],[unit price]])-(ORDERS[[#This Row],[UnitsOrdered]]*ORDERS[[#This Row],[unit price]]*ORDERS[[#This Row],[Discount]])</f>
        <v>2560</v>
      </c>
      <c r="I2023" t="str">
        <f>VLOOKUP(ORDERS[[#This Row],[CustomerID]],customers[],2,FALSE)</f>
        <v>A Shirts Life</v>
      </c>
      <c r="J2023" s="2" t="str">
        <f>VLOOKUP(ORDERS[[#This Row],[CustomerID]],customers[],4,FALSE)</f>
        <v>Portland</v>
      </c>
      <c r="K2023" s="2" t="str">
        <f>VLOOKUP(ORDERS[[#This Row],[ProductID]],Products[],3,FALSE)</f>
        <v>Both</v>
      </c>
      <c r="L2023" s="2">
        <f>DAY(ORDERS[[#This Row],[OrderDate]])</f>
        <v>16</v>
      </c>
      <c r="M2023" s="2">
        <f>YEAR(ORDERS[[#This Row],[OrderDate]])</f>
        <v>2016</v>
      </c>
    </row>
    <row r="2024" spans="1:13" x14ac:dyDescent="0.3">
      <c r="A2024">
        <v>2023</v>
      </c>
      <c r="B2024">
        <v>3</v>
      </c>
      <c r="C2024">
        <v>10</v>
      </c>
      <c r="D2024" s="1">
        <v>42538</v>
      </c>
      <c r="E2024">
        <v>102</v>
      </c>
      <c r="F2024">
        <f>VLOOKUP(ORDERS[[#This Row],[ProductID]],Products[],4,FALSE)</f>
        <v>35</v>
      </c>
      <c r="G2024">
        <v>0</v>
      </c>
      <c r="H2024">
        <f>(ORDERS[[#This Row],[UnitsOrdered]]*ORDERS[[#This Row],[unit price]])-(ORDERS[[#This Row],[UnitsOrdered]]*ORDERS[[#This Row],[unit price]]*ORDERS[[#This Row],[Discount]])</f>
        <v>3570</v>
      </c>
      <c r="I2024" t="str">
        <f>VLOOKUP(ORDERS[[#This Row],[CustomerID]],customers[],2,FALSE)</f>
        <v>Shirts R Us</v>
      </c>
      <c r="J2024" s="2" t="str">
        <f>VLOOKUP(ORDERS[[#This Row],[CustomerID]],customers[],4,FALSE)</f>
        <v>Los Angeles</v>
      </c>
      <c r="K2024" s="2" t="str">
        <f>VLOOKUP(ORDERS[[#This Row],[ProductID]],Products[],3,FALSE)</f>
        <v>Male</v>
      </c>
      <c r="L2024" s="2">
        <f>DAY(ORDERS[[#This Row],[OrderDate]])</f>
        <v>17</v>
      </c>
      <c r="M2024" s="2">
        <f>YEAR(ORDERS[[#This Row],[OrderDate]])</f>
        <v>2016</v>
      </c>
    </row>
    <row r="2025" spans="1:13" x14ac:dyDescent="0.3">
      <c r="A2025">
        <v>2024</v>
      </c>
      <c r="B2025">
        <v>3</v>
      </c>
      <c r="C2025">
        <v>5</v>
      </c>
      <c r="D2025" s="1">
        <v>42540</v>
      </c>
      <c r="E2025">
        <v>130</v>
      </c>
      <c r="F2025">
        <f>VLOOKUP(ORDERS[[#This Row],[ProductID]],Products[],4,FALSE)</f>
        <v>16</v>
      </c>
      <c r="G2025">
        <v>0</v>
      </c>
      <c r="H2025">
        <f>(ORDERS[[#This Row],[UnitsOrdered]]*ORDERS[[#This Row],[unit price]])-(ORDERS[[#This Row],[UnitsOrdered]]*ORDERS[[#This Row],[unit price]]*ORDERS[[#This Row],[Discount]])</f>
        <v>2080</v>
      </c>
      <c r="I2025" t="str">
        <f>VLOOKUP(ORDERS[[#This Row],[CustomerID]],customers[],2,FALSE)</f>
        <v>Shirts R Us</v>
      </c>
      <c r="J2025" s="2" t="str">
        <f>VLOOKUP(ORDERS[[#This Row],[CustomerID]],customers[],4,FALSE)</f>
        <v>Los Angeles</v>
      </c>
      <c r="K2025" s="2" t="str">
        <f>VLOOKUP(ORDERS[[#This Row],[ProductID]],Products[],3,FALSE)</f>
        <v>Female</v>
      </c>
      <c r="L2025" s="2">
        <f>DAY(ORDERS[[#This Row],[OrderDate]])</f>
        <v>19</v>
      </c>
      <c r="M2025" s="2">
        <f>YEAR(ORDERS[[#This Row],[OrderDate]])</f>
        <v>2016</v>
      </c>
    </row>
    <row r="2026" spans="1:13" x14ac:dyDescent="0.3">
      <c r="A2026">
        <v>2025</v>
      </c>
      <c r="B2026">
        <v>1</v>
      </c>
      <c r="C2026">
        <v>7</v>
      </c>
      <c r="D2026" s="1">
        <v>42541</v>
      </c>
      <c r="E2026">
        <v>148</v>
      </c>
      <c r="F2026">
        <f>VLOOKUP(ORDERS[[#This Row],[ProductID]],Products[],4,FALSE)</f>
        <v>38</v>
      </c>
      <c r="G2026">
        <v>0</v>
      </c>
      <c r="H2026">
        <f>(ORDERS[[#This Row],[UnitsOrdered]]*ORDERS[[#This Row],[unit price]])-(ORDERS[[#This Row],[UnitsOrdered]]*ORDERS[[#This Row],[unit price]]*ORDERS[[#This Row],[Discount]])</f>
        <v>5624</v>
      </c>
      <c r="I2026" t="str">
        <f>VLOOKUP(ORDERS[[#This Row],[CustomerID]],customers[],2,FALSE)</f>
        <v>Threads</v>
      </c>
      <c r="J2026" s="2" t="str">
        <f>VLOOKUP(ORDERS[[#This Row],[CustomerID]],customers[],4,FALSE)</f>
        <v>Seattle</v>
      </c>
      <c r="K2026" s="2" t="str">
        <f>VLOOKUP(ORDERS[[#This Row],[ProductID]],Products[],3,FALSE)</f>
        <v>Female</v>
      </c>
      <c r="L2026" s="2">
        <f>DAY(ORDERS[[#This Row],[OrderDate]])</f>
        <v>20</v>
      </c>
      <c r="M2026" s="2">
        <f>YEAR(ORDERS[[#This Row],[OrderDate]])</f>
        <v>2016</v>
      </c>
    </row>
    <row r="2027" spans="1:13" x14ac:dyDescent="0.3">
      <c r="A2027">
        <v>2026</v>
      </c>
      <c r="B2027">
        <v>3</v>
      </c>
      <c r="C2027">
        <v>4</v>
      </c>
      <c r="D2027" s="1">
        <v>42541</v>
      </c>
      <c r="E2027">
        <v>76</v>
      </c>
      <c r="F2027">
        <f>VLOOKUP(ORDERS[[#This Row],[ProductID]],Products[],4,FALSE)</f>
        <v>30</v>
      </c>
      <c r="G2027">
        <v>0</v>
      </c>
      <c r="H2027">
        <f>(ORDERS[[#This Row],[UnitsOrdered]]*ORDERS[[#This Row],[unit price]])-(ORDERS[[#This Row],[UnitsOrdered]]*ORDERS[[#This Row],[unit price]]*ORDERS[[#This Row],[Discount]])</f>
        <v>2280</v>
      </c>
      <c r="I2027" t="str">
        <f>VLOOKUP(ORDERS[[#This Row],[CustomerID]],customers[],2,FALSE)</f>
        <v>Shirts R Us</v>
      </c>
      <c r="J2027" s="2" t="str">
        <f>VLOOKUP(ORDERS[[#This Row],[CustomerID]],customers[],4,FALSE)</f>
        <v>Los Angeles</v>
      </c>
      <c r="K2027" s="2" t="str">
        <f>VLOOKUP(ORDERS[[#This Row],[ProductID]],Products[],3,FALSE)</f>
        <v>Both</v>
      </c>
      <c r="L2027" s="2">
        <f>DAY(ORDERS[[#This Row],[OrderDate]])</f>
        <v>20</v>
      </c>
      <c r="M2027" s="2">
        <f>YEAR(ORDERS[[#This Row],[OrderDate]])</f>
        <v>2016</v>
      </c>
    </row>
    <row r="2028" spans="1:13" x14ac:dyDescent="0.3">
      <c r="A2028">
        <v>2027</v>
      </c>
      <c r="B2028">
        <v>5</v>
      </c>
      <c r="C2028">
        <v>9</v>
      </c>
      <c r="D2028" s="1">
        <v>42541</v>
      </c>
      <c r="E2028">
        <v>39</v>
      </c>
      <c r="F2028">
        <f>VLOOKUP(ORDERS[[#This Row],[ProductID]],Products[],4,FALSE)</f>
        <v>25</v>
      </c>
      <c r="G2028">
        <v>0</v>
      </c>
      <c r="H2028">
        <f>(ORDERS[[#This Row],[UnitsOrdered]]*ORDERS[[#This Row],[unit price]])-(ORDERS[[#This Row],[UnitsOrdered]]*ORDERS[[#This Row],[unit price]]*ORDERS[[#This Row],[Discount]])</f>
        <v>975</v>
      </c>
      <c r="I2028" t="str">
        <f>VLOOKUP(ORDERS[[#This Row],[CustomerID]],customers[],2,FALSE)</f>
        <v>Rags to Riches</v>
      </c>
      <c r="J2028" s="2" t="str">
        <f>VLOOKUP(ORDERS[[#This Row],[CustomerID]],customers[],4,FALSE)</f>
        <v>Las Vegas</v>
      </c>
      <c r="K2028" s="2" t="str">
        <f>VLOOKUP(ORDERS[[#This Row],[ProductID]],Products[],3,FALSE)</f>
        <v>Male</v>
      </c>
      <c r="L2028" s="2">
        <f>DAY(ORDERS[[#This Row],[OrderDate]])</f>
        <v>20</v>
      </c>
      <c r="M2028" s="2">
        <f>YEAR(ORDERS[[#This Row],[OrderDate]])</f>
        <v>2016</v>
      </c>
    </row>
    <row r="2029" spans="1:13" x14ac:dyDescent="0.3">
      <c r="A2029">
        <v>2028</v>
      </c>
      <c r="B2029">
        <v>5</v>
      </c>
      <c r="C2029">
        <v>4</v>
      </c>
      <c r="D2029" s="1">
        <v>42542</v>
      </c>
      <c r="E2029">
        <v>28</v>
      </c>
      <c r="F2029">
        <f>VLOOKUP(ORDERS[[#This Row],[ProductID]],Products[],4,FALSE)</f>
        <v>30</v>
      </c>
      <c r="G2029">
        <v>0</v>
      </c>
      <c r="H2029">
        <f>(ORDERS[[#This Row],[UnitsOrdered]]*ORDERS[[#This Row],[unit price]])-(ORDERS[[#This Row],[UnitsOrdered]]*ORDERS[[#This Row],[unit price]]*ORDERS[[#This Row],[Discount]])</f>
        <v>840</v>
      </c>
      <c r="I2029" t="str">
        <f>VLOOKUP(ORDERS[[#This Row],[CustomerID]],customers[],2,FALSE)</f>
        <v>Rags to Riches</v>
      </c>
      <c r="J2029" s="2" t="str">
        <f>VLOOKUP(ORDERS[[#This Row],[CustomerID]],customers[],4,FALSE)</f>
        <v>Las Vegas</v>
      </c>
      <c r="K2029" s="2" t="str">
        <f>VLOOKUP(ORDERS[[#This Row],[ProductID]],Products[],3,FALSE)</f>
        <v>Both</v>
      </c>
      <c r="L2029" s="2">
        <f>DAY(ORDERS[[#This Row],[OrderDate]])</f>
        <v>21</v>
      </c>
      <c r="M2029" s="2">
        <f>YEAR(ORDERS[[#This Row],[OrderDate]])</f>
        <v>2016</v>
      </c>
    </row>
    <row r="2030" spans="1:13" x14ac:dyDescent="0.3">
      <c r="A2030">
        <v>2029</v>
      </c>
      <c r="B2030">
        <v>7</v>
      </c>
      <c r="C2030">
        <v>5</v>
      </c>
      <c r="D2030" s="1">
        <v>42542</v>
      </c>
      <c r="E2030">
        <v>132</v>
      </c>
      <c r="F2030">
        <f>VLOOKUP(ORDERS[[#This Row],[ProductID]],Products[],4,FALSE)</f>
        <v>16</v>
      </c>
      <c r="G2030">
        <v>0</v>
      </c>
      <c r="H2030">
        <f>(ORDERS[[#This Row],[UnitsOrdered]]*ORDERS[[#This Row],[unit price]])-(ORDERS[[#This Row],[UnitsOrdered]]*ORDERS[[#This Row],[unit price]]*ORDERS[[#This Row],[Discount]])</f>
        <v>2112</v>
      </c>
      <c r="I2030" t="str">
        <f>VLOOKUP(ORDERS[[#This Row],[CustomerID]],customers[],2,FALSE)</f>
        <v>The Shirt on Your Back</v>
      </c>
      <c r="J2030" s="2" t="str">
        <f>VLOOKUP(ORDERS[[#This Row],[CustomerID]],customers[],4,FALSE)</f>
        <v>Bonners Ferry</v>
      </c>
      <c r="K2030" s="2" t="str">
        <f>VLOOKUP(ORDERS[[#This Row],[ProductID]],Products[],3,FALSE)</f>
        <v>Female</v>
      </c>
      <c r="L2030" s="2">
        <f>DAY(ORDERS[[#This Row],[OrderDate]])</f>
        <v>21</v>
      </c>
      <c r="M2030" s="2">
        <f>YEAR(ORDERS[[#This Row],[OrderDate]])</f>
        <v>2016</v>
      </c>
    </row>
    <row r="2031" spans="1:13" x14ac:dyDescent="0.3">
      <c r="A2031">
        <v>2030</v>
      </c>
      <c r="B2031">
        <v>1</v>
      </c>
      <c r="C2031">
        <v>8</v>
      </c>
      <c r="D2031" s="1">
        <v>42544</v>
      </c>
      <c r="E2031">
        <v>55</v>
      </c>
      <c r="F2031">
        <f>VLOOKUP(ORDERS[[#This Row],[ProductID]],Products[],4,FALSE)</f>
        <v>27</v>
      </c>
      <c r="G2031">
        <v>0</v>
      </c>
      <c r="H2031">
        <f>(ORDERS[[#This Row],[UnitsOrdered]]*ORDERS[[#This Row],[unit price]])-(ORDERS[[#This Row],[UnitsOrdered]]*ORDERS[[#This Row],[unit price]]*ORDERS[[#This Row],[Discount]])</f>
        <v>1485</v>
      </c>
      <c r="I2031" t="str">
        <f>VLOOKUP(ORDERS[[#This Row],[CustomerID]],customers[],2,FALSE)</f>
        <v>Threads</v>
      </c>
      <c r="J2031" s="2" t="str">
        <f>VLOOKUP(ORDERS[[#This Row],[CustomerID]],customers[],4,FALSE)</f>
        <v>Seattle</v>
      </c>
      <c r="K2031" s="2" t="str">
        <f>VLOOKUP(ORDERS[[#This Row],[ProductID]],Products[],3,FALSE)</f>
        <v>Female</v>
      </c>
      <c r="L2031" s="2">
        <f>DAY(ORDERS[[#This Row],[OrderDate]])</f>
        <v>23</v>
      </c>
      <c r="M2031" s="2">
        <f>YEAR(ORDERS[[#This Row],[OrderDate]])</f>
        <v>2016</v>
      </c>
    </row>
    <row r="2032" spans="1:13" x14ac:dyDescent="0.3">
      <c r="A2032">
        <v>2031</v>
      </c>
      <c r="B2032">
        <v>5</v>
      </c>
      <c r="C2032">
        <v>3</v>
      </c>
      <c r="D2032" s="1">
        <v>42544</v>
      </c>
      <c r="E2032">
        <v>30</v>
      </c>
      <c r="F2032">
        <f>VLOOKUP(ORDERS[[#This Row],[ProductID]],Products[],4,FALSE)</f>
        <v>22</v>
      </c>
      <c r="G2032">
        <v>0</v>
      </c>
      <c r="H2032">
        <f>(ORDERS[[#This Row],[UnitsOrdered]]*ORDERS[[#This Row],[unit price]])-(ORDERS[[#This Row],[UnitsOrdered]]*ORDERS[[#This Row],[unit price]]*ORDERS[[#This Row],[Discount]])</f>
        <v>660</v>
      </c>
      <c r="I2032" t="str">
        <f>VLOOKUP(ORDERS[[#This Row],[CustomerID]],customers[],2,FALSE)</f>
        <v>Rags to Riches</v>
      </c>
      <c r="J2032" s="2" t="str">
        <f>VLOOKUP(ORDERS[[#This Row],[CustomerID]],customers[],4,FALSE)</f>
        <v>Las Vegas</v>
      </c>
      <c r="K2032" s="2" t="str">
        <f>VLOOKUP(ORDERS[[#This Row],[ProductID]],Products[],3,FALSE)</f>
        <v>Both</v>
      </c>
      <c r="L2032" s="2">
        <f>DAY(ORDERS[[#This Row],[OrderDate]])</f>
        <v>23</v>
      </c>
      <c r="M2032" s="2">
        <f>YEAR(ORDERS[[#This Row],[OrderDate]])</f>
        <v>2016</v>
      </c>
    </row>
    <row r="2033" spans="1:13" x14ac:dyDescent="0.3">
      <c r="A2033">
        <v>2032</v>
      </c>
      <c r="B2033">
        <v>6</v>
      </c>
      <c r="C2033">
        <v>3</v>
      </c>
      <c r="D2033" s="1">
        <v>42545</v>
      </c>
      <c r="E2033">
        <v>143</v>
      </c>
      <c r="F2033">
        <f>VLOOKUP(ORDERS[[#This Row],[ProductID]],Products[],4,FALSE)</f>
        <v>22</v>
      </c>
      <c r="G2033">
        <v>0</v>
      </c>
      <c r="H2033">
        <f>(ORDERS[[#This Row],[UnitsOrdered]]*ORDERS[[#This Row],[unit price]])-(ORDERS[[#This Row],[UnitsOrdered]]*ORDERS[[#This Row],[unit price]]*ORDERS[[#This Row],[Discount]])</f>
        <v>3146</v>
      </c>
      <c r="I2033" t="str">
        <f>VLOOKUP(ORDERS[[#This Row],[CustomerID]],customers[],2,FALSE)</f>
        <v>Abracadaba Ink</v>
      </c>
      <c r="J2033" s="2" t="str">
        <f>VLOOKUP(ORDERS[[#This Row],[CustomerID]],customers[],4,FALSE)</f>
        <v>Salt Lake City</v>
      </c>
      <c r="K2033" s="2" t="str">
        <f>VLOOKUP(ORDERS[[#This Row],[ProductID]],Products[],3,FALSE)</f>
        <v>Both</v>
      </c>
      <c r="L2033" s="2">
        <f>DAY(ORDERS[[#This Row],[OrderDate]])</f>
        <v>24</v>
      </c>
      <c r="M2033" s="2">
        <f>YEAR(ORDERS[[#This Row],[OrderDate]])</f>
        <v>2016</v>
      </c>
    </row>
    <row r="2034" spans="1:13" x14ac:dyDescent="0.3">
      <c r="A2034">
        <v>2033</v>
      </c>
      <c r="B2034">
        <v>2</v>
      </c>
      <c r="C2034">
        <v>5</v>
      </c>
      <c r="D2034" s="1">
        <v>42546</v>
      </c>
      <c r="E2034">
        <v>102</v>
      </c>
      <c r="F2034">
        <f>VLOOKUP(ORDERS[[#This Row],[ProductID]],Products[],4,FALSE)</f>
        <v>16</v>
      </c>
      <c r="G2034">
        <v>0.10000000100000001</v>
      </c>
      <c r="H2034">
        <f>(ORDERS[[#This Row],[UnitsOrdered]]*ORDERS[[#This Row],[unit price]])-(ORDERS[[#This Row],[UnitsOrdered]]*ORDERS[[#This Row],[unit price]]*ORDERS[[#This Row],[Discount]])</f>
        <v>1468.7999983679999</v>
      </c>
      <c r="I2034" t="str">
        <f>VLOOKUP(ORDERS[[#This Row],[CustomerID]],customers[],2,FALSE)</f>
        <v>A Shirts Life</v>
      </c>
      <c r="J2034" s="2" t="str">
        <f>VLOOKUP(ORDERS[[#This Row],[CustomerID]],customers[],4,FALSE)</f>
        <v>Portland</v>
      </c>
      <c r="K2034" s="2" t="str">
        <f>VLOOKUP(ORDERS[[#This Row],[ProductID]],Products[],3,FALSE)</f>
        <v>Female</v>
      </c>
      <c r="L2034" s="2">
        <f>DAY(ORDERS[[#This Row],[OrderDate]])</f>
        <v>25</v>
      </c>
      <c r="M2034" s="2">
        <f>YEAR(ORDERS[[#This Row],[OrderDate]])</f>
        <v>2016</v>
      </c>
    </row>
    <row r="2035" spans="1:13" x14ac:dyDescent="0.3">
      <c r="A2035">
        <v>2034</v>
      </c>
      <c r="B2035">
        <v>5</v>
      </c>
      <c r="C2035">
        <v>9</v>
      </c>
      <c r="D2035" s="1">
        <v>42546</v>
      </c>
      <c r="E2035">
        <v>89</v>
      </c>
      <c r="F2035">
        <f>VLOOKUP(ORDERS[[#This Row],[ProductID]],Products[],4,FALSE)</f>
        <v>25</v>
      </c>
      <c r="G2035">
        <v>0</v>
      </c>
      <c r="H2035">
        <f>(ORDERS[[#This Row],[UnitsOrdered]]*ORDERS[[#This Row],[unit price]])-(ORDERS[[#This Row],[UnitsOrdered]]*ORDERS[[#This Row],[unit price]]*ORDERS[[#This Row],[Discount]])</f>
        <v>2225</v>
      </c>
      <c r="I2035" t="str">
        <f>VLOOKUP(ORDERS[[#This Row],[CustomerID]],customers[],2,FALSE)</f>
        <v>Rags to Riches</v>
      </c>
      <c r="J2035" s="2" t="str">
        <f>VLOOKUP(ORDERS[[#This Row],[CustomerID]],customers[],4,FALSE)</f>
        <v>Las Vegas</v>
      </c>
      <c r="K2035" s="2" t="str">
        <f>VLOOKUP(ORDERS[[#This Row],[ProductID]],Products[],3,FALSE)</f>
        <v>Male</v>
      </c>
      <c r="L2035" s="2">
        <f>DAY(ORDERS[[#This Row],[OrderDate]])</f>
        <v>25</v>
      </c>
      <c r="M2035" s="2">
        <f>YEAR(ORDERS[[#This Row],[OrderDate]])</f>
        <v>2016</v>
      </c>
    </row>
    <row r="2036" spans="1:13" x14ac:dyDescent="0.3">
      <c r="A2036">
        <v>2035</v>
      </c>
      <c r="B2036">
        <v>1</v>
      </c>
      <c r="C2036">
        <v>9</v>
      </c>
      <c r="D2036" s="1">
        <v>42548</v>
      </c>
      <c r="E2036">
        <v>45</v>
      </c>
      <c r="F2036">
        <f>VLOOKUP(ORDERS[[#This Row],[ProductID]],Products[],4,FALSE)</f>
        <v>25</v>
      </c>
      <c r="G2036">
        <v>0</v>
      </c>
      <c r="H2036">
        <f>(ORDERS[[#This Row],[UnitsOrdered]]*ORDERS[[#This Row],[unit price]])-(ORDERS[[#This Row],[UnitsOrdered]]*ORDERS[[#This Row],[unit price]]*ORDERS[[#This Row],[Discount]])</f>
        <v>1125</v>
      </c>
      <c r="I2036" t="str">
        <f>VLOOKUP(ORDERS[[#This Row],[CustomerID]],customers[],2,FALSE)</f>
        <v>Threads</v>
      </c>
      <c r="J2036" s="2" t="str">
        <f>VLOOKUP(ORDERS[[#This Row],[CustomerID]],customers[],4,FALSE)</f>
        <v>Seattle</v>
      </c>
      <c r="K2036" s="2" t="str">
        <f>VLOOKUP(ORDERS[[#This Row],[ProductID]],Products[],3,FALSE)</f>
        <v>Male</v>
      </c>
      <c r="L2036" s="2">
        <f>DAY(ORDERS[[#This Row],[OrderDate]])</f>
        <v>27</v>
      </c>
      <c r="M2036" s="2">
        <f>YEAR(ORDERS[[#This Row],[OrderDate]])</f>
        <v>2016</v>
      </c>
    </row>
    <row r="2037" spans="1:13" x14ac:dyDescent="0.3">
      <c r="A2037">
        <v>2036</v>
      </c>
      <c r="B2037">
        <v>3</v>
      </c>
      <c r="C2037">
        <v>5</v>
      </c>
      <c r="D2037" s="1">
        <v>42549</v>
      </c>
      <c r="E2037">
        <v>38</v>
      </c>
      <c r="F2037">
        <f>VLOOKUP(ORDERS[[#This Row],[ProductID]],Products[],4,FALSE)</f>
        <v>16</v>
      </c>
      <c r="G2037">
        <v>0</v>
      </c>
      <c r="H2037">
        <f>(ORDERS[[#This Row],[UnitsOrdered]]*ORDERS[[#This Row],[unit price]])-(ORDERS[[#This Row],[UnitsOrdered]]*ORDERS[[#This Row],[unit price]]*ORDERS[[#This Row],[Discount]])</f>
        <v>608</v>
      </c>
      <c r="I2037" t="str">
        <f>VLOOKUP(ORDERS[[#This Row],[CustomerID]],customers[],2,FALSE)</f>
        <v>Shirts R Us</v>
      </c>
      <c r="J2037" s="2" t="str">
        <f>VLOOKUP(ORDERS[[#This Row],[CustomerID]],customers[],4,FALSE)</f>
        <v>Los Angeles</v>
      </c>
      <c r="K2037" s="2" t="str">
        <f>VLOOKUP(ORDERS[[#This Row],[ProductID]],Products[],3,FALSE)</f>
        <v>Female</v>
      </c>
      <c r="L2037" s="2">
        <f>DAY(ORDERS[[#This Row],[OrderDate]])</f>
        <v>28</v>
      </c>
      <c r="M2037" s="2">
        <f>YEAR(ORDERS[[#This Row],[OrderDate]])</f>
        <v>2016</v>
      </c>
    </row>
    <row r="2038" spans="1:13" x14ac:dyDescent="0.3">
      <c r="A2038">
        <v>2037</v>
      </c>
      <c r="B2038">
        <v>3</v>
      </c>
      <c r="C2038">
        <v>10</v>
      </c>
      <c r="D2038" s="1">
        <v>42549</v>
      </c>
      <c r="E2038">
        <v>95</v>
      </c>
      <c r="F2038">
        <f>VLOOKUP(ORDERS[[#This Row],[ProductID]],Products[],4,FALSE)</f>
        <v>35</v>
      </c>
      <c r="G2038">
        <v>5.0000001000000002E-2</v>
      </c>
      <c r="H2038">
        <f>(ORDERS[[#This Row],[UnitsOrdered]]*ORDERS[[#This Row],[unit price]])-(ORDERS[[#This Row],[UnitsOrdered]]*ORDERS[[#This Row],[unit price]]*ORDERS[[#This Row],[Discount]])</f>
        <v>3158.7499966750001</v>
      </c>
      <c r="I2038" t="str">
        <f>VLOOKUP(ORDERS[[#This Row],[CustomerID]],customers[],2,FALSE)</f>
        <v>Shirts R Us</v>
      </c>
      <c r="J2038" s="2" t="str">
        <f>VLOOKUP(ORDERS[[#This Row],[CustomerID]],customers[],4,FALSE)</f>
        <v>Los Angeles</v>
      </c>
      <c r="K2038" s="2" t="str">
        <f>VLOOKUP(ORDERS[[#This Row],[ProductID]],Products[],3,FALSE)</f>
        <v>Male</v>
      </c>
      <c r="L2038" s="2">
        <f>DAY(ORDERS[[#This Row],[OrderDate]])</f>
        <v>28</v>
      </c>
      <c r="M2038" s="2">
        <f>YEAR(ORDERS[[#This Row],[OrderDate]])</f>
        <v>2016</v>
      </c>
    </row>
    <row r="2039" spans="1:13" x14ac:dyDescent="0.3">
      <c r="A2039">
        <v>2038</v>
      </c>
      <c r="B2039">
        <v>6</v>
      </c>
      <c r="C2039">
        <v>7</v>
      </c>
      <c r="D2039" s="1">
        <v>42549</v>
      </c>
      <c r="E2039">
        <v>78</v>
      </c>
      <c r="F2039">
        <f>VLOOKUP(ORDERS[[#This Row],[ProductID]],Products[],4,FALSE)</f>
        <v>38</v>
      </c>
      <c r="G2039">
        <v>5.0000001000000002E-2</v>
      </c>
      <c r="H2039">
        <f>(ORDERS[[#This Row],[UnitsOrdered]]*ORDERS[[#This Row],[unit price]])-(ORDERS[[#This Row],[UnitsOrdered]]*ORDERS[[#This Row],[unit price]]*ORDERS[[#This Row],[Discount]])</f>
        <v>2815.7999970360001</v>
      </c>
      <c r="I2039" t="str">
        <f>VLOOKUP(ORDERS[[#This Row],[CustomerID]],customers[],2,FALSE)</f>
        <v>Abracadaba Ink</v>
      </c>
      <c r="J2039" s="2" t="str">
        <f>VLOOKUP(ORDERS[[#This Row],[CustomerID]],customers[],4,FALSE)</f>
        <v>Salt Lake City</v>
      </c>
      <c r="K2039" s="2" t="str">
        <f>VLOOKUP(ORDERS[[#This Row],[ProductID]],Products[],3,FALSE)</f>
        <v>Female</v>
      </c>
      <c r="L2039" s="2">
        <f>DAY(ORDERS[[#This Row],[OrderDate]])</f>
        <v>28</v>
      </c>
      <c r="M2039" s="2">
        <f>YEAR(ORDERS[[#This Row],[OrderDate]])</f>
        <v>2016</v>
      </c>
    </row>
    <row r="2040" spans="1:13" x14ac:dyDescent="0.3">
      <c r="A2040">
        <v>2039</v>
      </c>
      <c r="B2040">
        <v>4</v>
      </c>
      <c r="C2040">
        <v>6</v>
      </c>
      <c r="D2040" s="1">
        <v>42550</v>
      </c>
      <c r="E2040">
        <v>109</v>
      </c>
      <c r="F2040">
        <f>VLOOKUP(ORDERS[[#This Row],[ProductID]],Products[],4,FALSE)</f>
        <v>28</v>
      </c>
      <c r="G2040">
        <v>0</v>
      </c>
      <c r="H2040">
        <f>(ORDERS[[#This Row],[UnitsOrdered]]*ORDERS[[#This Row],[unit price]])-(ORDERS[[#This Row],[UnitsOrdered]]*ORDERS[[#This Row],[unit price]]*ORDERS[[#This Row],[Discount]])</f>
        <v>3052</v>
      </c>
      <c r="I2040" t="str">
        <f>VLOOKUP(ORDERS[[#This Row],[CustomerID]],customers[],2,FALSE)</f>
        <v>Tshirt Unlimited</v>
      </c>
      <c r="J2040" s="2" t="str">
        <f>VLOOKUP(ORDERS[[#This Row],[CustomerID]],customers[],4,FALSE)</f>
        <v>Phoenix</v>
      </c>
      <c r="K2040" s="2" t="str">
        <f>VLOOKUP(ORDERS[[#This Row],[ProductID]],Products[],3,FALSE)</f>
        <v>Female</v>
      </c>
      <c r="L2040" s="2">
        <f>DAY(ORDERS[[#This Row],[OrderDate]])</f>
        <v>29</v>
      </c>
      <c r="M2040" s="2">
        <f>YEAR(ORDERS[[#This Row],[OrderDate]])</f>
        <v>2016</v>
      </c>
    </row>
    <row r="2041" spans="1:13" x14ac:dyDescent="0.3">
      <c r="A2041">
        <v>2040</v>
      </c>
      <c r="B2041">
        <v>2</v>
      </c>
      <c r="C2041">
        <v>10</v>
      </c>
      <c r="D2041" s="1">
        <v>42551</v>
      </c>
      <c r="E2041">
        <v>150</v>
      </c>
      <c r="F2041">
        <f>VLOOKUP(ORDERS[[#This Row],[ProductID]],Products[],4,FALSE)</f>
        <v>35</v>
      </c>
      <c r="G2041">
        <v>0</v>
      </c>
      <c r="H2041">
        <f>(ORDERS[[#This Row],[UnitsOrdered]]*ORDERS[[#This Row],[unit price]])-(ORDERS[[#This Row],[UnitsOrdered]]*ORDERS[[#This Row],[unit price]]*ORDERS[[#This Row],[Discount]])</f>
        <v>5250</v>
      </c>
      <c r="I2041" t="str">
        <f>VLOOKUP(ORDERS[[#This Row],[CustomerID]],customers[],2,FALSE)</f>
        <v>A Shirts Life</v>
      </c>
      <c r="J2041" s="2" t="str">
        <f>VLOOKUP(ORDERS[[#This Row],[CustomerID]],customers[],4,FALSE)</f>
        <v>Portland</v>
      </c>
      <c r="K2041" s="2" t="str">
        <f>VLOOKUP(ORDERS[[#This Row],[ProductID]],Products[],3,FALSE)</f>
        <v>Male</v>
      </c>
      <c r="L2041" s="2">
        <f>DAY(ORDERS[[#This Row],[OrderDate]])</f>
        <v>30</v>
      </c>
      <c r="M2041" s="2">
        <f>YEAR(ORDERS[[#This Row],[OrderDate]])</f>
        <v>2016</v>
      </c>
    </row>
    <row r="2042" spans="1:13" x14ac:dyDescent="0.3">
      <c r="A2042">
        <v>2041</v>
      </c>
      <c r="B2042">
        <v>2</v>
      </c>
      <c r="C2042">
        <v>3</v>
      </c>
      <c r="D2042" s="1">
        <v>42552</v>
      </c>
      <c r="E2042">
        <v>74</v>
      </c>
      <c r="F2042">
        <f>VLOOKUP(ORDERS[[#This Row],[ProductID]],Products[],4,FALSE)</f>
        <v>22</v>
      </c>
      <c r="G2042">
        <v>0</v>
      </c>
      <c r="H2042">
        <f>(ORDERS[[#This Row],[UnitsOrdered]]*ORDERS[[#This Row],[unit price]])-(ORDERS[[#This Row],[UnitsOrdered]]*ORDERS[[#This Row],[unit price]]*ORDERS[[#This Row],[Discount]])</f>
        <v>1628</v>
      </c>
      <c r="I2042" t="str">
        <f>VLOOKUP(ORDERS[[#This Row],[CustomerID]],customers[],2,FALSE)</f>
        <v>A Shirts Life</v>
      </c>
      <c r="J2042" s="2" t="str">
        <f>VLOOKUP(ORDERS[[#This Row],[CustomerID]],customers[],4,FALSE)</f>
        <v>Portland</v>
      </c>
      <c r="K2042" s="2" t="str">
        <f>VLOOKUP(ORDERS[[#This Row],[ProductID]],Products[],3,FALSE)</f>
        <v>Both</v>
      </c>
      <c r="L2042" s="2">
        <f>DAY(ORDERS[[#This Row],[OrderDate]])</f>
        <v>1</v>
      </c>
      <c r="M2042" s="2">
        <f>YEAR(ORDERS[[#This Row],[OrderDate]])</f>
        <v>2016</v>
      </c>
    </row>
    <row r="2043" spans="1:13" x14ac:dyDescent="0.3">
      <c r="A2043">
        <v>2042</v>
      </c>
      <c r="B2043">
        <v>4</v>
      </c>
      <c r="C2043">
        <v>6</v>
      </c>
      <c r="D2043" s="1">
        <v>42552</v>
      </c>
      <c r="E2043">
        <v>135</v>
      </c>
      <c r="F2043">
        <f>VLOOKUP(ORDERS[[#This Row],[ProductID]],Products[],4,FALSE)</f>
        <v>28</v>
      </c>
      <c r="G2043">
        <v>0.10000000100000001</v>
      </c>
      <c r="H2043">
        <f>(ORDERS[[#This Row],[UnitsOrdered]]*ORDERS[[#This Row],[unit price]])-(ORDERS[[#This Row],[UnitsOrdered]]*ORDERS[[#This Row],[unit price]]*ORDERS[[#This Row],[Discount]])</f>
        <v>3401.99999622</v>
      </c>
      <c r="I2043" t="str">
        <f>VLOOKUP(ORDERS[[#This Row],[CustomerID]],customers[],2,FALSE)</f>
        <v>Tshirt Unlimited</v>
      </c>
      <c r="J2043" s="2" t="str">
        <f>VLOOKUP(ORDERS[[#This Row],[CustomerID]],customers[],4,FALSE)</f>
        <v>Phoenix</v>
      </c>
      <c r="K2043" s="2" t="str">
        <f>VLOOKUP(ORDERS[[#This Row],[ProductID]],Products[],3,FALSE)</f>
        <v>Female</v>
      </c>
      <c r="L2043" s="2">
        <f>DAY(ORDERS[[#This Row],[OrderDate]])</f>
        <v>1</v>
      </c>
      <c r="M2043" s="2">
        <f>YEAR(ORDERS[[#This Row],[OrderDate]])</f>
        <v>2016</v>
      </c>
    </row>
    <row r="2044" spans="1:13" x14ac:dyDescent="0.3">
      <c r="A2044">
        <v>2043</v>
      </c>
      <c r="B2044">
        <v>4</v>
      </c>
      <c r="C2044">
        <v>10</v>
      </c>
      <c r="D2044" s="1">
        <v>42552</v>
      </c>
      <c r="E2044">
        <v>72</v>
      </c>
      <c r="F2044">
        <f>VLOOKUP(ORDERS[[#This Row],[ProductID]],Products[],4,FALSE)</f>
        <v>35</v>
      </c>
      <c r="G2044">
        <v>0</v>
      </c>
      <c r="H2044">
        <f>(ORDERS[[#This Row],[UnitsOrdered]]*ORDERS[[#This Row],[unit price]])-(ORDERS[[#This Row],[UnitsOrdered]]*ORDERS[[#This Row],[unit price]]*ORDERS[[#This Row],[Discount]])</f>
        <v>2520</v>
      </c>
      <c r="I2044" t="str">
        <f>VLOOKUP(ORDERS[[#This Row],[CustomerID]],customers[],2,FALSE)</f>
        <v>Tshirt Unlimited</v>
      </c>
      <c r="J2044" s="2" t="str">
        <f>VLOOKUP(ORDERS[[#This Row],[CustomerID]],customers[],4,FALSE)</f>
        <v>Phoenix</v>
      </c>
      <c r="K2044" s="2" t="str">
        <f>VLOOKUP(ORDERS[[#This Row],[ProductID]],Products[],3,FALSE)</f>
        <v>Male</v>
      </c>
      <c r="L2044" s="2">
        <f>DAY(ORDERS[[#This Row],[OrderDate]])</f>
        <v>1</v>
      </c>
      <c r="M2044" s="2">
        <f>YEAR(ORDERS[[#This Row],[OrderDate]])</f>
        <v>2016</v>
      </c>
    </row>
    <row r="2045" spans="1:13" x14ac:dyDescent="0.3">
      <c r="A2045">
        <v>2044</v>
      </c>
      <c r="B2045">
        <v>5</v>
      </c>
      <c r="C2045">
        <v>5</v>
      </c>
      <c r="D2045" s="1">
        <v>42552</v>
      </c>
      <c r="E2045">
        <v>87</v>
      </c>
      <c r="F2045">
        <f>VLOOKUP(ORDERS[[#This Row],[ProductID]],Products[],4,FALSE)</f>
        <v>16</v>
      </c>
      <c r="G2045">
        <v>0</v>
      </c>
      <c r="H2045">
        <f>(ORDERS[[#This Row],[UnitsOrdered]]*ORDERS[[#This Row],[unit price]])-(ORDERS[[#This Row],[UnitsOrdered]]*ORDERS[[#This Row],[unit price]]*ORDERS[[#This Row],[Discount]])</f>
        <v>1392</v>
      </c>
      <c r="I2045" t="str">
        <f>VLOOKUP(ORDERS[[#This Row],[CustomerID]],customers[],2,FALSE)</f>
        <v>Rags to Riches</v>
      </c>
      <c r="J2045" s="2" t="str">
        <f>VLOOKUP(ORDERS[[#This Row],[CustomerID]],customers[],4,FALSE)</f>
        <v>Las Vegas</v>
      </c>
      <c r="K2045" s="2" t="str">
        <f>VLOOKUP(ORDERS[[#This Row],[ProductID]],Products[],3,FALSE)</f>
        <v>Female</v>
      </c>
      <c r="L2045" s="2">
        <f>DAY(ORDERS[[#This Row],[OrderDate]])</f>
        <v>1</v>
      </c>
      <c r="M2045" s="2">
        <f>YEAR(ORDERS[[#This Row],[OrderDate]])</f>
        <v>2016</v>
      </c>
    </row>
    <row r="2046" spans="1:13" x14ac:dyDescent="0.3">
      <c r="A2046">
        <v>2045</v>
      </c>
      <c r="B2046">
        <v>6</v>
      </c>
      <c r="C2046">
        <v>4</v>
      </c>
      <c r="D2046" s="1">
        <v>42553</v>
      </c>
      <c r="E2046">
        <v>122</v>
      </c>
      <c r="F2046">
        <f>VLOOKUP(ORDERS[[#This Row],[ProductID]],Products[],4,FALSE)</f>
        <v>30</v>
      </c>
      <c r="G2046">
        <v>0</v>
      </c>
      <c r="H2046">
        <f>(ORDERS[[#This Row],[UnitsOrdered]]*ORDERS[[#This Row],[unit price]])-(ORDERS[[#This Row],[UnitsOrdered]]*ORDERS[[#This Row],[unit price]]*ORDERS[[#This Row],[Discount]])</f>
        <v>3660</v>
      </c>
      <c r="I2046" t="str">
        <f>VLOOKUP(ORDERS[[#This Row],[CustomerID]],customers[],2,FALSE)</f>
        <v>Abracadaba Ink</v>
      </c>
      <c r="J2046" s="2" t="str">
        <f>VLOOKUP(ORDERS[[#This Row],[CustomerID]],customers[],4,FALSE)</f>
        <v>Salt Lake City</v>
      </c>
      <c r="K2046" s="2" t="str">
        <f>VLOOKUP(ORDERS[[#This Row],[ProductID]],Products[],3,FALSE)</f>
        <v>Both</v>
      </c>
      <c r="L2046" s="2">
        <f>DAY(ORDERS[[#This Row],[OrderDate]])</f>
        <v>2</v>
      </c>
      <c r="M2046" s="2">
        <f>YEAR(ORDERS[[#This Row],[OrderDate]])</f>
        <v>2016</v>
      </c>
    </row>
    <row r="2047" spans="1:13" x14ac:dyDescent="0.3">
      <c r="A2047">
        <v>2046</v>
      </c>
      <c r="B2047">
        <v>6</v>
      </c>
      <c r="C2047">
        <v>7</v>
      </c>
      <c r="D2047" s="1">
        <v>42553</v>
      </c>
      <c r="E2047">
        <v>104</v>
      </c>
      <c r="F2047">
        <f>VLOOKUP(ORDERS[[#This Row],[ProductID]],Products[],4,FALSE)</f>
        <v>38</v>
      </c>
      <c r="G2047">
        <v>0</v>
      </c>
      <c r="H2047">
        <f>(ORDERS[[#This Row],[UnitsOrdered]]*ORDERS[[#This Row],[unit price]])-(ORDERS[[#This Row],[UnitsOrdered]]*ORDERS[[#This Row],[unit price]]*ORDERS[[#This Row],[Discount]])</f>
        <v>3952</v>
      </c>
      <c r="I2047" t="str">
        <f>VLOOKUP(ORDERS[[#This Row],[CustomerID]],customers[],2,FALSE)</f>
        <v>Abracadaba Ink</v>
      </c>
      <c r="J2047" s="2" t="str">
        <f>VLOOKUP(ORDERS[[#This Row],[CustomerID]],customers[],4,FALSE)</f>
        <v>Salt Lake City</v>
      </c>
      <c r="K2047" s="2" t="str">
        <f>VLOOKUP(ORDERS[[#This Row],[ProductID]],Products[],3,FALSE)</f>
        <v>Female</v>
      </c>
      <c r="L2047" s="2">
        <f>DAY(ORDERS[[#This Row],[OrderDate]])</f>
        <v>2</v>
      </c>
      <c r="M2047" s="2">
        <f>YEAR(ORDERS[[#This Row],[OrderDate]])</f>
        <v>2016</v>
      </c>
    </row>
    <row r="2048" spans="1:13" x14ac:dyDescent="0.3">
      <c r="A2048">
        <v>2047</v>
      </c>
      <c r="B2048">
        <v>2</v>
      </c>
      <c r="C2048">
        <v>3</v>
      </c>
      <c r="D2048" s="1">
        <v>42554</v>
      </c>
      <c r="E2048">
        <v>137</v>
      </c>
      <c r="F2048">
        <f>VLOOKUP(ORDERS[[#This Row],[ProductID]],Products[],4,FALSE)</f>
        <v>22</v>
      </c>
      <c r="G2048">
        <v>0</v>
      </c>
      <c r="H2048">
        <f>(ORDERS[[#This Row],[UnitsOrdered]]*ORDERS[[#This Row],[unit price]])-(ORDERS[[#This Row],[UnitsOrdered]]*ORDERS[[#This Row],[unit price]]*ORDERS[[#This Row],[Discount]])</f>
        <v>3014</v>
      </c>
      <c r="I2048" t="str">
        <f>VLOOKUP(ORDERS[[#This Row],[CustomerID]],customers[],2,FALSE)</f>
        <v>A Shirts Life</v>
      </c>
      <c r="J2048" s="2" t="str">
        <f>VLOOKUP(ORDERS[[#This Row],[CustomerID]],customers[],4,FALSE)</f>
        <v>Portland</v>
      </c>
      <c r="K2048" s="2" t="str">
        <f>VLOOKUP(ORDERS[[#This Row],[ProductID]],Products[],3,FALSE)</f>
        <v>Both</v>
      </c>
      <c r="L2048" s="2">
        <f>DAY(ORDERS[[#This Row],[OrderDate]])</f>
        <v>3</v>
      </c>
      <c r="M2048" s="2">
        <f>YEAR(ORDERS[[#This Row],[OrderDate]])</f>
        <v>2016</v>
      </c>
    </row>
    <row r="2049" spans="1:13" x14ac:dyDescent="0.3">
      <c r="A2049">
        <v>2048</v>
      </c>
      <c r="B2049">
        <v>2</v>
      </c>
      <c r="C2049">
        <v>4</v>
      </c>
      <c r="D2049" s="1">
        <v>42558</v>
      </c>
      <c r="E2049">
        <v>115</v>
      </c>
      <c r="F2049">
        <f>VLOOKUP(ORDERS[[#This Row],[ProductID]],Products[],4,FALSE)</f>
        <v>30</v>
      </c>
      <c r="G2049">
        <v>0</v>
      </c>
      <c r="H2049">
        <f>(ORDERS[[#This Row],[UnitsOrdered]]*ORDERS[[#This Row],[unit price]])-(ORDERS[[#This Row],[UnitsOrdered]]*ORDERS[[#This Row],[unit price]]*ORDERS[[#This Row],[Discount]])</f>
        <v>3450</v>
      </c>
      <c r="I2049" t="str">
        <f>VLOOKUP(ORDERS[[#This Row],[CustomerID]],customers[],2,FALSE)</f>
        <v>A Shirts Life</v>
      </c>
      <c r="J2049" s="2" t="str">
        <f>VLOOKUP(ORDERS[[#This Row],[CustomerID]],customers[],4,FALSE)</f>
        <v>Portland</v>
      </c>
      <c r="K2049" s="2" t="str">
        <f>VLOOKUP(ORDERS[[#This Row],[ProductID]],Products[],3,FALSE)</f>
        <v>Both</v>
      </c>
      <c r="L2049" s="2">
        <f>DAY(ORDERS[[#This Row],[OrderDate]])</f>
        <v>7</v>
      </c>
      <c r="M2049" s="2">
        <f>YEAR(ORDERS[[#This Row],[OrderDate]])</f>
        <v>2016</v>
      </c>
    </row>
    <row r="2050" spans="1:13" x14ac:dyDescent="0.3">
      <c r="A2050">
        <v>2049</v>
      </c>
      <c r="B2050">
        <v>3</v>
      </c>
      <c r="C2050">
        <v>3</v>
      </c>
      <c r="D2050" s="1">
        <v>42558</v>
      </c>
      <c r="E2050">
        <v>108</v>
      </c>
      <c r="F2050">
        <f>VLOOKUP(ORDERS[[#This Row],[ProductID]],Products[],4,FALSE)</f>
        <v>22</v>
      </c>
      <c r="G2050">
        <v>0</v>
      </c>
      <c r="H2050">
        <f>(ORDERS[[#This Row],[UnitsOrdered]]*ORDERS[[#This Row],[unit price]])-(ORDERS[[#This Row],[UnitsOrdered]]*ORDERS[[#This Row],[unit price]]*ORDERS[[#This Row],[Discount]])</f>
        <v>2376</v>
      </c>
      <c r="I2050" t="str">
        <f>VLOOKUP(ORDERS[[#This Row],[CustomerID]],customers[],2,FALSE)</f>
        <v>Shirts R Us</v>
      </c>
      <c r="J2050" s="2" t="str">
        <f>VLOOKUP(ORDERS[[#This Row],[CustomerID]],customers[],4,FALSE)</f>
        <v>Los Angeles</v>
      </c>
      <c r="K2050" s="2" t="str">
        <f>VLOOKUP(ORDERS[[#This Row],[ProductID]],Products[],3,FALSE)</f>
        <v>Both</v>
      </c>
      <c r="L2050" s="2">
        <f>DAY(ORDERS[[#This Row],[OrderDate]])</f>
        <v>7</v>
      </c>
      <c r="M2050" s="2">
        <f>YEAR(ORDERS[[#This Row],[OrderDate]])</f>
        <v>2016</v>
      </c>
    </row>
    <row r="2051" spans="1:13" x14ac:dyDescent="0.3">
      <c r="A2051">
        <v>2050</v>
      </c>
      <c r="B2051">
        <v>3</v>
      </c>
      <c r="C2051">
        <v>7</v>
      </c>
      <c r="D2051" s="1">
        <v>42558</v>
      </c>
      <c r="E2051">
        <v>79</v>
      </c>
      <c r="F2051">
        <f>VLOOKUP(ORDERS[[#This Row],[ProductID]],Products[],4,FALSE)</f>
        <v>38</v>
      </c>
      <c r="G2051">
        <v>0</v>
      </c>
      <c r="H2051">
        <f>(ORDERS[[#This Row],[UnitsOrdered]]*ORDERS[[#This Row],[unit price]])-(ORDERS[[#This Row],[UnitsOrdered]]*ORDERS[[#This Row],[unit price]]*ORDERS[[#This Row],[Discount]])</f>
        <v>3002</v>
      </c>
      <c r="I2051" t="str">
        <f>VLOOKUP(ORDERS[[#This Row],[CustomerID]],customers[],2,FALSE)</f>
        <v>Shirts R Us</v>
      </c>
      <c r="J2051" s="2" t="str">
        <f>VLOOKUP(ORDERS[[#This Row],[CustomerID]],customers[],4,FALSE)</f>
        <v>Los Angeles</v>
      </c>
      <c r="K2051" s="2" t="str">
        <f>VLOOKUP(ORDERS[[#This Row],[ProductID]],Products[],3,FALSE)</f>
        <v>Female</v>
      </c>
      <c r="L2051" s="2">
        <f>DAY(ORDERS[[#This Row],[OrderDate]])</f>
        <v>7</v>
      </c>
      <c r="M2051" s="2">
        <f>YEAR(ORDERS[[#This Row],[OrderDate]])</f>
        <v>2016</v>
      </c>
    </row>
    <row r="2052" spans="1:13" x14ac:dyDescent="0.3">
      <c r="A2052">
        <v>2051</v>
      </c>
      <c r="B2052">
        <v>4</v>
      </c>
      <c r="C2052">
        <v>10</v>
      </c>
      <c r="D2052" s="1">
        <v>42558</v>
      </c>
      <c r="E2052">
        <v>66</v>
      </c>
      <c r="F2052">
        <f>VLOOKUP(ORDERS[[#This Row],[ProductID]],Products[],4,FALSE)</f>
        <v>35</v>
      </c>
      <c r="G2052">
        <v>0</v>
      </c>
      <c r="H2052">
        <f>(ORDERS[[#This Row],[UnitsOrdered]]*ORDERS[[#This Row],[unit price]])-(ORDERS[[#This Row],[UnitsOrdered]]*ORDERS[[#This Row],[unit price]]*ORDERS[[#This Row],[Discount]])</f>
        <v>2310</v>
      </c>
      <c r="I2052" t="str">
        <f>VLOOKUP(ORDERS[[#This Row],[CustomerID]],customers[],2,FALSE)</f>
        <v>Tshirt Unlimited</v>
      </c>
      <c r="J2052" s="2" t="str">
        <f>VLOOKUP(ORDERS[[#This Row],[CustomerID]],customers[],4,FALSE)</f>
        <v>Phoenix</v>
      </c>
      <c r="K2052" s="2" t="str">
        <f>VLOOKUP(ORDERS[[#This Row],[ProductID]],Products[],3,FALSE)</f>
        <v>Male</v>
      </c>
      <c r="L2052" s="2">
        <f>DAY(ORDERS[[#This Row],[OrderDate]])</f>
        <v>7</v>
      </c>
      <c r="M2052" s="2">
        <f>YEAR(ORDERS[[#This Row],[OrderDate]])</f>
        <v>2016</v>
      </c>
    </row>
    <row r="2053" spans="1:13" x14ac:dyDescent="0.3">
      <c r="A2053">
        <v>2052</v>
      </c>
      <c r="B2053">
        <v>5</v>
      </c>
      <c r="C2053">
        <v>8</v>
      </c>
      <c r="D2053" s="1">
        <v>42558</v>
      </c>
      <c r="E2053">
        <v>73</v>
      </c>
      <c r="F2053">
        <f>VLOOKUP(ORDERS[[#This Row],[ProductID]],Products[],4,FALSE)</f>
        <v>27</v>
      </c>
      <c r="G2053">
        <v>0</v>
      </c>
      <c r="H2053">
        <f>(ORDERS[[#This Row],[UnitsOrdered]]*ORDERS[[#This Row],[unit price]])-(ORDERS[[#This Row],[UnitsOrdered]]*ORDERS[[#This Row],[unit price]]*ORDERS[[#This Row],[Discount]])</f>
        <v>1971</v>
      </c>
      <c r="I2053" t="str">
        <f>VLOOKUP(ORDERS[[#This Row],[CustomerID]],customers[],2,FALSE)</f>
        <v>Rags to Riches</v>
      </c>
      <c r="J2053" s="2" t="str">
        <f>VLOOKUP(ORDERS[[#This Row],[CustomerID]],customers[],4,FALSE)</f>
        <v>Las Vegas</v>
      </c>
      <c r="K2053" s="2" t="str">
        <f>VLOOKUP(ORDERS[[#This Row],[ProductID]],Products[],3,FALSE)</f>
        <v>Female</v>
      </c>
      <c r="L2053" s="2">
        <f>DAY(ORDERS[[#This Row],[OrderDate]])</f>
        <v>7</v>
      </c>
      <c r="M2053" s="2">
        <f>YEAR(ORDERS[[#This Row],[OrderDate]])</f>
        <v>2016</v>
      </c>
    </row>
    <row r="2054" spans="1:13" x14ac:dyDescent="0.3">
      <c r="A2054">
        <v>2053</v>
      </c>
      <c r="B2054">
        <v>2</v>
      </c>
      <c r="C2054">
        <v>1</v>
      </c>
      <c r="D2054" s="1">
        <v>42559</v>
      </c>
      <c r="E2054">
        <v>55</v>
      </c>
      <c r="F2054">
        <f>VLOOKUP(ORDERS[[#This Row],[ProductID]],Products[],4,FALSE)</f>
        <v>20</v>
      </c>
      <c r="G2054">
        <v>0</v>
      </c>
      <c r="H2054">
        <f>(ORDERS[[#This Row],[UnitsOrdered]]*ORDERS[[#This Row],[unit price]])-(ORDERS[[#This Row],[UnitsOrdered]]*ORDERS[[#This Row],[unit price]]*ORDERS[[#This Row],[Discount]])</f>
        <v>1100</v>
      </c>
      <c r="I2054" t="str">
        <f>VLOOKUP(ORDERS[[#This Row],[CustomerID]],customers[],2,FALSE)</f>
        <v>A Shirts Life</v>
      </c>
      <c r="J2054" s="2" t="str">
        <f>VLOOKUP(ORDERS[[#This Row],[CustomerID]],customers[],4,FALSE)</f>
        <v>Portland</v>
      </c>
      <c r="K2054" s="2" t="str">
        <f>VLOOKUP(ORDERS[[#This Row],[ProductID]],Products[],3,FALSE)</f>
        <v>Both</v>
      </c>
      <c r="L2054" s="2">
        <f>DAY(ORDERS[[#This Row],[OrderDate]])</f>
        <v>8</v>
      </c>
      <c r="M2054" s="2">
        <f>YEAR(ORDERS[[#This Row],[OrderDate]])</f>
        <v>2016</v>
      </c>
    </row>
    <row r="2055" spans="1:13" x14ac:dyDescent="0.3">
      <c r="A2055">
        <v>2054</v>
      </c>
      <c r="B2055">
        <v>2</v>
      </c>
      <c r="C2055">
        <v>8</v>
      </c>
      <c r="D2055" s="1">
        <v>42559</v>
      </c>
      <c r="E2055">
        <v>47</v>
      </c>
      <c r="F2055">
        <f>VLOOKUP(ORDERS[[#This Row],[ProductID]],Products[],4,FALSE)</f>
        <v>27</v>
      </c>
      <c r="G2055">
        <v>0</v>
      </c>
      <c r="H2055">
        <f>(ORDERS[[#This Row],[UnitsOrdered]]*ORDERS[[#This Row],[unit price]])-(ORDERS[[#This Row],[UnitsOrdered]]*ORDERS[[#This Row],[unit price]]*ORDERS[[#This Row],[Discount]])</f>
        <v>1269</v>
      </c>
      <c r="I2055" t="str">
        <f>VLOOKUP(ORDERS[[#This Row],[CustomerID]],customers[],2,FALSE)</f>
        <v>A Shirts Life</v>
      </c>
      <c r="J2055" s="2" t="str">
        <f>VLOOKUP(ORDERS[[#This Row],[CustomerID]],customers[],4,FALSE)</f>
        <v>Portland</v>
      </c>
      <c r="K2055" s="2" t="str">
        <f>VLOOKUP(ORDERS[[#This Row],[ProductID]],Products[],3,FALSE)</f>
        <v>Female</v>
      </c>
      <c r="L2055" s="2">
        <f>DAY(ORDERS[[#This Row],[OrderDate]])</f>
        <v>8</v>
      </c>
      <c r="M2055" s="2">
        <f>YEAR(ORDERS[[#This Row],[OrderDate]])</f>
        <v>2016</v>
      </c>
    </row>
    <row r="2056" spans="1:13" x14ac:dyDescent="0.3">
      <c r="A2056">
        <v>2055</v>
      </c>
      <c r="B2056">
        <v>5</v>
      </c>
      <c r="C2056">
        <v>4</v>
      </c>
      <c r="D2056" s="1">
        <v>42560</v>
      </c>
      <c r="E2056">
        <v>143</v>
      </c>
      <c r="F2056">
        <f>VLOOKUP(ORDERS[[#This Row],[ProductID]],Products[],4,FALSE)</f>
        <v>30</v>
      </c>
      <c r="G2056">
        <v>0</v>
      </c>
      <c r="H2056">
        <f>(ORDERS[[#This Row],[UnitsOrdered]]*ORDERS[[#This Row],[unit price]])-(ORDERS[[#This Row],[UnitsOrdered]]*ORDERS[[#This Row],[unit price]]*ORDERS[[#This Row],[Discount]])</f>
        <v>4290</v>
      </c>
      <c r="I2056" t="str">
        <f>VLOOKUP(ORDERS[[#This Row],[CustomerID]],customers[],2,FALSE)</f>
        <v>Rags to Riches</v>
      </c>
      <c r="J2056" s="2" t="str">
        <f>VLOOKUP(ORDERS[[#This Row],[CustomerID]],customers[],4,FALSE)</f>
        <v>Las Vegas</v>
      </c>
      <c r="K2056" s="2" t="str">
        <f>VLOOKUP(ORDERS[[#This Row],[ProductID]],Products[],3,FALSE)</f>
        <v>Both</v>
      </c>
      <c r="L2056" s="2">
        <f>DAY(ORDERS[[#This Row],[OrderDate]])</f>
        <v>9</v>
      </c>
      <c r="M2056" s="2">
        <f>YEAR(ORDERS[[#This Row],[OrderDate]])</f>
        <v>2016</v>
      </c>
    </row>
    <row r="2057" spans="1:13" x14ac:dyDescent="0.3">
      <c r="A2057">
        <v>2056</v>
      </c>
      <c r="B2057">
        <v>1</v>
      </c>
      <c r="C2057">
        <v>5</v>
      </c>
      <c r="D2057" s="1">
        <v>42561</v>
      </c>
      <c r="E2057">
        <v>44</v>
      </c>
      <c r="F2057">
        <f>VLOOKUP(ORDERS[[#This Row],[ProductID]],Products[],4,FALSE)</f>
        <v>16</v>
      </c>
      <c r="G2057">
        <v>0</v>
      </c>
      <c r="H2057">
        <f>(ORDERS[[#This Row],[UnitsOrdered]]*ORDERS[[#This Row],[unit price]])-(ORDERS[[#This Row],[UnitsOrdered]]*ORDERS[[#This Row],[unit price]]*ORDERS[[#This Row],[Discount]])</f>
        <v>704</v>
      </c>
      <c r="I2057" t="str">
        <f>VLOOKUP(ORDERS[[#This Row],[CustomerID]],customers[],2,FALSE)</f>
        <v>Threads</v>
      </c>
      <c r="J2057" s="2" t="str">
        <f>VLOOKUP(ORDERS[[#This Row],[CustomerID]],customers[],4,FALSE)</f>
        <v>Seattle</v>
      </c>
      <c r="K2057" s="2" t="str">
        <f>VLOOKUP(ORDERS[[#This Row],[ProductID]],Products[],3,FALSE)</f>
        <v>Female</v>
      </c>
      <c r="L2057" s="2">
        <f>DAY(ORDERS[[#This Row],[OrderDate]])</f>
        <v>10</v>
      </c>
      <c r="M2057" s="2">
        <f>YEAR(ORDERS[[#This Row],[OrderDate]])</f>
        <v>2016</v>
      </c>
    </row>
    <row r="2058" spans="1:13" x14ac:dyDescent="0.3">
      <c r="A2058">
        <v>2057</v>
      </c>
      <c r="B2058">
        <v>7</v>
      </c>
      <c r="C2058">
        <v>5</v>
      </c>
      <c r="D2058" s="1">
        <v>42561</v>
      </c>
      <c r="E2058">
        <v>70</v>
      </c>
      <c r="F2058">
        <f>VLOOKUP(ORDERS[[#This Row],[ProductID]],Products[],4,FALSE)</f>
        <v>16</v>
      </c>
      <c r="G2058">
        <v>0</v>
      </c>
      <c r="H2058">
        <f>(ORDERS[[#This Row],[UnitsOrdered]]*ORDERS[[#This Row],[unit price]])-(ORDERS[[#This Row],[UnitsOrdered]]*ORDERS[[#This Row],[unit price]]*ORDERS[[#This Row],[Discount]])</f>
        <v>1120</v>
      </c>
      <c r="I2058" t="str">
        <f>VLOOKUP(ORDERS[[#This Row],[CustomerID]],customers[],2,FALSE)</f>
        <v>The Shirt on Your Back</v>
      </c>
      <c r="J2058" s="2" t="str">
        <f>VLOOKUP(ORDERS[[#This Row],[CustomerID]],customers[],4,FALSE)</f>
        <v>Bonners Ferry</v>
      </c>
      <c r="K2058" s="2" t="str">
        <f>VLOOKUP(ORDERS[[#This Row],[ProductID]],Products[],3,FALSE)</f>
        <v>Female</v>
      </c>
      <c r="L2058" s="2">
        <f>DAY(ORDERS[[#This Row],[OrderDate]])</f>
        <v>10</v>
      </c>
      <c r="M2058" s="2">
        <f>YEAR(ORDERS[[#This Row],[OrderDate]])</f>
        <v>2016</v>
      </c>
    </row>
    <row r="2059" spans="1:13" x14ac:dyDescent="0.3">
      <c r="A2059">
        <v>2058</v>
      </c>
      <c r="B2059">
        <v>1</v>
      </c>
      <c r="C2059">
        <v>1</v>
      </c>
      <c r="D2059" s="1">
        <v>42562</v>
      </c>
      <c r="E2059">
        <v>110</v>
      </c>
      <c r="F2059">
        <f>VLOOKUP(ORDERS[[#This Row],[ProductID]],Products[],4,FALSE)</f>
        <v>20</v>
      </c>
      <c r="G2059">
        <v>0</v>
      </c>
      <c r="H2059">
        <f>(ORDERS[[#This Row],[UnitsOrdered]]*ORDERS[[#This Row],[unit price]])-(ORDERS[[#This Row],[UnitsOrdered]]*ORDERS[[#This Row],[unit price]]*ORDERS[[#This Row],[Discount]])</f>
        <v>2200</v>
      </c>
      <c r="I2059" t="str">
        <f>VLOOKUP(ORDERS[[#This Row],[CustomerID]],customers[],2,FALSE)</f>
        <v>Threads</v>
      </c>
      <c r="J2059" s="2" t="str">
        <f>VLOOKUP(ORDERS[[#This Row],[CustomerID]],customers[],4,FALSE)</f>
        <v>Seattle</v>
      </c>
      <c r="K2059" s="2" t="str">
        <f>VLOOKUP(ORDERS[[#This Row],[ProductID]],Products[],3,FALSE)</f>
        <v>Both</v>
      </c>
      <c r="L2059" s="2">
        <f>DAY(ORDERS[[#This Row],[OrderDate]])</f>
        <v>11</v>
      </c>
      <c r="M2059" s="2">
        <f>YEAR(ORDERS[[#This Row],[OrderDate]])</f>
        <v>2016</v>
      </c>
    </row>
    <row r="2060" spans="1:13" x14ac:dyDescent="0.3">
      <c r="A2060">
        <v>2059</v>
      </c>
      <c r="B2060">
        <v>1</v>
      </c>
      <c r="C2060">
        <v>6</v>
      </c>
      <c r="D2060" s="1">
        <v>42562</v>
      </c>
      <c r="E2060">
        <v>34</v>
      </c>
      <c r="F2060">
        <f>VLOOKUP(ORDERS[[#This Row],[ProductID]],Products[],4,FALSE)</f>
        <v>28</v>
      </c>
      <c r="G2060">
        <v>0</v>
      </c>
      <c r="H2060">
        <f>(ORDERS[[#This Row],[UnitsOrdered]]*ORDERS[[#This Row],[unit price]])-(ORDERS[[#This Row],[UnitsOrdered]]*ORDERS[[#This Row],[unit price]]*ORDERS[[#This Row],[Discount]])</f>
        <v>952</v>
      </c>
      <c r="I2060" t="str">
        <f>VLOOKUP(ORDERS[[#This Row],[CustomerID]],customers[],2,FALSE)</f>
        <v>Threads</v>
      </c>
      <c r="J2060" s="2" t="str">
        <f>VLOOKUP(ORDERS[[#This Row],[CustomerID]],customers[],4,FALSE)</f>
        <v>Seattle</v>
      </c>
      <c r="K2060" s="2" t="str">
        <f>VLOOKUP(ORDERS[[#This Row],[ProductID]],Products[],3,FALSE)</f>
        <v>Female</v>
      </c>
      <c r="L2060" s="2">
        <f>DAY(ORDERS[[#This Row],[OrderDate]])</f>
        <v>11</v>
      </c>
      <c r="M2060" s="2">
        <f>YEAR(ORDERS[[#This Row],[OrderDate]])</f>
        <v>2016</v>
      </c>
    </row>
    <row r="2061" spans="1:13" x14ac:dyDescent="0.3">
      <c r="A2061">
        <v>2060</v>
      </c>
      <c r="B2061">
        <v>1</v>
      </c>
      <c r="C2061">
        <v>9</v>
      </c>
      <c r="D2061" s="1">
        <v>42562</v>
      </c>
      <c r="E2061">
        <v>139</v>
      </c>
      <c r="F2061">
        <f>VLOOKUP(ORDERS[[#This Row],[ProductID]],Products[],4,FALSE)</f>
        <v>25</v>
      </c>
      <c r="G2061">
        <v>0</v>
      </c>
      <c r="H2061">
        <f>(ORDERS[[#This Row],[UnitsOrdered]]*ORDERS[[#This Row],[unit price]])-(ORDERS[[#This Row],[UnitsOrdered]]*ORDERS[[#This Row],[unit price]]*ORDERS[[#This Row],[Discount]])</f>
        <v>3475</v>
      </c>
      <c r="I2061" t="str">
        <f>VLOOKUP(ORDERS[[#This Row],[CustomerID]],customers[],2,FALSE)</f>
        <v>Threads</v>
      </c>
      <c r="J2061" s="2" t="str">
        <f>VLOOKUP(ORDERS[[#This Row],[CustomerID]],customers[],4,FALSE)</f>
        <v>Seattle</v>
      </c>
      <c r="K2061" s="2" t="str">
        <f>VLOOKUP(ORDERS[[#This Row],[ProductID]],Products[],3,FALSE)</f>
        <v>Male</v>
      </c>
      <c r="L2061" s="2">
        <f>DAY(ORDERS[[#This Row],[OrderDate]])</f>
        <v>11</v>
      </c>
      <c r="M2061" s="2">
        <f>YEAR(ORDERS[[#This Row],[OrderDate]])</f>
        <v>2016</v>
      </c>
    </row>
    <row r="2062" spans="1:13" x14ac:dyDescent="0.3">
      <c r="A2062">
        <v>2061</v>
      </c>
      <c r="B2062">
        <v>6</v>
      </c>
      <c r="C2062">
        <v>4</v>
      </c>
      <c r="D2062" s="1">
        <v>42562</v>
      </c>
      <c r="E2062">
        <v>147</v>
      </c>
      <c r="F2062">
        <f>VLOOKUP(ORDERS[[#This Row],[ProductID]],Products[],4,FALSE)</f>
        <v>30</v>
      </c>
      <c r="G2062">
        <v>0</v>
      </c>
      <c r="H2062">
        <f>(ORDERS[[#This Row],[UnitsOrdered]]*ORDERS[[#This Row],[unit price]])-(ORDERS[[#This Row],[UnitsOrdered]]*ORDERS[[#This Row],[unit price]]*ORDERS[[#This Row],[Discount]])</f>
        <v>4410</v>
      </c>
      <c r="I2062" t="str">
        <f>VLOOKUP(ORDERS[[#This Row],[CustomerID]],customers[],2,FALSE)</f>
        <v>Abracadaba Ink</v>
      </c>
      <c r="J2062" s="2" t="str">
        <f>VLOOKUP(ORDERS[[#This Row],[CustomerID]],customers[],4,FALSE)</f>
        <v>Salt Lake City</v>
      </c>
      <c r="K2062" s="2" t="str">
        <f>VLOOKUP(ORDERS[[#This Row],[ProductID]],Products[],3,FALSE)</f>
        <v>Both</v>
      </c>
      <c r="L2062" s="2">
        <f>DAY(ORDERS[[#This Row],[OrderDate]])</f>
        <v>11</v>
      </c>
      <c r="M2062" s="2">
        <f>YEAR(ORDERS[[#This Row],[OrderDate]])</f>
        <v>2016</v>
      </c>
    </row>
    <row r="2063" spans="1:13" x14ac:dyDescent="0.3">
      <c r="A2063">
        <v>2062</v>
      </c>
      <c r="B2063">
        <v>1</v>
      </c>
      <c r="C2063">
        <v>3</v>
      </c>
      <c r="D2063" s="1">
        <v>42563</v>
      </c>
      <c r="E2063">
        <v>113</v>
      </c>
      <c r="F2063">
        <f>VLOOKUP(ORDERS[[#This Row],[ProductID]],Products[],4,FALSE)</f>
        <v>22</v>
      </c>
      <c r="G2063">
        <v>0.10000000100000001</v>
      </c>
      <c r="H2063">
        <f>(ORDERS[[#This Row],[UnitsOrdered]]*ORDERS[[#This Row],[unit price]])-(ORDERS[[#This Row],[UnitsOrdered]]*ORDERS[[#This Row],[unit price]]*ORDERS[[#This Row],[Discount]])</f>
        <v>2237.399997514</v>
      </c>
      <c r="I2063" t="str">
        <f>VLOOKUP(ORDERS[[#This Row],[CustomerID]],customers[],2,FALSE)</f>
        <v>Threads</v>
      </c>
      <c r="J2063" s="2" t="str">
        <f>VLOOKUP(ORDERS[[#This Row],[CustomerID]],customers[],4,FALSE)</f>
        <v>Seattle</v>
      </c>
      <c r="K2063" s="2" t="str">
        <f>VLOOKUP(ORDERS[[#This Row],[ProductID]],Products[],3,FALSE)</f>
        <v>Both</v>
      </c>
      <c r="L2063" s="2">
        <f>DAY(ORDERS[[#This Row],[OrderDate]])</f>
        <v>12</v>
      </c>
      <c r="M2063" s="2">
        <f>YEAR(ORDERS[[#This Row],[OrderDate]])</f>
        <v>2016</v>
      </c>
    </row>
    <row r="2064" spans="1:13" x14ac:dyDescent="0.3">
      <c r="A2064">
        <v>2063</v>
      </c>
      <c r="B2064">
        <v>1</v>
      </c>
      <c r="C2064">
        <v>1</v>
      </c>
      <c r="D2064" s="1">
        <v>42566</v>
      </c>
      <c r="E2064">
        <v>96</v>
      </c>
      <c r="F2064">
        <f>VLOOKUP(ORDERS[[#This Row],[ProductID]],Products[],4,FALSE)</f>
        <v>20</v>
      </c>
      <c r="G2064">
        <v>0</v>
      </c>
      <c r="H2064">
        <f>(ORDERS[[#This Row],[UnitsOrdered]]*ORDERS[[#This Row],[unit price]])-(ORDERS[[#This Row],[UnitsOrdered]]*ORDERS[[#This Row],[unit price]]*ORDERS[[#This Row],[Discount]])</f>
        <v>1920</v>
      </c>
      <c r="I2064" t="str">
        <f>VLOOKUP(ORDERS[[#This Row],[CustomerID]],customers[],2,FALSE)</f>
        <v>Threads</v>
      </c>
      <c r="J2064" s="2" t="str">
        <f>VLOOKUP(ORDERS[[#This Row],[CustomerID]],customers[],4,FALSE)</f>
        <v>Seattle</v>
      </c>
      <c r="K2064" s="2" t="str">
        <f>VLOOKUP(ORDERS[[#This Row],[ProductID]],Products[],3,FALSE)</f>
        <v>Both</v>
      </c>
      <c r="L2064" s="2">
        <f>DAY(ORDERS[[#This Row],[OrderDate]])</f>
        <v>15</v>
      </c>
      <c r="M2064" s="2">
        <f>YEAR(ORDERS[[#This Row],[OrderDate]])</f>
        <v>2016</v>
      </c>
    </row>
    <row r="2065" spans="1:13" x14ac:dyDescent="0.3">
      <c r="A2065">
        <v>2064</v>
      </c>
      <c r="B2065">
        <v>4</v>
      </c>
      <c r="C2065">
        <v>10</v>
      </c>
      <c r="D2065" s="1">
        <v>42568</v>
      </c>
      <c r="E2065">
        <v>37</v>
      </c>
      <c r="F2065">
        <f>VLOOKUP(ORDERS[[#This Row],[ProductID]],Products[],4,FALSE)</f>
        <v>35</v>
      </c>
      <c r="G2065">
        <v>0.15000000599999999</v>
      </c>
      <c r="H2065">
        <f>(ORDERS[[#This Row],[UnitsOrdered]]*ORDERS[[#This Row],[unit price]])-(ORDERS[[#This Row],[UnitsOrdered]]*ORDERS[[#This Row],[unit price]]*ORDERS[[#This Row],[Discount]])</f>
        <v>1100.7499922300001</v>
      </c>
      <c r="I2065" t="str">
        <f>VLOOKUP(ORDERS[[#This Row],[CustomerID]],customers[],2,FALSE)</f>
        <v>Tshirt Unlimited</v>
      </c>
      <c r="J2065" s="2" t="str">
        <f>VLOOKUP(ORDERS[[#This Row],[CustomerID]],customers[],4,FALSE)</f>
        <v>Phoenix</v>
      </c>
      <c r="K2065" s="2" t="str">
        <f>VLOOKUP(ORDERS[[#This Row],[ProductID]],Products[],3,FALSE)</f>
        <v>Male</v>
      </c>
      <c r="L2065" s="2">
        <f>DAY(ORDERS[[#This Row],[OrderDate]])</f>
        <v>17</v>
      </c>
      <c r="M2065" s="2">
        <f>YEAR(ORDERS[[#This Row],[OrderDate]])</f>
        <v>2016</v>
      </c>
    </row>
    <row r="2066" spans="1:13" x14ac:dyDescent="0.3">
      <c r="A2066">
        <v>2065</v>
      </c>
      <c r="B2066">
        <v>6</v>
      </c>
      <c r="C2066">
        <v>6</v>
      </c>
      <c r="D2066" s="1">
        <v>42572</v>
      </c>
      <c r="E2066">
        <v>113</v>
      </c>
      <c r="F2066">
        <f>VLOOKUP(ORDERS[[#This Row],[ProductID]],Products[],4,FALSE)</f>
        <v>28</v>
      </c>
      <c r="G2066">
        <v>0</v>
      </c>
      <c r="H2066">
        <f>(ORDERS[[#This Row],[UnitsOrdered]]*ORDERS[[#This Row],[unit price]])-(ORDERS[[#This Row],[UnitsOrdered]]*ORDERS[[#This Row],[unit price]]*ORDERS[[#This Row],[Discount]])</f>
        <v>3164</v>
      </c>
      <c r="I2066" t="str">
        <f>VLOOKUP(ORDERS[[#This Row],[CustomerID]],customers[],2,FALSE)</f>
        <v>Abracadaba Ink</v>
      </c>
      <c r="J2066" s="2" t="str">
        <f>VLOOKUP(ORDERS[[#This Row],[CustomerID]],customers[],4,FALSE)</f>
        <v>Salt Lake City</v>
      </c>
      <c r="K2066" s="2" t="str">
        <f>VLOOKUP(ORDERS[[#This Row],[ProductID]],Products[],3,FALSE)</f>
        <v>Female</v>
      </c>
      <c r="L2066" s="2">
        <f>DAY(ORDERS[[#This Row],[OrderDate]])</f>
        <v>21</v>
      </c>
      <c r="M2066" s="2">
        <f>YEAR(ORDERS[[#This Row],[OrderDate]])</f>
        <v>2016</v>
      </c>
    </row>
    <row r="2067" spans="1:13" x14ac:dyDescent="0.3">
      <c r="A2067">
        <v>2066</v>
      </c>
      <c r="B2067">
        <v>5</v>
      </c>
      <c r="C2067">
        <v>5</v>
      </c>
      <c r="D2067" s="1">
        <v>42573</v>
      </c>
      <c r="E2067">
        <v>128</v>
      </c>
      <c r="F2067">
        <f>VLOOKUP(ORDERS[[#This Row],[ProductID]],Products[],4,FALSE)</f>
        <v>16</v>
      </c>
      <c r="G2067">
        <v>5.0000001000000002E-2</v>
      </c>
      <c r="H2067">
        <f>(ORDERS[[#This Row],[UnitsOrdered]]*ORDERS[[#This Row],[unit price]])-(ORDERS[[#This Row],[UnitsOrdered]]*ORDERS[[#This Row],[unit price]]*ORDERS[[#This Row],[Discount]])</f>
        <v>1945.599997952</v>
      </c>
      <c r="I2067" t="str">
        <f>VLOOKUP(ORDERS[[#This Row],[CustomerID]],customers[],2,FALSE)</f>
        <v>Rags to Riches</v>
      </c>
      <c r="J2067" s="2" t="str">
        <f>VLOOKUP(ORDERS[[#This Row],[CustomerID]],customers[],4,FALSE)</f>
        <v>Las Vegas</v>
      </c>
      <c r="K2067" s="2" t="str">
        <f>VLOOKUP(ORDERS[[#This Row],[ProductID]],Products[],3,FALSE)</f>
        <v>Female</v>
      </c>
      <c r="L2067" s="2">
        <f>DAY(ORDERS[[#This Row],[OrderDate]])</f>
        <v>22</v>
      </c>
      <c r="M2067" s="2">
        <f>YEAR(ORDERS[[#This Row],[OrderDate]])</f>
        <v>2016</v>
      </c>
    </row>
    <row r="2068" spans="1:13" x14ac:dyDescent="0.3">
      <c r="A2068">
        <v>2067</v>
      </c>
      <c r="B2068">
        <v>1</v>
      </c>
      <c r="C2068">
        <v>5</v>
      </c>
      <c r="D2068" s="1">
        <v>42574</v>
      </c>
      <c r="E2068">
        <v>133</v>
      </c>
      <c r="F2068">
        <f>VLOOKUP(ORDERS[[#This Row],[ProductID]],Products[],4,FALSE)</f>
        <v>16</v>
      </c>
      <c r="G2068">
        <v>0</v>
      </c>
      <c r="H2068">
        <f>(ORDERS[[#This Row],[UnitsOrdered]]*ORDERS[[#This Row],[unit price]])-(ORDERS[[#This Row],[UnitsOrdered]]*ORDERS[[#This Row],[unit price]]*ORDERS[[#This Row],[Discount]])</f>
        <v>2128</v>
      </c>
      <c r="I2068" t="str">
        <f>VLOOKUP(ORDERS[[#This Row],[CustomerID]],customers[],2,FALSE)</f>
        <v>Threads</v>
      </c>
      <c r="J2068" s="2" t="str">
        <f>VLOOKUP(ORDERS[[#This Row],[CustomerID]],customers[],4,FALSE)</f>
        <v>Seattle</v>
      </c>
      <c r="K2068" s="2" t="str">
        <f>VLOOKUP(ORDERS[[#This Row],[ProductID]],Products[],3,FALSE)</f>
        <v>Female</v>
      </c>
      <c r="L2068" s="2">
        <f>DAY(ORDERS[[#This Row],[OrderDate]])</f>
        <v>23</v>
      </c>
      <c r="M2068" s="2">
        <f>YEAR(ORDERS[[#This Row],[OrderDate]])</f>
        <v>2016</v>
      </c>
    </row>
    <row r="2069" spans="1:13" x14ac:dyDescent="0.3">
      <c r="A2069">
        <v>2068</v>
      </c>
      <c r="B2069">
        <v>2</v>
      </c>
      <c r="C2069">
        <v>5</v>
      </c>
      <c r="D2069" s="1">
        <v>42574</v>
      </c>
      <c r="E2069">
        <v>63</v>
      </c>
      <c r="F2069">
        <f>VLOOKUP(ORDERS[[#This Row],[ProductID]],Products[],4,FALSE)</f>
        <v>16</v>
      </c>
      <c r="G2069">
        <v>0</v>
      </c>
      <c r="H2069">
        <f>(ORDERS[[#This Row],[UnitsOrdered]]*ORDERS[[#This Row],[unit price]])-(ORDERS[[#This Row],[UnitsOrdered]]*ORDERS[[#This Row],[unit price]]*ORDERS[[#This Row],[Discount]])</f>
        <v>1008</v>
      </c>
      <c r="I2069" t="str">
        <f>VLOOKUP(ORDERS[[#This Row],[CustomerID]],customers[],2,FALSE)</f>
        <v>A Shirts Life</v>
      </c>
      <c r="J2069" s="2" t="str">
        <f>VLOOKUP(ORDERS[[#This Row],[CustomerID]],customers[],4,FALSE)</f>
        <v>Portland</v>
      </c>
      <c r="K2069" s="2" t="str">
        <f>VLOOKUP(ORDERS[[#This Row],[ProductID]],Products[],3,FALSE)</f>
        <v>Female</v>
      </c>
      <c r="L2069" s="2">
        <f>DAY(ORDERS[[#This Row],[OrderDate]])</f>
        <v>23</v>
      </c>
      <c r="M2069" s="2">
        <f>YEAR(ORDERS[[#This Row],[OrderDate]])</f>
        <v>2016</v>
      </c>
    </row>
    <row r="2070" spans="1:13" x14ac:dyDescent="0.3">
      <c r="A2070">
        <v>2069</v>
      </c>
      <c r="B2070">
        <v>4</v>
      </c>
      <c r="C2070">
        <v>3</v>
      </c>
      <c r="D2070" s="1">
        <v>42574</v>
      </c>
      <c r="E2070">
        <v>93</v>
      </c>
      <c r="F2070">
        <f>VLOOKUP(ORDERS[[#This Row],[ProductID]],Products[],4,FALSE)</f>
        <v>22</v>
      </c>
      <c r="G2070">
        <v>0</v>
      </c>
      <c r="H2070">
        <f>(ORDERS[[#This Row],[UnitsOrdered]]*ORDERS[[#This Row],[unit price]])-(ORDERS[[#This Row],[UnitsOrdered]]*ORDERS[[#This Row],[unit price]]*ORDERS[[#This Row],[Discount]])</f>
        <v>2046</v>
      </c>
      <c r="I2070" t="str">
        <f>VLOOKUP(ORDERS[[#This Row],[CustomerID]],customers[],2,FALSE)</f>
        <v>Tshirt Unlimited</v>
      </c>
      <c r="J2070" s="2" t="str">
        <f>VLOOKUP(ORDERS[[#This Row],[CustomerID]],customers[],4,FALSE)</f>
        <v>Phoenix</v>
      </c>
      <c r="K2070" s="2" t="str">
        <f>VLOOKUP(ORDERS[[#This Row],[ProductID]],Products[],3,FALSE)</f>
        <v>Both</v>
      </c>
      <c r="L2070" s="2">
        <f>DAY(ORDERS[[#This Row],[OrderDate]])</f>
        <v>23</v>
      </c>
      <c r="M2070" s="2">
        <f>YEAR(ORDERS[[#This Row],[OrderDate]])</f>
        <v>2016</v>
      </c>
    </row>
    <row r="2071" spans="1:13" x14ac:dyDescent="0.3">
      <c r="A2071">
        <v>2070</v>
      </c>
      <c r="B2071">
        <v>3</v>
      </c>
      <c r="C2071">
        <v>7</v>
      </c>
      <c r="D2071" s="1">
        <v>42576</v>
      </c>
      <c r="E2071">
        <v>116</v>
      </c>
      <c r="F2071">
        <f>VLOOKUP(ORDERS[[#This Row],[ProductID]],Products[],4,FALSE)</f>
        <v>38</v>
      </c>
      <c r="G2071">
        <v>0</v>
      </c>
      <c r="H2071">
        <f>(ORDERS[[#This Row],[UnitsOrdered]]*ORDERS[[#This Row],[unit price]])-(ORDERS[[#This Row],[UnitsOrdered]]*ORDERS[[#This Row],[unit price]]*ORDERS[[#This Row],[Discount]])</f>
        <v>4408</v>
      </c>
      <c r="I2071" t="str">
        <f>VLOOKUP(ORDERS[[#This Row],[CustomerID]],customers[],2,FALSE)</f>
        <v>Shirts R Us</v>
      </c>
      <c r="J2071" s="2" t="str">
        <f>VLOOKUP(ORDERS[[#This Row],[CustomerID]],customers[],4,FALSE)</f>
        <v>Los Angeles</v>
      </c>
      <c r="K2071" s="2" t="str">
        <f>VLOOKUP(ORDERS[[#This Row],[ProductID]],Products[],3,FALSE)</f>
        <v>Female</v>
      </c>
      <c r="L2071" s="2">
        <f>DAY(ORDERS[[#This Row],[OrderDate]])</f>
        <v>25</v>
      </c>
      <c r="M2071" s="2">
        <f>YEAR(ORDERS[[#This Row],[OrderDate]])</f>
        <v>2016</v>
      </c>
    </row>
    <row r="2072" spans="1:13" x14ac:dyDescent="0.3">
      <c r="A2072">
        <v>2071</v>
      </c>
      <c r="B2072">
        <v>7</v>
      </c>
      <c r="C2072">
        <v>4</v>
      </c>
      <c r="D2072" s="1">
        <v>42576</v>
      </c>
      <c r="E2072">
        <v>34</v>
      </c>
      <c r="F2072">
        <f>VLOOKUP(ORDERS[[#This Row],[ProductID]],Products[],4,FALSE)</f>
        <v>30</v>
      </c>
      <c r="G2072">
        <v>0</v>
      </c>
      <c r="H2072">
        <f>(ORDERS[[#This Row],[UnitsOrdered]]*ORDERS[[#This Row],[unit price]])-(ORDERS[[#This Row],[UnitsOrdered]]*ORDERS[[#This Row],[unit price]]*ORDERS[[#This Row],[Discount]])</f>
        <v>1020</v>
      </c>
      <c r="I2072" t="str">
        <f>VLOOKUP(ORDERS[[#This Row],[CustomerID]],customers[],2,FALSE)</f>
        <v>The Shirt on Your Back</v>
      </c>
      <c r="J2072" s="2" t="str">
        <f>VLOOKUP(ORDERS[[#This Row],[CustomerID]],customers[],4,FALSE)</f>
        <v>Bonners Ferry</v>
      </c>
      <c r="K2072" s="2" t="str">
        <f>VLOOKUP(ORDERS[[#This Row],[ProductID]],Products[],3,FALSE)</f>
        <v>Both</v>
      </c>
      <c r="L2072" s="2">
        <f>DAY(ORDERS[[#This Row],[OrderDate]])</f>
        <v>25</v>
      </c>
      <c r="M2072" s="2">
        <f>YEAR(ORDERS[[#This Row],[OrderDate]])</f>
        <v>2016</v>
      </c>
    </row>
    <row r="2073" spans="1:13" x14ac:dyDescent="0.3">
      <c r="A2073">
        <v>2072</v>
      </c>
      <c r="B2073">
        <v>4</v>
      </c>
      <c r="C2073">
        <v>1</v>
      </c>
      <c r="D2073" s="1">
        <v>42577</v>
      </c>
      <c r="E2073">
        <v>102</v>
      </c>
      <c r="F2073">
        <f>VLOOKUP(ORDERS[[#This Row],[ProductID]],Products[],4,FALSE)</f>
        <v>20</v>
      </c>
      <c r="G2073">
        <v>0</v>
      </c>
      <c r="H2073">
        <f>(ORDERS[[#This Row],[UnitsOrdered]]*ORDERS[[#This Row],[unit price]])-(ORDERS[[#This Row],[UnitsOrdered]]*ORDERS[[#This Row],[unit price]]*ORDERS[[#This Row],[Discount]])</f>
        <v>2040</v>
      </c>
      <c r="I2073" t="str">
        <f>VLOOKUP(ORDERS[[#This Row],[CustomerID]],customers[],2,FALSE)</f>
        <v>Tshirt Unlimited</v>
      </c>
      <c r="J2073" s="2" t="str">
        <f>VLOOKUP(ORDERS[[#This Row],[CustomerID]],customers[],4,FALSE)</f>
        <v>Phoenix</v>
      </c>
      <c r="K2073" s="2" t="str">
        <f>VLOOKUP(ORDERS[[#This Row],[ProductID]],Products[],3,FALSE)</f>
        <v>Both</v>
      </c>
      <c r="L2073" s="2">
        <f>DAY(ORDERS[[#This Row],[OrderDate]])</f>
        <v>26</v>
      </c>
      <c r="M2073" s="2">
        <f>YEAR(ORDERS[[#This Row],[OrderDate]])</f>
        <v>2016</v>
      </c>
    </row>
    <row r="2074" spans="1:13" x14ac:dyDescent="0.3">
      <c r="A2074">
        <v>2073</v>
      </c>
      <c r="B2074">
        <v>7</v>
      </c>
      <c r="C2074">
        <v>2</v>
      </c>
      <c r="D2074" s="1">
        <v>42577</v>
      </c>
      <c r="E2074">
        <v>76</v>
      </c>
      <c r="F2074">
        <f>VLOOKUP(ORDERS[[#This Row],[ProductID]],Products[],4,FALSE)</f>
        <v>30</v>
      </c>
      <c r="G2074">
        <v>0.10000000100000001</v>
      </c>
      <c r="H2074">
        <f>(ORDERS[[#This Row],[UnitsOrdered]]*ORDERS[[#This Row],[unit price]])-(ORDERS[[#This Row],[UnitsOrdered]]*ORDERS[[#This Row],[unit price]]*ORDERS[[#This Row],[Discount]])</f>
        <v>2051.99999772</v>
      </c>
      <c r="I2074" t="str">
        <f>VLOOKUP(ORDERS[[#This Row],[CustomerID]],customers[],2,FALSE)</f>
        <v>The Shirt on Your Back</v>
      </c>
      <c r="J2074" s="2" t="str">
        <f>VLOOKUP(ORDERS[[#This Row],[CustomerID]],customers[],4,FALSE)</f>
        <v>Bonners Ferry</v>
      </c>
      <c r="K2074" s="2" t="str">
        <f>VLOOKUP(ORDERS[[#This Row],[ProductID]],Products[],3,FALSE)</f>
        <v>Both</v>
      </c>
      <c r="L2074" s="2">
        <f>DAY(ORDERS[[#This Row],[OrderDate]])</f>
        <v>26</v>
      </c>
      <c r="M2074" s="2">
        <f>YEAR(ORDERS[[#This Row],[OrderDate]])</f>
        <v>2016</v>
      </c>
    </row>
    <row r="2075" spans="1:13" x14ac:dyDescent="0.3">
      <c r="A2075">
        <v>2074</v>
      </c>
      <c r="B2075">
        <v>3</v>
      </c>
      <c r="C2075">
        <v>1</v>
      </c>
      <c r="D2075" s="1">
        <v>42580</v>
      </c>
      <c r="E2075">
        <v>133</v>
      </c>
      <c r="F2075">
        <f>VLOOKUP(ORDERS[[#This Row],[ProductID]],Products[],4,FALSE)</f>
        <v>20</v>
      </c>
      <c r="G2075">
        <v>0.10000000100000001</v>
      </c>
      <c r="H2075">
        <f>(ORDERS[[#This Row],[UnitsOrdered]]*ORDERS[[#This Row],[unit price]])-(ORDERS[[#This Row],[UnitsOrdered]]*ORDERS[[#This Row],[unit price]]*ORDERS[[#This Row],[Discount]])</f>
        <v>2393.9999973399999</v>
      </c>
      <c r="I2075" t="str">
        <f>VLOOKUP(ORDERS[[#This Row],[CustomerID]],customers[],2,FALSE)</f>
        <v>Shirts R Us</v>
      </c>
      <c r="J2075" s="2" t="str">
        <f>VLOOKUP(ORDERS[[#This Row],[CustomerID]],customers[],4,FALSE)</f>
        <v>Los Angeles</v>
      </c>
      <c r="K2075" s="2" t="str">
        <f>VLOOKUP(ORDERS[[#This Row],[ProductID]],Products[],3,FALSE)</f>
        <v>Both</v>
      </c>
      <c r="L2075" s="2">
        <f>DAY(ORDERS[[#This Row],[OrderDate]])</f>
        <v>29</v>
      </c>
      <c r="M2075" s="2">
        <f>YEAR(ORDERS[[#This Row],[OrderDate]])</f>
        <v>2016</v>
      </c>
    </row>
    <row r="2076" spans="1:13" x14ac:dyDescent="0.3">
      <c r="A2076">
        <v>2075</v>
      </c>
      <c r="B2076">
        <v>3</v>
      </c>
      <c r="C2076">
        <v>7</v>
      </c>
      <c r="D2076" s="1">
        <v>42580</v>
      </c>
      <c r="E2076">
        <v>114</v>
      </c>
      <c r="F2076">
        <f>VLOOKUP(ORDERS[[#This Row],[ProductID]],Products[],4,FALSE)</f>
        <v>38</v>
      </c>
      <c r="G2076">
        <v>0</v>
      </c>
      <c r="H2076">
        <f>(ORDERS[[#This Row],[UnitsOrdered]]*ORDERS[[#This Row],[unit price]])-(ORDERS[[#This Row],[UnitsOrdered]]*ORDERS[[#This Row],[unit price]]*ORDERS[[#This Row],[Discount]])</f>
        <v>4332</v>
      </c>
      <c r="I2076" t="str">
        <f>VLOOKUP(ORDERS[[#This Row],[CustomerID]],customers[],2,FALSE)</f>
        <v>Shirts R Us</v>
      </c>
      <c r="J2076" s="2" t="str">
        <f>VLOOKUP(ORDERS[[#This Row],[CustomerID]],customers[],4,FALSE)</f>
        <v>Los Angeles</v>
      </c>
      <c r="K2076" s="2" t="str">
        <f>VLOOKUP(ORDERS[[#This Row],[ProductID]],Products[],3,FALSE)</f>
        <v>Female</v>
      </c>
      <c r="L2076" s="2">
        <f>DAY(ORDERS[[#This Row],[OrderDate]])</f>
        <v>29</v>
      </c>
      <c r="M2076" s="2">
        <f>YEAR(ORDERS[[#This Row],[OrderDate]])</f>
        <v>2016</v>
      </c>
    </row>
    <row r="2077" spans="1:13" x14ac:dyDescent="0.3">
      <c r="A2077">
        <v>2076</v>
      </c>
      <c r="B2077">
        <v>2</v>
      </c>
      <c r="C2077">
        <v>1</v>
      </c>
      <c r="D2077" s="1">
        <v>42581</v>
      </c>
      <c r="E2077">
        <v>121</v>
      </c>
      <c r="F2077">
        <f>VLOOKUP(ORDERS[[#This Row],[ProductID]],Products[],4,FALSE)</f>
        <v>20</v>
      </c>
      <c r="G2077">
        <v>5.0000001000000002E-2</v>
      </c>
      <c r="H2077">
        <f>(ORDERS[[#This Row],[UnitsOrdered]]*ORDERS[[#This Row],[unit price]])-(ORDERS[[#This Row],[UnitsOrdered]]*ORDERS[[#This Row],[unit price]]*ORDERS[[#This Row],[Discount]])</f>
        <v>2298.9999975800001</v>
      </c>
      <c r="I2077" t="str">
        <f>VLOOKUP(ORDERS[[#This Row],[CustomerID]],customers[],2,FALSE)</f>
        <v>A Shirts Life</v>
      </c>
      <c r="J2077" s="2" t="str">
        <f>VLOOKUP(ORDERS[[#This Row],[CustomerID]],customers[],4,FALSE)</f>
        <v>Portland</v>
      </c>
      <c r="K2077" s="2" t="str">
        <f>VLOOKUP(ORDERS[[#This Row],[ProductID]],Products[],3,FALSE)</f>
        <v>Both</v>
      </c>
      <c r="L2077" s="2">
        <f>DAY(ORDERS[[#This Row],[OrderDate]])</f>
        <v>30</v>
      </c>
      <c r="M2077" s="2">
        <f>YEAR(ORDERS[[#This Row],[OrderDate]])</f>
        <v>2016</v>
      </c>
    </row>
    <row r="2078" spans="1:13" x14ac:dyDescent="0.3">
      <c r="A2078">
        <v>2077</v>
      </c>
      <c r="B2078">
        <v>7</v>
      </c>
      <c r="C2078">
        <v>5</v>
      </c>
      <c r="D2078" s="1">
        <v>42582</v>
      </c>
      <c r="E2078">
        <v>75</v>
      </c>
      <c r="F2078">
        <f>VLOOKUP(ORDERS[[#This Row],[ProductID]],Products[],4,FALSE)</f>
        <v>16</v>
      </c>
      <c r="G2078">
        <v>0</v>
      </c>
      <c r="H2078">
        <f>(ORDERS[[#This Row],[UnitsOrdered]]*ORDERS[[#This Row],[unit price]])-(ORDERS[[#This Row],[UnitsOrdered]]*ORDERS[[#This Row],[unit price]]*ORDERS[[#This Row],[Discount]])</f>
        <v>1200</v>
      </c>
      <c r="I2078" t="str">
        <f>VLOOKUP(ORDERS[[#This Row],[CustomerID]],customers[],2,FALSE)</f>
        <v>The Shirt on Your Back</v>
      </c>
      <c r="J2078" s="2" t="str">
        <f>VLOOKUP(ORDERS[[#This Row],[CustomerID]],customers[],4,FALSE)</f>
        <v>Bonners Ferry</v>
      </c>
      <c r="K2078" s="2" t="str">
        <f>VLOOKUP(ORDERS[[#This Row],[ProductID]],Products[],3,FALSE)</f>
        <v>Female</v>
      </c>
      <c r="L2078" s="2">
        <f>DAY(ORDERS[[#This Row],[OrderDate]])</f>
        <v>31</v>
      </c>
      <c r="M2078" s="2">
        <f>YEAR(ORDERS[[#This Row],[OrderDate]])</f>
        <v>2016</v>
      </c>
    </row>
    <row r="2079" spans="1:13" x14ac:dyDescent="0.3">
      <c r="A2079">
        <v>2078</v>
      </c>
      <c r="B2079">
        <v>3</v>
      </c>
      <c r="C2079">
        <v>2</v>
      </c>
      <c r="D2079" s="1">
        <v>42583</v>
      </c>
      <c r="E2079">
        <v>139</v>
      </c>
      <c r="F2079">
        <f>VLOOKUP(ORDERS[[#This Row],[ProductID]],Products[],4,FALSE)</f>
        <v>30</v>
      </c>
      <c r="G2079">
        <v>0</v>
      </c>
      <c r="H2079">
        <f>(ORDERS[[#This Row],[UnitsOrdered]]*ORDERS[[#This Row],[unit price]])-(ORDERS[[#This Row],[UnitsOrdered]]*ORDERS[[#This Row],[unit price]]*ORDERS[[#This Row],[Discount]])</f>
        <v>4170</v>
      </c>
      <c r="I2079" t="str">
        <f>VLOOKUP(ORDERS[[#This Row],[CustomerID]],customers[],2,FALSE)</f>
        <v>Shirts R Us</v>
      </c>
      <c r="J2079" s="2" t="str">
        <f>VLOOKUP(ORDERS[[#This Row],[CustomerID]],customers[],4,FALSE)</f>
        <v>Los Angeles</v>
      </c>
      <c r="K2079" s="2" t="str">
        <f>VLOOKUP(ORDERS[[#This Row],[ProductID]],Products[],3,FALSE)</f>
        <v>Both</v>
      </c>
      <c r="L2079" s="2">
        <f>DAY(ORDERS[[#This Row],[OrderDate]])</f>
        <v>1</v>
      </c>
      <c r="M2079" s="2">
        <f>YEAR(ORDERS[[#This Row],[OrderDate]])</f>
        <v>2016</v>
      </c>
    </row>
    <row r="2080" spans="1:13" x14ac:dyDescent="0.3">
      <c r="A2080">
        <v>2079</v>
      </c>
      <c r="B2080">
        <v>4</v>
      </c>
      <c r="C2080">
        <v>6</v>
      </c>
      <c r="D2080" s="1">
        <v>42583</v>
      </c>
      <c r="E2080">
        <v>71</v>
      </c>
      <c r="F2080">
        <f>VLOOKUP(ORDERS[[#This Row],[ProductID]],Products[],4,FALSE)</f>
        <v>28</v>
      </c>
      <c r="G2080">
        <v>0</v>
      </c>
      <c r="H2080">
        <f>(ORDERS[[#This Row],[UnitsOrdered]]*ORDERS[[#This Row],[unit price]])-(ORDERS[[#This Row],[UnitsOrdered]]*ORDERS[[#This Row],[unit price]]*ORDERS[[#This Row],[Discount]])</f>
        <v>1988</v>
      </c>
      <c r="I2080" t="str">
        <f>VLOOKUP(ORDERS[[#This Row],[CustomerID]],customers[],2,FALSE)</f>
        <v>Tshirt Unlimited</v>
      </c>
      <c r="J2080" s="2" t="str">
        <f>VLOOKUP(ORDERS[[#This Row],[CustomerID]],customers[],4,FALSE)</f>
        <v>Phoenix</v>
      </c>
      <c r="K2080" s="2" t="str">
        <f>VLOOKUP(ORDERS[[#This Row],[ProductID]],Products[],3,FALSE)</f>
        <v>Female</v>
      </c>
      <c r="L2080" s="2">
        <f>DAY(ORDERS[[#This Row],[OrderDate]])</f>
        <v>1</v>
      </c>
      <c r="M2080" s="2">
        <f>YEAR(ORDERS[[#This Row],[OrderDate]])</f>
        <v>2016</v>
      </c>
    </row>
    <row r="2081" spans="1:13" x14ac:dyDescent="0.3">
      <c r="A2081">
        <v>2080</v>
      </c>
      <c r="B2081">
        <v>2</v>
      </c>
      <c r="C2081">
        <v>2</v>
      </c>
      <c r="D2081" s="1">
        <v>42584</v>
      </c>
      <c r="E2081">
        <v>90</v>
      </c>
      <c r="F2081">
        <f>VLOOKUP(ORDERS[[#This Row],[ProductID]],Products[],4,FALSE)</f>
        <v>30</v>
      </c>
      <c r="G2081">
        <v>5.0000001000000002E-2</v>
      </c>
      <c r="H2081">
        <f>(ORDERS[[#This Row],[UnitsOrdered]]*ORDERS[[#This Row],[unit price]])-(ORDERS[[#This Row],[UnitsOrdered]]*ORDERS[[#This Row],[unit price]]*ORDERS[[#This Row],[Discount]])</f>
        <v>2564.9999972999999</v>
      </c>
      <c r="I2081" t="str">
        <f>VLOOKUP(ORDERS[[#This Row],[CustomerID]],customers[],2,FALSE)</f>
        <v>A Shirts Life</v>
      </c>
      <c r="J2081" s="2" t="str">
        <f>VLOOKUP(ORDERS[[#This Row],[CustomerID]],customers[],4,FALSE)</f>
        <v>Portland</v>
      </c>
      <c r="K2081" s="2" t="str">
        <f>VLOOKUP(ORDERS[[#This Row],[ProductID]],Products[],3,FALSE)</f>
        <v>Both</v>
      </c>
      <c r="L2081" s="2">
        <f>DAY(ORDERS[[#This Row],[OrderDate]])</f>
        <v>2</v>
      </c>
      <c r="M2081" s="2">
        <f>YEAR(ORDERS[[#This Row],[OrderDate]])</f>
        <v>2016</v>
      </c>
    </row>
    <row r="2082" spans="1:13" x14ac:dyDescent="0.3">
      <c r="A2082">
        <v>2081</v>
      </c>
      <c r="B2082">
        <v>3</v>
      </c>
      <c r="C2082">
        <v>10</v>
      </c>
      <c r="D2082" s="1">
        <v>42584</v>
      </c>
      <c r="E2082">
        <v>68</v>
      </c>
      <c r="F2082">
        <f>VLOOKUP(ORDERS[[#This Row],[ProductID]],Products[],4,FALSE)</f>
        <v>35</v>
      </c>
      <c r="G2082">
        <v>5.0000001000000002E-2</v>
      </c>
      <c r="H2082">
        <f>(ORDERS[[#This Row],[UnitsOrdered]]*ORDERS[[#This Row],[unit price]])-(ORDERS[[#This Row],[UnitsOrdered]]*ORDERS[[#This Row],[unit price]]*ORDERS[[#This Row],[Discount]])</f>
        <v>2260.9999976200002</v>
      </c>
      <c r="I2082" t="str">
        <f>VLOOKUP(ORDERS[[#This Row],[CustomerID]],customers[],2,FALSE)</f>
        <v>Shirts R Us</v>
      </c>
      <c r="J2082" s="2" t="str">
        <f>VLOOKUP(ORDERS[[#This Row],[CustomerID]],customers[],4,FALSE)</f>
        <v>Los Angeles</v>
      </c>
      <c r="K2082" s="2" t="str">
        <f>VLOOKUP(ORDERS[[#This Row],[ProductID]],Products[],3,FALSE)</f>
        <v>Male</v>
      </c>
      <c r="L2082" s="2">
        <f>DAY(ORDERS[[#This Row],[OrderDate]])</f>
        <v>2</v>
      </c>
      <c r="M2082" s="2">
        <f>YEAR(ORDERS[[#This Row],[OrderDate]])</f>
        <v>2016</v>
      </c>
    </row>
    <row r="2083" spans="1:13" x14ac:dyDescent="0.3">
      <c r="A2083">
        <v>2082</v>
      </c>
      <c r="B2083">
        <v>1</v>
      </c>
      <c r="C2083">
        <v>8</v>
      </c>
      <c r="D2083" s="1">
        <v>42586</v>
      </c>
      <c r="E2083">
        <v>121</v>
      </c>
      <c r="F2083">
        <f>VLOOKUP(ORDERS[[#This Row],[ProductID]],Products[],4,FALSE)</f>
        <v>27</v>
      </c>
      <c r="G2083">
        <v>0</v>
      </c>
      <c r="H2083">
        <f>(ORDERS[[#This Row],[UnitsOrdered]]*ORDERS[[#This Row],[unit price]])-(ORDERS[[#This Row],[UnitsOrdered]]*ORDERS[[#This Row],[unit price]]*ORDERS[[#This Row],[Discount]])</f>
        <v>3267</v>
      </c>
      <c r="I2083" t="str">
        <f>VLOOKUP(ORDERS[[#This Row],[CustomerID]],customers[],2,FALSE)</f>
        <v>Threads</v>
      </c>
      <c r="J2083" s="2" t="str">
        <f>VLOOKUP(ORDERS[[#This Row],[CustomerID]],customers[],4,FALSE)</f>
        <v>Seattle</v>
      </c>
      <c r="K2083" s="2" t="str">
        <f>VLOOKUP(ORDERS[[#This Row],[ProductID]],Products[],3,FALSE)</f>
        <v>Female</v>
      </c>
      <c r="L2083" s="2">
        <f>DAY(ORDERS[[#This Row],[OrderDate]])</f>
        <v>4</v>
      </c>
      <c r="M2083" s="2">
        <f>YEAR(ORDERS[[#This Row],[OrderDate]])</f>
        <v>2016</v>
      </c>
    </row>
    <row r="2084" spans="1:13" x14ac:dyDescent="0.3">
      <c r="A2084">
        <v>2083</v>
      </c>
      <c r="B2084">
        <v>3</v>
      </c>
      <c r="C2084">
        <v>5</v>
      </c>
      <c r="D2084" s="1">
        <v>42586</v>
      </c>
      <c r="E2084">
        <v>54</v>
      </c>
      <c r="F2084">
        <f>VLOOKUP(ORDERS[[#This Row],[ProductID]],Products[],4,FALSE)</f>
        <v>16</v>
      </c>
      <c r="G2084">
        <v>0</v>
      </c>
      <c r="H2084">
        <f>(ORDERS[[#This Row],[UnitsOrdered]]*ORDERS[[#This Row],[unit price]])-(ORDERS[[#This Row],[UnitsOrdered]]*ORDERS[[#This Row],[unit price]]*ORDERS[[#This Row],[Discount]])</f>
        <v>864</v>
      </c>
      <c r="I2084" t="str">
        <f>VLOOKUP(ORDERS[[#This Row],[CustomerID]],customers[],2,FALSE)</f>
        <v>Shirts R Us</v>
      </c>
      <c r="J2084" s="2" t="str">
        <f>VLOOKUP(ORDERS[[#This Row],[CustomerID]],customers[],4,FALSE)</f>
        <v>Los Angeles</v>
      </c>
      <c r="K2084" s="2" t="str">
        <f>VLOOKUP(ORDERS[[#This Row],[ProductID]],Products[],3,FALSE)</f>
        <v>Female</v>
      </c>
      <c r="L2084" s="2">
        <f>DAY(ORDERS[[#This Row],[OrderDate]])</f>
        <v>4</v>
      </c>
      <c r="M2084" s="2">
        <f>YEAR(ORDERS[[#This Row],[OrderDate]])</f>
        <v>2016</v>
      </c>
    </row>
    <row r="2085" spans="1:13" x14ac:dyDescent="0.3">
      <c r="A2085">
        <v>2084</v>
      </c>
      <c r="B2085">
        <v>7</v>
      </c>
      <c r="C2085">
        <v>2</v>
      </c>
      <c r="D2085" s="1">
        <v>42587</v>
      </c>
      <c r="E2085">
        <v>148</v>
      </c>
      <c r="F2085">
        <f>VLOOKUP(ORDERS[[#This Row],[ProductID]],Products[],4,FALSE)</f>
        <v>30</v>
      </c>
      <c r="G2085">
        <v>0</v>
      </c>
      <c r="H2085">
        <f>(ORDERS[[#This Row],[UnitsOrdered]]*ORDERS[[#This Row],[unit price]])-(ORDERS[[#This Row],[UnitsOrdered]]*ORDERS[[#This Row],[unit price]]*ORDERS[[#This Row],[Discount]])</f>
        <v>4440</v>
      </c>
      <c r="I2085" t="str">
        <f>VLOOKUP(ORDERS[[#This Row],[CustomerID]],customers[],2,FALSE)</f>
        <v>The Shirt on Your Back</v>
      </c>
      <c r="J2085" s="2" t="str">
        <f>VLOOKUP(ORDERS[[#This Row],[CustomerID]],customers[],4,FALSE)</f>
        <v>Bonners Ferry</v>
      </c>
      <c r="K2085" s="2" t="str">
        <f>VLOOKUP(ORDERS[[#This Row],[ProductID]],Products[],3,FALSE)</f>
        <v>Both</v>
      </c>
      <c r="L2085" s="2">
        <f>DAY(ORDERS[[#This Row],[OrderDate]])</f>
        <v>5</v>
      </c>
      <c r="M2085" s="2">
        <f>YEAR(ORDERS[[#This Row],[OrderDate]])</f>
        <v>2016</v>
      </c>
    </row>
    <row r="2086" spans="1:13" x14ac:dyDescent="0.3">
      <c r="A2086">
        <v>2085</v>
      </c>
      <c r="B2086">
        <v>2</v>
      </c>
      <c r="C2086">
        <v>10</v>
      </c>
      <c r="D2086" s="1">
        <v>42588</v>
      </c>
      <c r="E2086">
        <v>114</v>
      </c>
      <c r="F2086">
        <f>VLOOKUP(ORDERS[[#This Row],[ProductID]],Products[],4,FALSE)</f>
        <v>35</v>
      </c>
      <c r="G2086">
        <v>0.10000000100000001</v>
      </c>
      <c r="H2086">
        <f>(ORDERS[[#This Row],[UnitsOrdered]]*ORDERS[[#This Row],[unit price]])-(ORDERS[[#This Row],[UnitsOrdered]]*ORDERS[[#This Row],[unit price]]*ORDERS[[#This Row],[Discount]])</f>
        <v>3590.9999960099999</v>
      </c>
      <c r="I2086" t="str">
        <f>VLOOKUP(ORDERS[[#This Row],[CustomerID]],customers[],2,FALSE)</f>
        <v>A Shirts Life</v>
      </c>
      <c r="J2086" s="2" t="str">
        <f>VLOOKUP(ORDERS[[#This Row],[CustomerID]],customers[],4,FALSE)</f>
        <v>Portland</v>
      </c>
      <c r="K2086" s="2" t="str">
        <f>VLOOKUP(ORDERS[[#This Row],[ProductID]],Products[],3,FALSE)</f>
        <v>Male</v>
      </c>
      <c r="L2086" s="2">
        <f>DAY(ORDERS[[#This Row],[OrderDate]])</f>
        <v>6</v>
      </c>
      <c r="M2086" s="2">
        <f>YEAR(ORDERS[[#This Row],[OrderDate]])</f>
        <v>2016</v>
      </c>
    </row>
    <row r="2087" spans="1:13" x14ac:dyDescent="0.3">
      <c r="A2087">
        <v>2086</v>
      </c>
      <c r="B2087">
        <v>7</v>
      </c>
      <c r="C2087">
        <v>10</v>
      </c>
      <c r="D2087" s="1">
        <v>42588</v>
      </c>
      <c r="E2087">
        <v>60</v>
      </c>
      <c r="F2087">
        <f>VLOOKUP(ORDERS[[#This Row],[ProductID]],Products[],4,FALSE)</f>
        <v>35</v>
      </c>
      <c r="G2087">
        <v>0.15000000599999999</v>
      </c>
      <c r="H2087">
        <f>(ORDERS[[#This Row],[UnitsOrdered]]*ORDERS[[#This Row],[unit price]])-(ORDERS[[#This Row],[UnitsOrdered]]*ORDERS[[#This Row],[unit price]]*ORDERS[[#This Row],[Discount]])</f>
        <v>1784.9999874</v>
      </c>
      <c r="I2087" t="str">
        <f>VLOOKUP(ORDERS[[#This Row],[CustomerID]],customers[],2,FALSE)</f>
        <v>The Shirt on Your Back</v>
      </c>
      <c r="J2087" s="2" t="str">
        <f>VLOOKUP(ORDERS[[#This Row],[CustomerID]],customers[],4,FALSE)</f>
        <v>Bonners Ferry</v>
      </c>
      <c r="K2087" s="2" t="str">
        <f>VLOOKUP(ORDERS[[#This Row],[ProductID]],Products[],3,FALSE)</f>
        <v>Male</v>
      </c>
      <c r="L2087" s="2">
        <f>DAY(ORDERS[[#This Row],[OrderDate]])</f>
        <v>6</v>
      </c>
      <c r="M2087" s="2">
        <f>YEAR(ORDERS[[#This Row],[OrderDate]])</f>
        <v>2016</v>
      </c>
    </row>
    <row r="2088" spans="1:13" x14ac:dyDescent="0.3">
      <c r="A2088">
        <v>2087</v>
      </c>
      <c r="B2088">
        <v>1</v>
      </c>
      <c r="C2088">
        <v>2</v>
      </c>
      <c r="D2088" s="1">
        <v>42590</v>
      </c>
      <c r="E2088">
        <v>88</v>
      </c>
      <c r="F2088">
        <f>VLOOKUP(ORDERS[[#This Row],[ProductID]],Products[],4,FALSE)</f>
        <v>30</v>
      </c>
      <c r="G2088">
        <v>0</v>
      </c>
      <c r="H2088">
        <f>(ORDERS[[#This Row],[UnitsOrdered]]*ORDERS[[#This Row],[unit price]])-(ORDERS[[#This Row],[UnitsOrdered]]*ORDERS[[#This Row],[unit price]]*ORDERS[[#This Row],[Discount]])</f>
        <v>2640</v>
      </c>
      <c r="I2088" t="str">
        <f>VLOOKUP(ORDERS[[#This Row],[CustomerID]],customers[],2,FALSE)</f>
        <v>Threads</v>
      </c>
      <c r="J2088" s="2" t="str">
        <f>VLOOKUP(ORDERS[[#This Row],[CustomerID]],customers[],4,FALSE)</f>
        <v>Seattle</v>
      </c>
      <c r="K2088" s="2" t="str">
        <f>VLOOKUP(ORDERS[[#This Row],[ProductID]],Products[],3,FALSE)</f>
        <v>Both</v>
      </c>
      <c r="L2088" s="2">
        <f>DAY(ORDERS[[#This Row],[OrderDate]])</f>
        <v>8</v>
      </c>
      <c r="M2088" s="2">
        <f>YEAR(ORDERS[[#This Row],[OrderDate]])</f>
        <v>2016</v>
      </c>
    </row>
    <row r="2089" spans="1:13" x14ac:dyDescent="0.3">
      <c r="A2089">
        <v>2088</v>
      </c>
      <c r="B2089">
        <v>3</v>
      </c>
      <c r="C2089">
        <v>3</v>
      </c>
      <c r="D2089" s="1">
        <v>42591</v>
      </c>
      <c r="E2089">
        <v>89</v>
      </c>
      <c r="F2089">
        <f>VLOOKUP(ORDERS[[#This Row],[ProductID]],Products[],4,FALSE)</f>
        <v>22</v>
      </c>
      <c r="G2089">
        <v>0</v>
      </c>
      <c r="H2089">
        <f>(ORDERS[[#This Row],[UnitsOrdered]]*ORDERS[[#This Row],[unit price]])-(ORDERS[[#This Row],[UnitsOrdered]]*ORDERS[[#This Row],[unit price]]*ORDERS[[#This Row],[Discount]])</f>
        <v>1958</v>
      </c>
      <c r="I2089" t="str">
        <f>VLOOKUP(ORDERS[[#This Row],[CustomerID]],customers[],2,FALSE)</f>
        <v>Shirts R Us</v>
      </c>
      <c r="J2089" s="2" t="str">
        <f>VLOOKUP(ORDERS[[#This Row],[CustomerID]],customers[],4,FALSE)</f>
        <v>Los Angeles</v>
      </c>
      <c r="K2089" s="2" t="str">
        <f>VLOOKUP(ORDERS[[#This Row],[ProductID]],Products[],3,FALSE)</f>
        <v>Both</v>
      </c>
      <c r="L2089" s="2">
        <f>DAY(ORDERS[[#This Row],[OrderDate]])</f>
        <v>9</v>
      </c>
      <c r="M2089" s="2">
        <f>YEAR(ORDERS[[#This Row],[OrderDate]])</f>
        <v>2016</v>
      </c>
    </row>
    <row r="2090" spans="1:13" x14ac:dyDescent="0.3">
      <c r="A2090">
        <v>2089</v>
      </c>
      <c r="B2090">
        <v>4</v>
      </c>
      <c r="C2090">
        <v>9</v>
      </c>
      <c r="D2090" s="1">
        <v>42591</v>
      </c>
      <c r="E2090">
        <v>72</v>
      </c>
      <c r="F2090">
        <f>VLOOKUP(ORDERS[[#This Row],[ProductID]],Products[],4,FALSE)</f>
        <v>25</v>
      </c>
      <c r="G2090">
        <v>0</v>
      </c>
      <c r="H2090">
        <f>(ORDERS[[#This Row],[UnitsOrdered]]*ORDERS[[#This Row],[unit price]])-(ORDERS[[#This Row],[UnitsOrdered]]*ORDERS[[#This Row],[unit price]]*ORDERS[[#This Row],[Discount]])</f>
        <v>1800</v>
      </c>
      <c r="I2090" t="str">
        <f>VLOOKUP(ORDERS[[#This Row],[CustomerID]],customers[],2,FALSE)</f>
        <v>Tshirt Unlimited</v>
      </c>
      <c r="J2090" s="2" t="str">
        <f>VLOOKUP(ORDERS[[#This Row],[CustomerID]],customers[],4,FALSE)</f>
        <v>Phoenix</v>
      </c>
      <c r="K2090" s="2" t="str">
        <f>VLOOKUP(ORDERS[[#This Row],[ProductID]],Products[],3,FALSE)</f>
        <v>Male</v>
      </c>
      <c r="L2090" s="2">
        <f>DAY(ORDERS[[#This Row],[OrderDate]])</f>
        <v>9</v>
      </c>
      <c r="M2090" s="2">
        <f>YEAR(ORDERS[[#This Row],[OrderDate]])</f>
        <v>2016</v>
      </c>
    </row>
    <row r="2091" spans="1:13" x14ac:dyDescent="0.3">
      <c r="A2091">
        <v>2090</v>
      </c>
      <c r="B2091">
        <v>6</v>
      </c>
      <c r="C2091">
        <v>7</v>
      </c>
      <c r="D2091" s="1">
        <v>42591</v>
      </c>
      <c r="E2091">
        <v>134</v>
      </c>
      <c r="F2091">
        <f>VLOOKUP(ORDERS[[#This Row],[ProductID]],Products[],4,FALSE)</f>
        <v>38</v>
      </c>
      <c r="G2091">
        <v>0</v>
      </c>
      <c r="H2091">
        <f>(ORDERS[[#This Row],[UnitsOrdered]]*ORDERS[[#This Row],[unit price]])-(ORDERS[[#This Row],[UnitsOrdered]]*ORDERS[[#This Row],[unit price]]*ORDERS[[#This Row],[Discount]])</f>
        <v>5092</v>
      </c>
      <c r="I2091" t="str">
        <f>VLOOKUP(ORDERS[[#This Row],[CustomerID]],customers[],2,FALSE)</f>
        <v>Abracadaba Ink</v>
      </c>
      <c r="J2091" s="2" t="str">
        <f>VLOOKUP(ORDERS[[#This Row],[CustomerID]],customers[],4,FALSE)</f>
        <v>Salt Lake City</v>
      </c>
      <c r="K2091" s="2" t="str">
        <f>VLOOKUP(ORDERS[[#This Row],[ProductID]],Products[],3,FALSE)</f>
        <v>Female</v>
      </c>
      <c r="L2091" s="2">
        <f>DAY(ORDERS[[#This Row],[OrderDate]])</f>
        <v>9</v>
      </c>
      <c r="M2091" s="2">
        <f>YEAR(ORDERS[[#This Row],[OrderDate]])</f>
        <v>2016</v>
      </c>
    </row>
    <row r="2092" spans="1:13" x14ac:dyDescent="0.3">
      <c r="A2092">
        <v>2091</v>
      </c>
      <c r="B2092">
        <v>6</v>
      </c>
      <c r="C2092">
        <v>9</v>
      </c>
      <c r="D2092" s="1">
        <v>42591</v>
      </c>
      <c r="E2092">
        <v>135</v>
      </c>
      <c r="F2092">
        <f>VLOOKUP(ORDERS[[#This Row],[ProductID]],Products[],4,FALSE)</f>
        <v>25</v>
      </c>
      <c r="G2092">
        <v>0</v>
      </c>
      <c r="H2092">
        <f>(ORDERS[[#This Row],[UnitsOrdered]]*ORDERS[[#This Row],[unit price]])-(ORDERS[[#This Row],[UnitsOrdered]]*ORDERS[[#This Row],[unit price]]*ORDERS[[#This Row],[Discount]])</f>
        <v>3375</v>
      </c>
      <c r="I2092" t="str">
        <f>VLOOKUP(ORDERS[[#This Row],[CustomerID]],customers[],2,FALSE)</f>
        <v>Abracadaba Ink</v>
      </c>
      <c r="J2092" s="2" t="str">
        <f>VLOOKUP(ORDERS[[#This Row],[CustomerID]],customers[],4,FALSE)</f>
        <v>Salt Lake City</v>
      </c>
      <c r="K2092" s="2" t="str">
        <f>VLOOKUP(ORDERS[[#This Row],[ProductID]],Products[],3,FALSE)</f>
        <v>Male</v>
      </c>
      <c r="L2092" s="2">
        <f>DAY(ORDERS[[#This Row],[OrderDate]])</f>
        <v>9</v>
      </c>
      <c r="M2092" s="2">
        <f>YEAR(ORDERS[[#This Row],[OrderDate]])</f>
        <v>2016</v>
      </c>
    </row>
    <row r="2093" spans="1:13" x14ac:dyDescent="0.3">
      <c r="A2093">
        <v>2092</v>
      </c>
      <c r="B2093">
        <v>1</v>
      </c>
      <c r="C2093">
        <v>6</v>
      </c>
      <c r="D2093" s="1">
        <v>42592</v>
      </c>
      <c r="E2093">
        <v>150</v>
      </c>
      <c r="F2093">
        <f>VLOOKUP(ORDERS[[#This Row],[ProductID]],Products[],4,FALSE)</f>
        <v>28</v>
      </c>
      <c r="G2093">
        <v>0</v>
      </c>
      <c r="H2093">
        <f>(ORDERS[[#This Row],[UnitsOrdered]]*ORDERS[[#This Row],[unit price]])-(ORDERS[[#This Row],[UnitsOrdered]]*ORDERS[[#This Row],[unit price]]*ORDERS[[#This Row],[Discount]])</f>
        <v>4200</v>
      </c>
      <c r="I2093" t="str">
        <f>VLOOKUP(ORDERS[[#This Row],[CustomerID]],customers[],2,FALSE)</f>
        <v>Threads</v>
      </c>
      <c r="J2093" s="2" t="str">
        <f>VLOOKUP(ORDERS[[#This Row],[CustomerID]],customers[],4,FALSE)</f>
        <v>Seattle</v>
      </c>
      <c r="K2093" s="2" t="str">
        <f>VLOOKUP(ORDERS[[#This Row],[ProductID]],Products[],3,FALSE)</f>
        <v>Female</v>
      </c>
      <c r="L2093" s="2">
        <f>DAY(ORDERS[[#This Row],[OrderDate]])</f>
        <v>10</v>
      </c>
      <c r="M2093" s="2">
        <f>YEAR(ORDERS[[#This Row],[OrderDate]])</f>
        <v>2016</v>
      </c>
    </row>
    <row r="2094" spans="1:13" x14ac:dyDescent="0.3">
      <c r="A2094">
        <v>2093</v>
      </c>
      <c r="B2094">
        <v>3</v>
      </c>
      <c r="C2094">
        <v>7</v>
      </c>
      <c r="D2094" s="1">
        <v>42592</v>
      </c>
      <c r="E2094">
        <v>144</v>
      </c>
      <c r="F2094">
        <f>VLOOKUP(ORDERS[[#This Row],[ProductID]],Products[],4,FALSE)</f>
        <v>38</v>
      </c>
      <c r="G2094">
        <v>0</v>
      </c>
      <c r="H2094">
        <f>(ORDERS[[#This Row],[UnitsOrdered]]*ORDERS[[#This Row],[unit price]])-(ORDERS[[#This Row],[UnitsOrdered]]*ORDERS[[#This Row],[unit price]]*ORDERS[[#This Row],[Discount]])</f>
        <v>5472</v>
      </c>
      <c r="I2094" t="str">
        <f>VLOOKUP(ORDERS[[#This Row],[CustomerID]],customers[],2,FALSE)</f>
        <v>Shirts R Us</v>
      </c>
      <c r="J2094" s="2" t="str">
        <f>VLOOKUP(ORDERS[[#This Row],[CustomerID]],customers[],4,FALSE)</f>
        <v>Los Angeles</v>
      </c>
      <c r="K2094" s="2" t="str">
        <f>VLOOKUP(ORDERS[[#This Row],[ProductID]],Products[],3,FALSE)</f>
        <v>Female</v>
      </c>
      <c r="L2094" s="2">
        <f>DAY(ORDERS[[#This Row],[OrderDate]])</f>
        <v>10</v>
      </c>
      <c r="M2094" s="2">
        <f>YEAR(ORDERS[[#This Row],[OrderDate]])</f>
        <v>2016</v>
      </c>
    </row>
    <row r="2095" spans="1:13" x14ac:dyDescent="0.3">
      <c r="A2095">
        <v>2094</v>
      </c>
      <c r="B2095">
        <v>1</v>
      </c>
      <c r="C2095">
        <v>5</v>
      </c>
      <c r="D2095" s="1">
        <v>42593</v>
      </c>
      <c r="E2095">
        <v>81</v>
      </c>
      <c r="F2095">
        <f>VLOOKUP(ORDERS[[#This Row],[ProductID]],Products[],4,FALSE)</f>
        <v>16</v>
      </c>
      <c r="G2095">
        <v>0</v>
      </c>
      <c r="H2095">
        <f>(ORDERS[[#This Row],[UnitsOrdered]]*ORDERS[[#This Row],[unit price]])-(ORDERS[[#This Row],[UnitsOrdered]]*ORDERS[[#This Row],[unit price]]*ORDERS[[#This Row],[Discount]])</f>
        <v>1296</v>
      </c>
      <c r="I2095" t="str">
        <f>VLOOKUP(ORDERS[[#This Row],[CustomerID]],customers[],2,FALSE)</f>
        <v>Threads</v>
      </c>
      <c r="J2095" s="2" t="str">
        <f>VLOOKUP(ORDERS[[#This Row],[CustomerID]],customers[],4,FALSE)</f>
        <v>Seattle</v>
      </c>
      <c r="K2095" s="2" t="str">
        <f>VLOOKUP(ORDERS[[#This Row],[ProductID]],Products[],3,FALSE)</f>
        <v>Female</v>
      </c>
      <c r="L2095" s="2">
        <f>DAY(ORDERS[[#This Row],[OrderDate]])</f>
        <v>11</v>
      </c>
      <c r="M2095" s="2">
        <f>YEAR(ORDERS[[#This Row],[OrderDate]])</f>
        <v>2016</v>
      </c>
    </row>
    <row r="2096" spans="1:13" x14ac:dyDescent="0.3">
      <c r="A2096">
        <v>2095</v>
      </c>
      <c r="B2096">
        <v>4</v>
      </c>
      <c r="C2096">
        <v>10</v>
      </c>
      <c r="D2096" s="1">
        <v>42595</v>
      </c>
      <c r="E2096">
        <v>115</v>
      </c>
      <c r="F2096">
        <f>VLOOKUP(ORDERS[[#This Row],[ProductID]],Products[],4,FALSE)</f>
        <v>35</v>
      </c>
      <c r="G2096">
        <v>0</v>
      </c>
      <c r="H2096">
        <f>(ORDERS[[#This Row],[UnitsOrdered]]*ORDERS[[#This Row],[unit price]])-(ORDERS[[#This Row],[UnitsOrdered]]*ORDERS[[#This Row],[unit price]]*ORDERS[[#This Row],[Discount]])</f>
        <v>4025</v>
      </c>
      <c r="I2096" t="str">
        <f>VLOOKUP(ORDERS[[#This Row],[CustomerID]],customers[],2,FALSE)</f>
        <v>Tshirt Unlimited</v>
      </c>
      <c r="J2096" s="2" t="str">
        <f>VLOOKUP(ORDERS[[#This Row],[CustomerID]],customers[],4,FALSE)</f>
        <v>Phoenix</v>
      </c>
      <c r="K2096" s="2" t="str">
        <f>VLOOKUP(ORDERS[[#This Row],[ProductID]],Products[],3,FALSE)</f>
        <v>Male</v>
      </c>
      <c r="L2096" s="2">
        <f>DAY(ORDERS[[#This Row],[OrderDate]])</f>
        <v>13</v>
      </c>
      <c r="M2096" s="2">
        <f>YEAR(ORDERS[[#This Row],[OrderDate]])</f>
        <v>2016</v>
      </c>
    </row>
    <row r="2097" spans="1:13" x14ac:dyDescent="0.3">
      <c r="A2097">
        <v>2096</v>
      </c>
      <c r="B2097">
        <v>2</v>
      </c>
      <c r="C2097">
        <v>5</v>
      </c>
      <c r="D2097" s="1">
        <v>42596</v>
      </c>
      <c r="E2097">
        <v>55</v>
      </c>
      <c r="F2097">
        <f>VLOOKUP(ORDERS[[#This Row],[ProductID]],Products[],4,FALSE)</f>
        <v>16</v>
      </c>
      <c r="G2097">
        <v>0</v>
      </c>
      <c r="H2097">
        <f>(ORDERS[[#This Row],[UnitsOrdered]]*ORDERS[[#This Row],[unit price]])-(ORDERS[[#This Row],[UnitsOrdered]]*ORDERS[[#This Row],[unit price]]*ORDERS[[#This Row],[Discount]])</f>
        <v>880</v>
      </c>
      <c r="I2097" t="str">
        <f>VLOOKUP(ORDERS[[#This Row],[CustomerID]],customers[],2,FALSE)</f>
        <v>A Shirts Life</v>
      </c>
      <c r="J2097" s="2" t="str">
        <f>VLOOKUP(ORDERS[[#This Row],[CustomerID]],customers[],4,FALSE)</f>
        <v>Portland</v>
      </c>
      <c r="K2097" s="2" t="str">
        <f>VLOOKUP(ORDERS[[#This Row],[ProductID]],Products[],3,FALSE)</f>
        <v>Female</v>
      </c>
      <c r="L2097" s="2">
        <f>DAY(ORDERS[[#This Row],[OrderDate]])</f>
        <v>14</v>
      </c>
      <c r="M2097" s="2">
        <f>YEAR(ORDERS[[#This Row],[OrderDate]])</f>
        <v>2016</v>
      </c>
    </row>
    <row r="2098" spans="1:13" x14ac:dyDescent="0.3">
      <c r="A2098">
        <v>2097</v>
      </c>
      <c r="B2098">
        <v>1</v>
      </c>
      <c r="C2098">
        <v>4</v>
      </c>
      <c r="D2098" s="1">
        <v>42600</v>
      </c>
      <c r="E2098">
        <v>58</v>
      </c>
      <c r="F2098">
        <f>VLOOKUP(ORDERS[[#This Row],[ProductID]],Products[],4,FALSE)</f>
        <v>30</v>
      </c>
      <c r="G2098">
        <v>0</v>
      </c>
      <c r="H2098">
        <f>(ORDERS[[#This Row],[UnitsOrdered]]*ORDERS[[#This Row],[unit price]])-(ORDERS[[#This Row],[UnitsOrdered]]*ORDERS[[#This Row],[unit price]]*ORDERS[[#This Row],[Discount]])</f>
        <v>1740</v>
      </c>
      <c r="I2098" t="str">
        <f>VLOOKUP(ORDERS[[#This Row],[CustomerID]],customers[],2,FALSE)</f>
        <v>Threads</v>
      </c>
      <c r="J2098" s="2" t="str">
        <f>VLOOKUP(ORDERS[[#This Row],[CustomerID]],customers[],4,FALSE)</f>
        <v>Seattle</v>
      </c>
      <c r="K2098" s="2" t="str">
        <f>VLOOKUP(ORDERS[[#This Row],[ProductID]],Products[],3,FALSE)</f>
        <v>Both</v>
      </c>
      <c r="L2098" s="2">
        <f>DAY(ORDERS[[#This Row],[OrderDate]])</f>
        <v>18</v>
      </c>
      <c r="M2098" s="2">
        <f>YEAR(ORDERS[[#This Row],[OrderDate]])</f>
        <v>2016</v>
      </c>
    </row>
    <row r="2099" spans="1:13" x14ac:dyDescent="0.3">
      <c r="A2099">
        <v>2098</v>
      </c>
      <c r="B2099">
        <v>4</v>
      </c>
      <c r="C2099">
        <v>7</v>
      </c>
      <c r="D2099" s="1">
        <v>42600</v>
      </c>
      <c r="E2099">
        <v>46</v>
      </c>
      <c r="F2099">
        <f>VLOOKUP(ORDERS[[#This Row],[ProductID]],Products[],4,FALSE)</f>
        <v>38</v>
      </c>
      <c r="G2099">
        <v>0</v>
      </c>
      <c r="H2099">
        <f>(ORDERS[[#This Row],[UnitsOrdered]]*ORDERS[[#This Row],[unit price]])-(ORDERS[[#This Row],[UnitsOrdered]]*ORDERS[[#This Row],[unit price]]*ORDERS[[#This Row],[Discount]])</f>
        <v>1748</v>
      </c>
      <c r="I2099" t="str">
        <f>VLOOKUP(ORDERS[[#This Row],[CustomerID]],customers[],2,FALSE)</f>
        <v>Tshirt Unlimited</v>
      </c>
      <c r="J2099" s="2" t="str">
        <f>VLOOKUP(ORDERS[[#This Row],[CustomerID]],customers[],4,FALSE)</f>
        <v>Phoenix</v>
      </c>
      <c r="K2099" s="2" t="str">
        <f>VLOOKUP(ORDERS[[#This Row],[ProductID]],Products[],3,FALSE)</f>
        <v>Female</v>
      </c>
      <c r="L2099" s="2">
        <f>DAY(ORDERS[[#This Row],[OrderDate]])</f>
        <v>18</v>
      </c>
      <c r="M2099" s="2">
        <f>YEAR(ORDERS[[#This Row],[OrderDate]])</f>
        <v>2016</v>
      </c>
    </row>
    <row r="2100" spans="1:13" x14ac:dyDescent="0.3">
      <c r="A2100">
        <v>2099</v>
      </c>
      <c r="B2100">
        <v>1</v>
      </c>
      <c r="C2100">
        <v>7</v>
      </c>
      <c r="D2100" s="1">
        <v>42603</v>
      </c>
      <c r="E2100">
        <v>121</v>
      </c>
      <c r="F2100">
        <f>VLOOKUP(ORDERS[[#This Row],[ProductID]],Products[],4,FALSE)</f>
        <v>38</v>
      </c>
      <c r="G2100">
        <v>0</v>
      </c>
      <c r="H2100">
        <f>(ORDERS[[#This Row],[UnitsOrdered]]*ORDERS[[#This Row],[unit price]])-(ORDERS[[#This Row],[UnitsOrdered]]*ORDERS[[#This Row],[unit price]]*ORDERS[[#This Row],[Discount]])</f>
        <v>4598</v>
      </c>
      <c r="I2100" t="str">
        <f>VLOOKUP(ORDERS[[#This Row],[CustomerID]],customers[],2,FALSE)</f>
        <v>Threads</v>
      </c>
      <c r="J2100" s="2" t="str">
        <f>VLOOKUP(ORDERS[[#This Row],[CustomerID]],customers[],4,FALSE)</f>
        <v>Seattle</v>
      </c>
      <c r="K2100" s="2" t="str">
        <f>VLOOKUP(ORDERS[[#This Row],[ProductID]],Products[],3,FALSE)</f>
        <v>Female</v>
      </c>
      <c r="L2100" s="2">
        <f>DAY(ORDERS[[#This Row],[OrderDate]])</f>
        <v>21</v>
      </c>
      <c r="M2100" s="2">
        <f>YEAR(ORDERS[[#This Row],[OrderDate]])</f>
        <v>2016</v>
      </c>
    </row>
    <row r="2101" spans="1:13" x14ac:dyDescent="0.3">
      <c r="A2101">
        <v>2100</v>
      </c>
      <c r="B2101">
        <v>4</v>
      </c>
      <c r="C2101">
        <v>3</v>
      </c>
      <c r="D2101" s="1">
        <v>42603</v>
      </c>
      <c r="E2101">
        <v>98</v>
      </c>
      <c r="F2101">
        <f>VLOOKUP(ORDERS[[#This Row],[ProductID]],Products[],4,FALSE)</f>
        <v>22</v>
      </c>
      <c r="G2101">
        <v>0</v>
      </c>
      <c r="H2101">
        <f>(ORDERS[[#This Row],[UnitsOrdered]]*ORDERS[[#This Row],[unit price]])-(ORDERS[[#This Row],[UnitsOrdered]]*ORDERS[[#This Row],[unit price]]*ORDERS[[#This Row],[Discount]])</f>
        <v>2156</v>
      </c>
      <c r="I2101" t="str">
        <f>VLOOKUP(ORDERS[[#This Row],[CustomerID]],customers[],2,FALSE)</f>
        <v>Tshirt Unlimited</v>
      </c>
      <c r="J2101" s="2" t="str">
        <f>VLOOKUP(ORDERS[[#This Row],[CustomerID]],customers[],4,FALSE)</f>
        <v>Phoenix</v>
      </c>
      <c r="K2101" s="2" t="str">
        <f>VLOOKUP(ORDERS[[#This Row],[ProductID]],Products[],3,FALSE)</f>
        <v>Both</v>
      </c>
      <c r="L2101" s="2">
        <f>DAY(ORDERS[[#This Row],[OrderDate]])</f>
        <v>21</v>
      </c>
      <c r="M2101" s="2">
        <f>YEAR(ORDERS[[#This Row],[OrderDate]])</f>
        <v>2016</v>
      </c>
    </row>
    <row r="2102" spans="1:13" x14ac:dyDescent="0.3">
      <c r="A2102">
        <v>2101</v>
      </c>
      <c r="B2102">
        <v>6</v>
      </c>
      <c r="C2102">
        <v>1</v>
      </c>
      <c r="D2102" s="1">
        <v>42606</v>
      </c>
      <c r="E2102">
        <v>89</v>
      </c>
      <c r="F2102">
        <f>VLOOKUP(ORDERS[[#This Row],[ProductID]],Products[],4,FALSE)</f>
        <v>20</v>
      </c>
      <c r="G2102">
        <v>0</v>
      </c>
      <c r="H2102">
        <f>(ORDERS[[#This Row],[UnitsOrdered]]*ORDERS[[#This Row],[unit price]])-(ORDERS[[#This Row],[UnitsOrdered]]*ORDERS[[#This Row],[unit price]]*ORDERS[[#This Row],[Discount]])</f>
        <v>1780</v>
      </c>
      <c r="I2102" t="str">
        <f>VLOOKUP(ORDERS[[#This Row],[CustomerID]],customers[],2,FALSE)</f>
        <v>Abracadaba Ink</v>
      </c>
      <c r="J2102" s="2" t="str">
        <f>VLOOKUP(ORDERS[[#This Row],[CustomerID]],customers[],4,FALSE)</f>
        <v>Salt Lake City</v>
      </c>
      <c r="K2102" s="2" t="str">
        <f>VLOOKUP(ORDERS[[#This Row],[ProductID]],Products[],3,FALSE)</f>
        <v>Both</v>
      </c>
      <c r="L2102" s="2">
        <f>DAY(ORDERS[[#This Row],[OrderDate]])</f>
        <v>24</v>
      </c>
      <c r="M2102" s="2">
        <f>YEAR(ORDERS[[#This Row],[OrderDate]])</f>
        <v>2016</v>
      </c>
    </row>
    <row r="2103" spans="1:13" x14ac:dyDescent="0.3">
      <c r="A2103">
        <v>2102</v>
      </c>
      <c r="B2103">
        <v>1</v>
      </c>
      <c r="C2103">
        <v>2</v>
      </c>
      <c r="D2103" s="1">
        <v>42607</v>
      </c>
      <c r="E2103">
        <v>95</v>
      </c>
      <c r="F2103">
        <f>VLOOKUP(ORDERS[[#This Row],[ProductID]],Products[],4,FALSE)</f>
        <v>30</v>
      </c>
      <c r="G2103">
        <v>0</v>
      </c>
      <c r="H2103">
        <f>(ORDERS[[#This Row],[UnitsOrdered]]*ORDERS[[#This Row],[unit price]])-(ORDERS[[#This Row],[UnitsOrdered]]*ORDERS[[#This Row],[unit price]]*ORDERS[[#This Row],[Discount]])</f>
        <v>2850</v>
      </c>
      <c r="I2103" t="str">
        <f>VLOOKUP(ORDERS[[#This Row],[CustomerID]],customers[],2,FALSE)</f>
        <v>Threads</v>
      </c>
      <c r="J2103" s="2" t="str">
        <f>VLOOKUP(ORDERS[[#This Row],[CustomerID]],customers[],4,FALSE)</f>
        <v>Seattle</v>
      </c>
      <c r="K2103" s="2" t="str">
        <f>VLOOKUP(ORDERS[[#This Row],[ProductID]],Products[],3,FALSE)</f>
        <v>Both</v>
      </c>
      <c r="L2103" s="2">
        <f>DAY(ORDERS[[#This Row],[OrderDate]])</f>
        <v>25</v>
      </c>
      <c r="M2103" s="2">
        <f>YEAR(ORDERS[[#This Row],[OrderDate]])</f>
        <v>2016</v>
      </c>
    </row>
    <row r="2104" spans="1:13" x14ac:dyDescent="0.3">
      <c r="A2104">
        <v>2103</v>
      </c>
      <c r="B2104">
        <v>2</v>
      </c>
      <c r="C2104">
        <v>7</v>
      </c>
      <c r="D2104" s="1">
        <v>42608</v>
      </c>
      <c r="E2104">
        <v>74</v>
      </c>
      <c r="F2104">
        <f>VLOOKUP(ORDERS[[#This Row],[ProductID]],Products[],4,FALSE)</f>
        <v>38</v>
      </c>
      <c r="G2104">
        <v>5.0000001000000002E-2</v>
      </c>
      <c r="H2104">
        <f>(ORDERS[[#This Row],[UnitsOrdered]]*ORDERS[[#This Row],[unit price]])-(ORDERS[[#This Row],[UnitsOrdered]]*ORDERS[[#This Row],[unit price]]*ORDERS[[#This Row],[Discount]])</f>
        <v>2671.3999971879998</v>
      </c>
      <c r="I2104" t="str">
        <f>VLOOKUP(ORDERS[[#This Row],[CustomerID]],customers[],2,FALSE)</f>
        <v>A Shirts Life</v>
      </c>
      <c r="J2104" s="2" t="str">
        <f>VLOOKUP(ORDERS[[#This Row],[CustomerID]],customers[],4,FALSE)</f>
        <v>Portland</v>
      </c>
      <c r="K2104" s="2" t="str">
        <f>VLOOKUP(ORDERS[[#This Row],[ProductID]],Products[],3,FALSE)</f>
        <v>Female</v>
      </c>
      <c r="L2104" s="2">
        <f>DAY(ORDERS[[#This Row],[OrderDate]])</f>
        <v>26</v>
      </c>
      <c r="M2104" s="2">
        <f>YEAR(ORDERS[[#This Row],[OrderDate]])</f>
        <v>2016</v>
      </c>
    </row>
    <row r="2105" spans="1:13" x14ac:dyDescent="0.3">
      <c r="A2105">
        <v>2104</v>
      </c>
      <c r="B2105">
        <v>7</v>
      </c>
      <c r="C2105">
        <v>2</v>
      </c>
      <c r="D2105" s="1">
        <v>42608</v>
      </c>
      <c r="E2105">
        <v>46</v>
      </c>
      <c r="F2105">
        <f>VLOOKUP(ORDERS[[#This Row],[ProductID]],Products[],4,FALSE)</f>
        <v>30</v>
      </c>
      <c r="G2105">
        <v>0</v>
      </c>
      <c r="H2105">
        <f>(ORDERS[[#This Row],[UnitsOrdered]]*ORDERS[[#This Row],[unit price]])-(ORDERS[[#This Row],[UnitsOrdered]]*ORDERS[[#This Row],[unit price]]*ORDERS[[#This Row],[Discount]])</f>
        <v>1380</v>
      </c>
      <c r="I2105" t="str">
        <f>VLOOKUP(ORDERS[[#This Row],[CustomerID]],customers[],2,FALSE)</f>
        <v>The Shirt on Your Back</v>
      </c>
      <c r="J2105" s="2" t="str">
        <f>VLOOKUP(ORDERS[[#This Row],[CustomerID]],customers[],4,FALSE)</f>
        <v>Bonners Ferry</v>
      </c>
      <c r="K2105" s="2" t="str">
        <f>VLOOKUP(ORDERS[[#This Row],[ProductID]],Products[],3,FALSE)</f>
        <v>Both</v>
      </c>
      <c r="L2105" s="2">
        <f>DAY(ORDERS[[#This Row],[OrderDate]])</f>
        <v>26</v>
      </c>
      <c r="M2105" s="2">
        <f>YEAR(ORDERS[[#This Row],[OrderDate]])</f>
        <v>2016</v>
      </c>
    </row>
    <row r="2106" spans="1:13" x14ac:dyDescent="0.3">
      <c r="A2106">
        <v>2105</v>
      </c>
      <c r="B2106">
        <v>6</v>
      </c>
      <c r="C2106">
        <v>5</v>
      </c>
      <c r="D2106" s="1">
        <v>42610</v>
      </c>
      <c r="E2106">
        <v>115</v>
      </c>
      <c r="F2106">
        <f>VLOOKUP(ORDERS[[#This Row],[ProductID]],Products[],4,FALSE)</f>
        <v>16</v>
      </c>
      <c r="G2106">
        <v>0</v>
      </c>
      <c r="H2106">
        <f>(ORDERS[[#This Row],[UnitsOrdered]]*ORDERS[[#This Row],[unit price]])-(ORDERS[[#This Row],[UnitsOrdered]]*ORDERS[[#This Row],[unit price]]*ORDERS[[#This Row],[Discount]])</f>
        <v>1840</v>
      </c>
      <c r="I2106" t="str">
        <f>VLOOKUP(ORDERS[[#This Row],[CustomerID]],customers[],2,FALSE)</f>
        <v>Abracadaba Ink</v>
      </c>
      <c r="J2106" s="2" t="str">
        <f>VLOOKUP(ORDERS[[#This Row],[CustomerID]],customers[],4,FALSE)</f>
        <v>Salt Lake City</v>
      </c>
      <c r="K2106" s="2" t="str">
        <f>VLOOKUP(ORDERS[[#This Row],[ProductID]],Products[],3,FALSE)</f>
        <v>Female</v>
      </c>
      <c r="L2106" s="2">
        <f>DAY(ORDERS[[#This Row],[OrderDate]])</f>
        <v>28</v>
      </c>
      <c r="M2106" s="2">
        <f>YEAR(ORDERS[[#This Row],[OrderDate]])</f>
        <v>2016</v>
      </c>
    </row>
    <row r="2107" spans="1:13" x14ac:dyDescent="0.3">
      <c r="A2107">
        <v>2106</v>
      </c>
      <c r="B2107">
        <v>3</v>
      </c>
      <c r="C2107">
        <v>7</v>
      </c>
      <c r="D2107" s="1">
        <v>42612</v>
      </c>
      <c r="E2107">
        <v>56</v>
      </c>
      <c r="F2107">
        <f>VLOOKUP(ORDERS[[#This Row],[ProductID]],Products[],4,FALSE)</f>
        <v>38</v>
      </c>
      <c r="G2107">
        <v>0</v>
      </c>
      <c r="H2107">
        <f>(ORDERS[[#This Row],[UnitsOrdered]]*ORDERS[[#This Row],[unit price]])-(ORDERS[[#This Row],[UnitsOrdered]]*ORDERS[[#This Row],[unit price]]*ORDERS[[#This Row],[Discount]])</f>
        <v>2128</v>
      </c>
      <c r="I2107" t="str">
        <f>VLOOKUP(ORDERS[[#This Row],[CustomerID]],customers[],2,FALSE)</f>
        <v>Shirts R Us</v>
      </c>
      <c r="J2107" s="2" t="str">
        <f>VLOOKUP(ORDERS[[#This Row],[CustomerID]],customers[],4,FALSE)</f>
        <v>Los Angeles</v>
      </c>
      <c r="K2107" s="2" t="str">
        <f>VLOOKUP(ORDERS[[#This Row],[ProductID]],Products[],3,FALSE)</f>
        <v>Female</v>
      </c>
      <c r="L2107" s="2">
        <f>DAY(ORDERS[[#This Row],[OrderDate]])</f>
        <v>30</v>
      </c>
      <c r="M2107" s="2">
        <f>YEAR(ORDERS[[#This Row],[OrderDate]])</f>
        <v>2016</v>
      </c>
    </row>
    <row r="2108" spans="1:13" x14ac:dyDescent="0.3">
      <c r="A2108">
        <v>2107</v>
      </c>
      <c r="B2108">
        <v>2</v>
      </c>
      <c r="C2108">
        <v>9</v>
      </c>
      <c r="D2108" s="1">
        <v>42614</v>
      </c>
      <c r="E2108">
        <v>145</v>
      </c>
      <c r="F2108">
        <f>VLOOKUP(ORDERS[[#This Row],[ProductID]],Products[],4,FALSE)</f>
        <v>25</v>
      </c>
      <c r="G2108">
        <v>0</v>
      </c>
      <c r="H2108">
        <f>(ORDERS[[#This Row],[UnitsOrdered]]*ORDERS[[#This Row],[unit price]])-(ORDERS[[#This Row],[UnitsOrdered]]*ORDERS[[#This Row],[unit price]]*ORDERS[[#This Row],[Discount]])</f>
        <v>3625</v>
      </c>
      <c r="I2108" t="str">
        <f>VLOOKUP(ORDERS[[#This Row],[CustomerID]],customers[],2,FALSE)</f>
        <v>A Shirts Life</v>
      </c>
      <c r="J2108" s="2" t="str">
        <f>VLOOKUP(ORDERS[[#This Row],[CustomerID]],customers[],4,FALSE)</f>
        <v>Portland</v>
      </c>
      <c r="K2108" s="2" t="str">
        <f>VLOOKUP(ORDERS[[#This Row],[ProductID]],Products[],3,FALSE)</f>
        <v>Male</v>
      </c>
      <c r="L2108" s="2">
        <f>DAY(ORDERS[[#This Row],[OrderDate]])</f>
        <v>1</v>
      </c>
      <c r="M2108" s="2">
        <f>YEAR(ORDERS[[#This Row],[OrderDate]])</f>
        <v>2016</v>
      </c>
    </row>
    <row r="2109" spans="1:13" x14ac:dyDescent="0.3">
      <c r="A2109">
        <v>2108</v>
      </c>
      <c r="B2109">
        <v>7</v>
      </c>
      <c r="C2109">
        <v>5</v>
      </c>
      <c r="D2109" s="1">
        <v>42614</v>
      </c>
      <c r="E2109">
        <v>137</v>
      </c>
      <c r="F2109">
        <f>VLOOKUP(ORDERS[[#This Row],[ProductID]],Products[],4,FALSE)</f>
        <v>16</v>
      </c>
      <c r="G2109">
        <v>0.15000000599999999</v>
      </c>
      <c r="H2109">
        <f>(ORDERS[[#This Row],[UnitsOrdered]]*ORDERS[[#This Row],[unit price]])-(ORDERS[[#This Row],[UnitsOrdered]]*ORDERS[[#This Row],[unit price]]*ORDERS[[#This Row],[Discount]])</f>
        <v>1863.199986848</v>
      </c>
      <c r="I2109" t="str">
        <f>VLOOKUP(ORDERS[[#This Row],[CustomerID]],customers[],2,FALSE)</f>
        <v>The Shirt on Your Back</v>
      </c>
      <c r="J2109" s="2" t="str">
        <f>VLOOKUP(ORDERS[[#This Row],[CustomerID]],customers[],4,FALSE)</f>
        <v>Bonners Ferry</v>
      </c>
      <c r="K2109" s="2" t="str">
        <f>VLOOKUP(ORDERS[[#This Row],[ProductID]],Products[],3,FALSE)</f>
        <v>Female</v>
      </c>
      <c r="L2109" s="2">
        <f>DAY(ORDERS[[#This Row],[OrderDate]])</f>
        <v>1</v>
      </c>
      <c r="M2109" s="2">
        <f>YEAR(ORDERS[[#This Row],[OrderDate]])</f>
        <v>2016</v>
      </c>
    </row>
    <row r="2110" spans="1:13" x14ac:dyDescent="0.3">
      <c r="A2110">
        <v>2109</v>
      </c>
      <c r="B2110">
        <v>7</v>
      </c>
      <c r="C2110">
        <v>10</v>
      </c>
      <c r="D2110" s="1">
        <v>42614</v>
      </c>
      <c r="E2110">
        <v>124</v>
      </c>
      <c r="F2110">
        <f>VLOOKUP(ORDERS[[#This Row],[ProductID]],Products[],4,FALSE)</f>
        <v>35</v>
      </c>
      <c r="G2110">
        <v>0</v>
      </c>
      <c r="H2110">
        <f>(ORDERS[[#This Row],[UnitsOrdered]]*ORDERS[[#This Row],[unit price]])-(ORDERS[[#This Row],[UnitsOrdered]]*ORDERS[[#This Row],[unit price]]*ORDERS[[#This Row],[Discount]])</f>
        <v>4340</v>
      </c>
      <c r="I2110" t="str">
        <f>VLOOKUP(ORDERS[[#This Row],[CustomerID]],customers[],2,FALSE)</f>
        <v>The Shirt on Your Back</v>
      </c>
      <c r="J2110" s="2" t="str">
        <f>VLOOKUP(ORDERS[[#This Row],[CustomerID]],customers[],4,FALSE)</f>
        <v>Bonners Ferry</v>
      </c>
      <c r="K2110" s="2" t="str">
        <f>VLOOKUP(ORDERS[[#This Row],[ProductID]],Products[],3,FALSE)</f>
        <v>Male</v>
      </c>
      <c r="L2110" s="2">
        <f>DAY(ORDERS[[#This Row],[OrderDate]])</f>
        <v>1</v>
      </c>
      <c r="M2110" s="2">
        <f>YEAR(ORDERS[[#This Row],[OrderDate]])</f>
        <v>2016</v>
      </c>
    </row>
    <row r="2111" spans="1:13" x14ac:dyDescent="0.3">
      <c r="A2111">
        <v>2110</v>
      </c>
      <c r="B2111">
        <v>4</v>
      </c>
      <c r="C2111">
        <v>6</v>
      </c>
      <c r="D2111" s="1">
        <v>42615</v>
      </c>
      <c r="E2111">
        <v>148</v>
      </c>
      <c r="F2111">
        <f>VLOOKUP(ORDERS[[#This Row],[ProductID]],Products[],4,FALSE)</f>
        <v>28</v>
      </c>
      <c r="G2111">
        <v>0</v>
      </c>
      <c r="H2111">
        <f>(ORDERS[[#This Row],[UnitsOrdered]]*ORDERS[[#This Row],[unit price]])-(ORDERS[[#This Row],[UnitsOrdered]]*ORDERS[[#This Row],[unit price]]*ORDERS[[#This Row],[Discount]])</f>
        <v>4144</v>
      </c>
      <c r="I2111" t="str">
        <f>VLOOKUP(ORDERS[[#This Row],[CustomerID]],customers[],2,FALSE)</f>
        <v>Tshirt Unlimited</v>
      </c>
      <c r="J2111" s="2" t="str">
        <f>VLOOKUP(ORDERS[[#This Row],[CustomerID]],customers[],4,FALSE)</f>
        <v>Phoenix</v>
      </c>
      <c r="K2111" s="2" t="str">
        <f>VLOOKUP(ORDERS[[#This Row],[ProductID]],Products[],3,FALSE)</f>
        <v>Female</v>
      </c>
      <c r="L2111" s="2">
        <f>DAY(ORDERS[[#This Row],[OrderDate]])</f>
        <v>2</v>
      </c>
      <c r="M2111" s="2">
        <f>YEAR(ORDERS[[#This Row],[OrderDate]])</f>
        <v>2016</v>
      </c>
    </row>
    <row r="2112" spans="1:13" x14ac:dyDescent="0.3">
      <c r="A2112">
        <v>2111</v>
      </c>
      <c r="B2112">
        <v>5</v>
      </c>
      <c r="C2112">
        <v>5</v>
      </c>
      <c r="D2112" s="1">
        <v>42619</v>
      </c>
      <c r="E2112">
        <v>103</v>
      </c>
      <c r="F2112">
        <f>VLOOKUP(ORDERS[[#This Row],[ProductID]],Products[],4,FALSE)</f>
        <v>16</v>
      </c>
      <c r="G2112">
        <v>0</v>
      </c>
      <c r="H2112">
        <f>(ORDERS[[#This Row],[UnitsOrdered]]*ORDERS[[#This Row],[unit price]])-(ORDERS[[#This Row],[UnitsOrdered]]*ORDERS[[#This Row],[unit price]]*ORDERS[[#This Row],[Discount]])</f>
        <v>1648</v>
      </c>
      <c r="I2112" t="str">
        <f>VLOOKUP(ORDERS[[#This Row],[CustomerID]],customers[],2,FALSE)</f>
        <v>Rags to Riches</v>
      </c>
      <c r="J2112" s="2" t="str">
        <f>VLOOKUP(ORDERS[[#This Row],[CustomerID]],customers[],4,FALSE)</f>
        <v>Las Vegas</v>
      </c>
      <c r="K2112" s="2" t="str">
        <f>VLOOKUP(ORDERS[[#This Row],[ProductID]],Products[],3,FALSE)</f>
        <v>Female</v>
      </c>
      <c r="L2112" s="2">
        <f>DAY(ORDERS[[#This Row],[OrderDate]])</f>
        <v>6</v>
      </c>
      <c r="M2112" s="2">
        <f>YEAR(ORDERS[[#This Row],[OrderDate]])</f>
        <v>2016</v>
      </c>
    </row>
    <row r="2113" spans="1:13" x14ac:dyDescent="0.3">
      <c r="A2113">
        <v>2112</v>
      </c>
      <c r="B2113">
        <v>1</v>
      </c>
      <c r="C2113">
        <v>5</v>
      </c>
      <c r="D2113" s="1">
        <v>42620</v>
      </c>
      <c r="E2113">
        <v>68</v>
      </c>
      <c r="F2113">
        <f>VLOOKUP(ORDERS[[#This Row],[ProductID]],Products[],4,FALSE)</f>
        <v>16</v>
      </c>
      <c r="G2113">
        <v>0</v>
      </c>
      <c r="H2113">
        <f>(ORDERS[[#This Row],[UnitsOrdered]]*ORDERS[[#This Row],[unit price]])-(ORDERS[[#This Row],[UnitsOrdered]]*ORDERS[[#This Row],[unit price]]*ORDERS[[#This Row],[Discount]])</f>
        <v>1088</v>
      </c>
      <c r="I2113" t="str">
        <f>VLOOKUP(ORDERS[[#This Row],[CustomerID]],customers[],2,FALSE)</f>
        <v>Threads</v>
      </c>
      <c r="J2113" s="2" t="str">
        <f>VLOOKUP(ORDERS[[#This Row],[CustomerID]],customers[],4,FALSE)</f>
        <v>Seattle</v>
      </c>
      <c r="K2113" s="2" t="str">
        <f>VLOOKUP(ORDERS[[#This Row],[ProductID]],Products[],3,FALSE)</f>
        <v>Female</v>
      </c>
      <c r="L2113" s="2">
        <f>DAY(ORDERS[[#This Row],[OrderDate]])</f>
        <v>7</v>
      </c>
      <c r="M2113" s="2">
        <f>YEAR(ORDERS[[#This Row],[OrderDate]])</f>
        <v>2016</v>
      </c>
    </row>
    <row r="2114" spans="1:13" x14ac:dyDescent="0.3">
      <c r="A2114">
        <v>2113</v>
      </c>
      <c r="B2114">
        <v>3</v>
      </c>
      <c r="C2114">
        <v>9</v>
      </c>
      <c r="D2114" s="1">
        <v>42620</v>
      </c>
      <c r="E2114">
        <v>60</v>
      </c>
      <c r="F2114">
        <f>VLOOKUP(ORDERS[[#This Row],[ProductID]],Products[],4,FALSE)</f>
        <v>25</v>
      </c>
      <c r="G2114">
        <v>0</v>
      </c>
      <c r="H2114">
        <f>(ORDERS[[#This Row],[UnitsOrdered]]*ORDERS[[#This Row],[unit price]])-(ORDERS[[#This Row],[UnitsOrdered]]*ORDERS[[#This Row],[unit price]]*ORDERS[[#This Row],[Discount]])</f>
        <v>1500</v>
      </c>
      <c r="I2114" t="str">
        <f>VLOOKUP(ORDERS[[#This Row],[CustomerID]],customers[],2,FALSE)</f>
        <v>Shirts R Us</v>
      </c>
      <c r="J2114" s="2" t="str">
        <f>VLOOKUP(ORDERS[[#This Row],[CustomerID]],customers[],4,FALSE)</f>
        <v>Los Angeles</v>
      </c>
      <c r="K2114" s="2" t="str">
        <f>VLOOKUP(ORDERS[[#This Row],[ProductID]],Products[],3,FALSE)</f>
        <v>Male</v>
      </c>
      <c r="L2114" s="2">
        <f>DAY(ORDERS[[#This Row],[OrderDate]])</f>
        <v>7</v>
      </c>
      <c r="M2114" s="2">
        <f>YEAR(ORDERS[[#This Row],[OrderDate]])</f>
        <v>2016</v>
      </c>
    </row>
    <row r="2115" spans="1:13" x14ac:dyDescent="0.3">
      <c r="A2115">
        <v>2114</v>
      </c>
      <c r="B2115">
        <v>7</v>
      </c>
      <c r="C2115">
        <v>6</v>
      </c>
      <c r="D2115" s="1">
        <v>42620</v>
      </c>
      <c r="E2115">
        <v>114</v>
      </c>
      <c r="F2115">
        <f>VLOOKUP(ORDERS[[#This Row],[ProductID]],Products[],4,FALSE)</f>
        <v>28</v>
      </c>
      <c r="G2115">
        <v>0.10000000100000001</v>
      </c>
      <c r="H2115">
        <f>(ORDERS[[#This Row],[UnitsOrdered]]*ORDERS[[#This Row],[unit price]])-(ORDERS[[#This Row],[UnitsOrdered]]*ORDERS[[#This Row],[unit price]]*ORDERS[[#This Row],[Discount]])</f>
        <v>2872.7999968079998</v>
      </c>
      <c r="I2115" t="str">
        <f>VLOOKUP(ORDERS[[#This Row],[CustomerID]],customers[],2,FALSE)</f>
        <v>The Shirt on Your Back</v>
      </c>
      <c r="J2115" s="2" t="str">
        <f>VLOOKUP(ORDERS[[#This Row],[CustomerID]],customers[],4,FALSE)</f>
        <v>Bonners Ferry</v>
      </c>
      <c r="K2115" s="2" t="str">
        <f>VLOOKUP(ORDERS[[#This Row],[ProductID]],Products[],3,FALSE)</f>
        <v>Female</v>
      </c>
      <c r="L2115" s="2">
        <f>DAY(ORDERS[[#This Row],[OrderDate]])</f>
        <v>7</v>
      </c>
      <c r="M2115" s="2">
        <f>YEAR(ORDERS[[#This Row],[OrderDate]])</f>
        <v>2016</v>
      </c>
    </row>
    <row r="2116" spans="1:13" x14ac:dyDescent="0.3">
      <c r="A2116">
        <v>2115</v>
      </c>
      <c r="B2116">
        <v>5</v>
      </c>
      <c r="C2116">
        <v>3</v>
      </c>
      <c r="D2116" s="1">
        <v>42621</v>
      </c>
      <c r="E2116">
        <v>136</v>
      </c>
      <c r="F2116">
        <f>VLOOKUP(ORDERS[[#This Row],[ProductID]],Products[],4,FALSE)</f>
        <v>22</v>
      </c>
      <c r="G2116">
        <v>0</v>
      </c>
      <c r="H2116">
        <f>(ORDERS[[#This Row],[UnitsOrdered]]*ORDERS[[#This Row],[unit price]])-(ORDERS[[#This Row],[UnitsOrdered]]*ORDERS[[#This Row],[unit price]]*ORDERS[[#This Row],[Discount]])</f>
        <v>2992</v>
      </c>
      <c r="I2116" t="str">
        <f>VLOOKUP(ORDERS[[#This Row],[CustomerID]],customers[],2,FALSE)</f>
        <v>Rags to Riches</v>
      </c>
      <c r="J2116" s="2" t="str">
        <f>VLOOKUP(ORDERS[[#This Row],[CustomerID]],customers[],4,FALSE)</f>
        <v>Las Vegas</v>
      </c>
      <c r="K2116" s="2" t="str">
        <f>VLOOKUP(ORDERS[[#This Row],[ProductID]],Products[],3,FALSE)</f>
        <v>Both</v>
      </c>
      <c r="L2116" s="2">
        <f>DAY(ORDERS[[#This Row],[OrderDate]])</f>
        <v>8</v>
      </c>
      <c r="M2116" s="2">
        <f>YEAR(ORDERS[[#This Row],[OrderDate]])</f>
        <v>2016</v>
      </c>
    </row>
    <row r="2117" spans="1:13" x14ac:dyDescent="0.3">
      <c r="A2117">
        <v>2116</v>
      </c>
      <c r="B2117">
        <v>7</v>
      </c>
      <c r="C2117">
        <v>2</v>
      </c>
      <c r="D2117" s="1">
        <v>42621</v>
      </c>
      <c r="E2117">
        <v>40</v>
      </c>
      <c r="F2117">
        <f>VLOOKUP(ORDERS[[#This Row],[ProductID]],Products[],4,FALSE)</f>
        <v>30</v>
      </c>
      <c r="G2117">
        <v>5.0000001000000002E-2</v>
      </c>
      <c r="H2117">
        <f>(ORDERS[[#This Row],[UnitsOrdered]]*ORDERS[[#This Row],[unit price]])-(ORDERS[[#This Row],[UnitsOrdered]]*ORDERS[[#This Row],[unit price]]*ORDERS[[#This Row],[Discount]])</f>
        <v>1139.9999988</v>
      </c>
      <c r="I2117" t="str">
        <f>VLOOKUP(ORDERS[[#This Row],[CustomerID]],customers[],2,FALSE)</f>
        <v>The Shirt on Your Back</v>
      </c>
      <c r="J2117" s="2" t="str">
        <f>VLOOKUP(ORDERS[[#This Row],[CustomerID]],customers[],4,FALSE)</f>
        <v>Bonners Ferry</v>
      </c>
      <c r="K2117" s="2" t="str">
        <f>VLOOKUP(ORDERS[[#This Row],[ProductID]],Products[],3,FALSE)</f>
        <v>Both</v>
      </c>
      <c r="L2117" s="2">
        <f>DAY(ORDERS[[#This Row],[OrderDate]])</f>
        <v>8</v>
      </c>
      <c r="M2117" s="2">
        <f>YEAR(ORDERS[[#This Row],[OrderDate]])</f>
        <v>2016</v>
      </c>
    </row>
    <row r="2118" spans="1:13" x14ac:dyDescent="0.3">
      <c r="A2118">
        <v>2117</v>
      </c>
      <c r="B2118">
        <v>7</v>
      </c>
      <c r="C2118">
        <v>9</v>
      </c>
      <c r="D2118" s="1">
        <v>42621</v>
      </c>
      <c r="E2118">
        <v>115</v>
      </c>
      <c r="F2118">
        <f>VLOOKUP(ORDERS[[#This Row],[ProductID]],Products[],4,FALSE)</f>
        <v>25</v>
      </c>
      <c r="G2118">
        <v>0</v>
      </c>
      <c r="H2118">
        <f>(ORDERS[[#This Row],[UnitsOrdered]]*ORDERS[[#This Row],[unit price]])-(ORDERS[[#This Row],[UnitsOrdered]]*ORDERS[[#This Row],[unit price]]*ORDERS[[#This Row],[Discount]])</f>
        <v>2875</v>
      </c>
      <c r="I2118" t="str">
        <f>VLOOKUP(ORDERS[[#This Row],[CustomerID]],customers[],2,FALSE)</f>
        <v>The Shirt on Your Back</v>
      </c>
      <c r="J2118" s="2" t="str">
        <f>VLOOKUP(ORDERS[[#This Row],[CustomerID]],customers[],4,FALSE)</f>
        <v>Bonners Ferry</v>
      </c>
      <c r="K2118" s="2" t="str">
        <f>VLOOKUP(ORDERS[[#This Row],[ProductID]],Products[],3,FALSE)</f>
        <v>Male</v>
      </c>
      <c r="L2118" s="2">
        <f>DAY(ORDERS[[#This Row],[OrderDate]])</f>
        <v>8</v>
      </c>
      <c r="M2118" s="2">
        <f>YEAR(ORDERS[[#This Row],[OrderDate]])</f>
        <v>2016</v>
      </c>
    </row>
    <row r="2119" spans="1:13" x14ac:dyDescent="0.3">
      <c r="A2119">
        <v>2118</v>
      </c>
      <c r="B2119">
        <v>3</v>
      </c>
      <c r="C2119">
        <v>5</v>
      </c>
      <c r="D2119" s="1">
        <v>42622</v>
      </c>
      <c r="E2119">
        <v>81</v>
      </c>
      <c r="F2119">
        <f>VLOOKUP(ORDERS[[#This Row],[ProductID]],Products[],4,FALSE)</f>
        <v>16</v>
      </c>
      <c r="G2119">
        <v>0</v>
      </c>
      <c r="H2119">
        <f>(ORDERS[[#This Row],[UnitsOrdered]]*ORDERS[[#This Row],[unit price]])-(ORDERS[[#This Row],[UnitsOrdered]]*ORDERS[[#This Row],[unit price]]*ORDERS[[#This Row],[Discount]])</f>
        <v>1296</v>
      </c>
      <c r="I2119" t="str">
        <f>VLOOKUP(ORDERS[[#This Row],[CustomerID]],customers[],2,FALSE)</f>
        <v>Shirts R Us</v>
      </c>
      <c r="J2119" s="2" t="str">
        <f>VLOOKUP(ORDERS[[#This Row],[CustomerID]],customers[],4,FALSE)</f>
        <v>Los Angeles</v>
      </c>
      <c r="K2119" s="2" t="str">
        <f>VLOOKUP(ORDERS[[#This Row],[ProductID]],Products[],3,FALSE)</f>
        <v>Female</v>
      </c>
      <c r="L2119" s="2">
        <f>DAY(ORDERS[[#This Row],[OrderDate]])</f>
        <v>9</v>
      </c>
      <c r="M2119" s="2">
        <f>YEAR(ORDERS[[#This Row],[OrderDate]])</f>
        <v>2016</v>
      </c>
    </row>
    <row r="2120" spans="1:13" x14ac:dyDescent="0.3">
      <c r="A2120">
        <v>2119</v>
      </c>
      <c r="B2120">
        <v>4</v>
      </c>
      <c r="C2120">
        <v>7</v>
      </c>
      <c r="D2120" s="1">
        <v>42622</v>
      </c>
      <c r="E2120">
        <v>41</v>
      </c>
      <c r="F2120">
        <f>VLOOKUP(ORDERS[[#This Row],[ProductID]],Products[],4,FALSE)</f>
        <v>38</v>
      </c>
      <c r="G2120">
        <v>0</v>
      </c>
      <c r="H2120">
        <f>(ORDERS[[#This Row],[UnitsOrdered]]*ORDERS[[#This Row],[unit price]])-(ORDERS[[#This Row],[UnitsOrdered]]*ORDERS[[#This Row],[unit price]]*ORDERS[[#This Row],[Discount]])</f>
        <v>1558</v>
      </c>
      <c r="I2120" t="str">
        <f>VLOOKUP(ORDERS[[#This Row],[CustomerID]],customers[],2,FALSE)</f>
        <v>Tshirt Unlimited</v>
      </c>
      <c r="J2120" s="2" t="str">
        <f>VLOOKUP(ORDERS[[#This Row],[CustomerID]],customers[],4,FALSE)</f>
        <v>Phoenix</v>
      </c>
      <c r="K2120" s="2" t="str">
        <f>VLOOKUP(ORDERS[[#This Row],[ProductID]],Products[],3,FALSE)</f>
        <v>Female</v>
      </c>
      <c r="L2120" s="2">
        <f>DAY(ORDERS[[#This Row],[OrderDate]])</f>
        <v>9</v>
      </c>
      <c r="M2120" s="2">
        <f>YEAR(ORDERS[[#This Row],[OrderDate]])</f>
        <v>2016</v>
      </c>
    </row>
    <row r="2121" spans="1:13" x14ac:dyDescent="0.3">
      <c r="A2121">
        <v>2120</v>
      </c>
      <c r="B2121">
        <v>5</v>
      </c>
      <c r="C2121">
        <v>10</v>
      </c>
      <c r="D2121" s="1">
        <v>42622</v>
      </c>
      <c r="E2121">
        <v>123</v>
      </c>
      <c r="F2121">
        <f>VLOOKUP(ORDERS[[#This Row],[ProductID]],Products[],4,FALSE)</f>
        <v>35</v>
      </c>
      <c r="G2121">
        <v>0</v>
      </c>
      <c r="H2121">
        <f>(ORDERS[[#This Row],[UnitsOrdered]]*ORDERS[[#This Row],[unit price]])-(ORDERS[[#This Row],[UnitsOrdered]]*ORDERS[[#This Row],[unit price]]*ORDERS[[#This Row],[Discount]])</f>
        <v>4305</v>
      </c>
      <c r="I2121" t="str">
        <f>VLOOKUP(ORDERS[[#This Row],[CustomerID]],customers[],2,FALSE)</f>
        <v>Rags to Riches</v>
      </c>
      <c r="J2121" s="2" t="str">
        <f>VLOOKUP(ORDERS[[#This Row],[CustomerID]],customers[],4,FALSE)</f>
        <v>Las Vegas</v>
      </c>
      <c r="K2121" s="2" t="str">
        <f>VLOOKUP(ORDERS[[#This Row],[ProductID]],Products[],3,FALSE)</f>
        <v>Male</v>
      </c>
      <c r="L2121" s="2">
        <f>DAY(ORDERS[[#This Row],[OrderDate]])</f>
        <v>9</v>
      </c>
      <c r="M2121" s="2">
        <f>YEAR(ORDERS[[#This Row],[OrderDate]])</f>
        <v>2016</v>
      </c>
    </row>
    <row r="2122" spans="1:13" x14ac:dyDescent="0.3">
      <c r="A2122">
        <v>2121</v>
      </c>
      <c r="B2122">
        <v>3</v>
      </c>
      <c r="C2122">
        <v>6</v>
      </c>
      <c r="D2122" s="1">
        <v>42624</v>
      </c>
      <c r="E2122">
        <v>64</v>
      </c>
      <c r="F2122">
        <f>VLOOKUP(ORDERS[[#This Row],[ProductID]],Products[],4,FALSE)</f>
        <v>28</v>
      </c>
      <c r="G2122">
        <v>0</v>
      </c>
      <c r="H2122">
        <f>(ORDERS[[#This Row],[UnitsOrdered]]*ORDERS[[#This Row],[unit price]])-(ORDERS[[#This Row],[UnitsOrdered]]*ORDERS[[#This Row],[unit price]]*ORDERS[[#This Row],[Discount]])</f>
        <v>1792</v>
      </c>
      <c r="I2122" t="str">
        <f>VLOOKUP(ORDERS[[#This Row],[CustomerID]],customers[],2,FALSE)</f>
        <v>Shirts R Us</v>
      </c>
      <c r="J2122" s="2" t="str">
        <f>VLOOKUP(ORDERS[[#This Row],[CustomerID]],customers[],4,FALSE)</f>
        <v>Los Angeles</v>
      </c>
      <c r="K2122" s="2" t="str">
        <f>VLOOKUP(ORDERS[[#This Row],[ProductID]],Products[],3,FALSE)</f>
        <v>Female</v>
      </c>
      <c r="L2122" s="2">
        <f>DAY(ORDERS[[#This Row],[OrderDate]])</f>
        <v>11</v>
      </c>
      <c r="M2122" s="2">
        <f>YEAR(ORDERS[[#This Row],[OrderDate]])</f>
        <v>2016</v>
      </c>
    </row>
    <row r="2123" spans="1:13" x14ac:dyDescent="0.3">
      <c r="A2123">
        <v>2122</v>
      </c>
      <c r="B2123">
        <v>2</v>
      </c>
      <c r="C2123">
        <v>6</v>
      </c>
      <c r="D2123" s="1">
        <v>42625</v>
      </c>
      <c r="E2123">
        <v>54</v>
      </c>
      <c r="F2123">
        <f>VLOOKUP(ORDERS[[#This Row],[ProductID]],Products[],4,FALSE)</f>
        <v>28</v>
      </c>
      <c r="G2123">
        <v>0.15000000599999999</v>
      </c>
      <c r="H2123">
        <f>(ORDERS[[#This Row],[UnitsOrdered]]*ORDERS[[#This Row],[unit price]])-(ORDERS[[#This Row],[UnitsOrdered]]*ORDERS[[#This Row],[unit price]]*ORDERS[[#This Row],[Discount]])</f>
        <v>1285.199990928</v>
      </c>
      <c r="I2123" t="str">
        <f>VLOOKUP(ORDERS[[#This Row],[CustomerID]],customers[],2,FALSE)</f>
        <v>A Shirts Life</v>
      </c>
      <c r="J2123" s="2" t="str">
        <f>VLOOKUP(ORDERS[[#This Row],[CustomerID]],customers[],4,FALSE)</f>
        <v>Portland</v>
      </c>
      <c r="K2123" s="2" t="str">
        <f>VLOOKUP(ORDERS[[#This Row],[ProductID]],Products[],3,FALSE)</f>
        <v>Female</v>
      </c>
      <c r="L2123" s="2">
        <f>DAY(ORDERS[[#This Row],[OrderDate]])</f>
        <v>12</v>
      </c>
      <c r="M2123" s="2">
        <f>YEAR(ORDERS[[#This Row],[OrderDate]])</f>
        <v>2016</v>
      </c>
    </row>
    <row r="2124" spans="1:13" x14ac:dyDescent="0.3">
      <c r="A2124">
        <v>2123</v>
      </c>
      <c r="B2124">
        <v>5</v>
      </c>
      <c r="C2124">
        <v>3</v>
      </c>
      <c r="D2124" s="1">
        <v>42626</v>
      </c>
      <c r="E2124">
        <v>79</v>
      </c>
      <c r="F2124">
        <f>VLOOKUP(ORDERS[[#This Row],[ProductID]],Products[],4,FALSE)</f>
        <v>22</v>
      </c>
      <c r="G2124">
        <v>0</v>
      </c>
      <c r="H2124">
        <f>(ORDERS[[#This Row],[UnitsOrdered]]*ORDERS[[#This Row],[unit price]])-(ORDERS[[#This Row],[UnitsOrdered]]*ORDERS[[#This Row],[unit price]]*ORDERS[[#This Row],[Discount]])</f>
        <v>1738</v>
      </c>
      <c r="I2124" t="str">
        <f>VLOOKUP(ORDERS[[#This Row],[CustomerID]],customers[],2,FALSE)</f>
        <v>Rags to Riches</v>
      </c>
      <c r="J2124" s="2" t="str">
        <f>VLOOKUP(ORDERS[[#This Row],[CustomerID]],customers[],4,FALSE)</f>
        <v>Las Vegas</v>
      </c>
      <c r="K2124" s="2" t="str">
        <f>VLOOKUP(ORDERS[[#This Row],[ProductID]],Products[],3,FALSE)</f>
        <v>Both</v>
      </c>
      <c r="L2124" s="2">
        <f>DAY(ORDERS[[#This Row],[OrderDate]])</f>
        <v>13</v>
      </c>
      <c r="M2124" s="2">
        <f>YEAR(ORDERS[[#This Row],[OrderDate]])</f>
        <v>2016</v>
      </c>
    </row>
    <row r="2125" spans="1:13" x14ac:dyDescent="0.3">
      <c r="A2125">
        <v>2124</v>
      </c>
      <c r="B2125">
        <v>6</v>
      </c>
      <c r="C2125">
        <v>3</v>
      </c>
      <c r="D2125" s="1">
        <v>42626</v>
      </c>
      <c r="E2125">
        <v>26</v>
      </c>
      <c r="F2125">
        <f>VLOOKUP(ORDERS[[#This Row],[ProductID]],Products[],4,FALSE)</f>
        <v>22</v>
      </c>
      <c r="G2125">
        <v>0</v>
      </c>
      <c r="H2125">
        <f>(ORDERS[[#This Row],[UnitsOrdered]]*ORDERS[[#This Row],[unit price]])-(ORDERS[[#This Row],[UnitsOrdered]]*ORDERS[[#This Row],[unit price]]*ORDERS[[#This Row],[Discount]])</f>
        <v>572</v>
      </c>
      <c r="I2125" t="str">
        <f>VLOOKUP(ORDERS[[#This Row],[CustomerID]],customers[],2,FALSE)</f>
        <v>Abracadaba Ink</v>
      </c>
      <c r="J2125" s="2" t="str">
        <f>VLOOKUP(ORDERS[[#This Row],[CustomerID]],customers[],4,FALSE)</f>
        <v>Salt Lake City</v>
      </c>
      <c r="K2125" s="2" t="str">
        <f>VLOOKUP(ORDERS[[#This Row],[ProductID]],Products[],3,FALSE)</f>
        <v>Both</v>
      </c>
      <c r="L2125" s="2">
        <f>DAY(ORDERS[[#This Row],[OrderDate]])</f>
        <v>13</v>
      </c>
      <c r="M2125" s="2">
        <f>YEAR(ORDERS[[#This Row],[OrderDate]])</f>
        <v>2016</v>
      </c>
    </row>
    <row r="2126" spans="1:13" x14ac:dyDescent="0.3">
      <c r="A2126">
        <v>2125</v>
      </c>
      <c r="B2126">
        <v>5</v>
      </c>
      <c r="C2126">
        <v>10</v>
      </c>
      <c r="D2126" s="1">
        <v>42627</v>
      </c>
      <c r="E2126">
        <v>141</v>
      </c>
      <c r="F2126">
        <f>VLOOKUP(ORDERS[[#This Row],[ProductID]],Products[],4,FALSE)</f>
        <v>35</v>
      </c>
      <c r="G2126">
        <v>0.10000000100000001</v>
      </c>
      <c r="H2126">
        <f>(ORDERS[[#This Row],[UnitsOrdered]]*ORDERS[[#This Row],[unit price]])-(ORDERS[[#This Row],[UnitsOrdered]]*ORDERS[[#This Row],[unit price]]*ORDERS[[#This Row],[Discount]])</f>
        <v>4441.4999950649999</v>
      </c>
      <c r="I2126" t="str">
        <f>VLOOKUP(ORDERS[[#This Row],[CustomerID]],customers[],2,FALSE)</f>
        <v>Rags to Riches</v>
      </c>
      <c r="J2126" s="2" t="str">
        <f>VLOOKUP(ORDERS[[#This Row],[CustomerID]],customers[],4,FALSE)</f>
        <v>Las Vegas</v>
      </c>
      <c r="K2126" s="2" t="str">
        <f>VLOOKUP(ORDERS[[#This Row],[ProductID]],Products[],3,FALSE)</f>
        <v>Male</v>
      </c>
      <c r="L2126" s="2">
        <f>DAY(ORDERS[[#This Row],[OrderDate]])</f>
        <v>14</v>
      </c>
      <c r="M2126" s="2">
        <f>YEAR(ORDERS[[#This Row],[OrderDate]])</f>
        <v>2016</v>
      </c>
    </row>
    <row r="2127" spans="1:13" x14ac:dyDescent="0.3">
      <c r="A2127">
        <v>2126</v>
      </c>
      <c r="B2127">
        <v>4</v>
      </c>
      <c r="C2127">
        <v>3</v>
      </c>
      <c r="D2127" s="1">
        <v>42628</v>
      </c>
      <c r="E2127">
        <v>121</v>
      </c>
      <c r="F2127">
        <f>VLOOKUP(ORDERS[[#This Row],[ProductID]],Products[],4,FALSE)</f>
        <v>22</v>
      </c>
      <c r="G2127">
        <v>0.10000000100000001</v>
      </c>
      <c r="H2127">
        <f>(ORDERS[[#This Row],[UnitsOrdered]]*ORDERS[[#This Row],[unit price]])-(ORDERS[[#This Row],[UnitsOrdered]]*ORDERS[[#This Row],[unit price]]*ORDERS[[#This Row],[Discount]])</f>
        <v>2395.7999973380001</v>
      </c>
      <c r="I2127" t="str">
        <f>VLOOKUP(ORDERS[[#This Row],[CustomerID]],customers[],2,FALSE)</f>
        <v>Tshirt Unlimited</v>
      </c>
      <c r="J2127" s="2" t="str">
        <f>VLOOKUP(ORDERS[[#This Row],[CustomerID]],customers[],4,FALSE)</f>
        <v>Phoenix</v>
      </c>
      <c r="K2127" s="2" t="str">
        <f>VLOOKUP(ORDERS[[#This Row],[ProductID]],Products[],3,FALSE)</f>
        <v>Both</v>
      </c>
      <c r="L2127" s="2">
        <f>DAY(ORDERS[[#This Row],[OrderDate]])</f>
        <v>15</v>
      </c>
      <c r="M2127" s="2">
        <f>YEAR(ORDERS[[#This Row],[OrderDate]])</f>
        <v>2016</v>
      </c>
    </row>
    <row r="2128" spans="1:13" x14ac:dyDescent="0.3">
      <c r="A2128">
        <v>2127</v>
      </c>
      <c r="B2128">
        <v>5</v>
      </c>
      <c r="C2128">
        <v>4</v>
      </c>
      <c r="D2128" s="1">
        <v>42628</v>
      </c>
      <c r="E2128">
        <v>44</v>
      </c>
      <c r="F2128">
        <f>VLOOKUP(ORDERS[[#This Row],[ProductID]],Products[],4,FALSE)</f>
        <v>30</v>
      </c>
      <c r="G2128">
        <v>0</v>
      </c>
      <c r="H2128">
        <f>(ORDERS[[#This Row],[UnitsOrdered]]*ORDERS[[#This Row],[unit price]])-(ORDERS[[#This Row],[UnitsOrdered]]*ORDERS[[#This Row],[unit price]]*ORDERS[[#This Row],[Discount]])</f>
        <v>1320</v>
      </c>
      <c r="I2128" t="str">
        <f>VLOOKUP(ORDERS[[#This Row],[CustomerID]],customers[],2,FALSE)</f>
        <v>Rags to Riches</v>
      </c>
      <c r="J2128" s="2" t="str">
        <f>VLOOKUP(ORDERS[[#This Row],[CustomerID]],customers[],4,FALSE)</f>
        <v>Las Vegas</v>
      </c>
      <c r="K2128" s="2" t="str">
        <f>VLOOKUP(ORDERS[[#This Row],[ProductID]],Products[],3,FALSE)</f>
        <v>Both</v>
      </c>
      <c r="L2128" s="2">
        <f>DAY(ORDERS[[#This Row],[OrderDate]])</f>
        <v>15</v>
      </c>
      <c r="M2128" s="2">
        <f>YEAR(ORDERS[[#This Row],[OrderDate]])</f>
        <v>2016</v>
      </c>
    </row>
    <row r="2129" spans="1:13" x14ac:dyDescent="0.3">
      <c r="A2129">
        <v>2128</v>
      </c>
      <c r="B2129">
        <v>7</v>
      </c>
      <c r="C2129">
        <v>4</v>
      </c>
      <c r="D2129" s="1">
        <v>42628</v>
      </c>
      <c r="E2129">
        <v>70</v>
      </c>
      <c r="F2129">
        <f>VLOOKUP(ORDERS[[#This Row],[ProductID]],Products[],4,FALSE)</f>
        <v>30</v>
      </c>
      <c r="G2129">
        <v>0</v>
      </c>
      <c r="H2129">
        <f>(ORDERS[[#This Row],[UnitsOrdered]]*ORDERS[[#This Row],[unit price]])-(ORDERS[[#This Row],[UnitsOrdered]]*ORDERS[[#This Row],[unit price]]*ORDERS[[#This Row],[Discount]])</f>
        <v>2100</v>
      </c>
      <c r="I2129" t="str">
        <f>VLOOKUP(ORDERS[[#This Row],[CustomerID]],customers[],2,FALSE)</f>
        <v>The Shirt on Your Back</v>
      </c>
      <c r="J2129" s="2" t="str">
        <f>VLOOKUP(ORDERS[[#This Row],[CustomerID]],customers[],4,FALSE)</f>
        <v>Bonners Ferry</v>
      </c>
      <c r="K2129" s="2" t="str">
        <f>VLOOKUP(ORDERS[[#This Row],[ProductID]],Products[],3,FALSE)</f>
        <v>Both</v>
      </c>
      <c r="L2129" s="2">
        <f>DAY(ORDERS[[#This Row],[OrderDate]])</f>
        <v>15</v>
      </c>
      <c r="M2129" s="2">
        <f>YEAR(ORDERS[[#This Row],[OrderDate]])</f>
        <v>2016</v>
      </c>
    </row>
    <row r="2130" spans="1:13" x14ac:dyDescent="0.3">
      <c r="A2130">
        <v>2129</v>
      </c>
      <c r="B2130">
        <v>1</v>
      </c>
      <c r="C2130">
        <v>7</v>
      </c>
      <c r="D2130" s="1">
        <v>42632</v>
      </c>
      <c r="E2130">
        <v>41</v>
      </c>
      <c r="F2130">
        <f>VLOOKUP(ORDERS[[#This Row],[ProductID]],Products[],4,FALSE)</f>
        <v>38</v>
      </c>
      <c r="G2130">
        <v>0</v>
      </c>
      <c r="H2130">
        <f>(ORDERS[[#This Row],[UnitsOrdered]]*ORDERS[[#This Row],[unit price]])-(ORDERS[[#This Row],[UnitsOrdered]]*ORDERS[[#This Row],[unit price]]*ORDERS[[#This Row],[Discount]])</f>
        <v>1558</v>
      </c>
      <c r="I2130" t="str">
        <f>VLOOKUP(ORDERS[[#This Row],[CustomerID]],customers[],2,FALSE)</f>
        <v>Threads</v>
      </c>
      <c r="J2130" s="2" t="str">
        <f>VLOOKUP(ORDERS[[#This Row],[CustomerID]],customers[],4,FALSE)</f>
        <v>Seattle</v>
      </c>
      <c r="K2130" s="2" t="str">
        <f>VLOOKUP(ORDERS[[#This Row],[ProductID]],Products[],3,FALSE)</f>
        <v>Female</v>
      </c>
      <c r="L2130" s="2">
        <f>DAY(ORDERS[[#This Row],[OrderDate]])</f>
        <v>19</v>
      </c>
      <c r="M2130" s="2">
        <f>YEAR(ORDERS[[#This Row],[OrderDate]])</f>
        <v>2016</v>
      </c>
    </row>
    <row r="2131" spans="1:13" x14ac:dyDescent="0.3">
      <c r="A2131">
        <v>2130</v>
      </c>
      <c r="B2131">
        <v>7</v>
      </c>
      <c r="C2131">
        <v>6</v>
      </c>
      <c r="D2131" s="1">
        <v>42632</v>
      </c>
      <c r="E2131">
        <v>41</v>
      </c>
      <c r="F2131">
        <f>VLOOKUP(ORDERS[[#This Row],[ProductID]],Products[],4,FALSE)</f>
        <v>28</v>
      </c>
      <c r="G2131">
        <v>0.10000000100000001</v>
      </c>
      <c r="H2131">
        <f>(ORDERS[[#This Row],[UnitsOrdered]]*ORDERS[[#This Row],[unit price]])-(ORDERS[[#This Row],[UnitsOrdered]]*ORDERS[[#This Row],[unit price]]*ORDERS[[#This Row],[Discount]])</f>
        <v>1033.1999988519999</v>
      </c>
      <c r="I2131" t="str">
        <f>VLOOKUP(ORDERS[[#This Row],[CustomerID]],customers[],2,FALSE)</f>
        <v>The Shirt on Your Back</v>
      </c>
      <c r="J2131" s="2" t="str">
        <f>VLOOKUP(ORDERS[[#This Row],[CustomerID]],customers[],4,FALSE)</f>
        <v>Bonners Ferry</v>
      </c>
      <c r="K2131" s="2" t="str">
        <f>VLOOKUP(ORDERS[[#This Row],[ProductID]],Products[],3,FALSE)</f>
        <v>Female</v>
      </c>
      <c r="L2131" s="2">
        <f>DAY(ORDERS[[#This Row],[OrderDate]])</f>
        <v>19</v>
      </c>
      <c r="M2131" s="2">
        <f>YEAR(ORDERS[[#This Row],[OrderDate]])</f>
        <v>2016</v>
      </c>
    </row>
    <row r="2132" spans="1:13" x14ac:dyDescent="0.3">
      <c r="A2132">
        <v>2131</v>
      </c>
      <c r="B2132">
        <v>2</v>
      </c>
      <c r="C2132">
        <v>10</v>
      </c>
      <c r="D2132" s="1">
        <v>42635</v>
      </c>
      <c r="E2132">
        <v>51</v>
      </c>
      <c r="F2132">
        <f>VLOOKUP(ORDERS[[#This Row],[ProductID]],Products[],4,FALSE)</f>
        <v>35</v>
      </c>
      <c r="G2132">
        <v>0</v>
      </c>
      <c r="H2132">
        <f>(ORDERS[[#This Row],[UnitsOrdered]]*ORDERS[[#This Row],[unit price]])-(ORDERS[[#This Row],[UnitsOrdered]]*ORDERS[[#This Row],[unit price]]*ORDERS[[#This Row],[Discount]])</f>
        <v>1785</v>
      </c>
      <c r="I2132" t="str">
        <f>VLOOKUP(ORDERS[[#This Row],[CustomerID]],customers[],2,FALSE)</f>
        <v>A Shirts Life</v>
      </c>
      <c r="J2132" s="2" t="str">
        <f>VLOOKUP(ORDERS[[#This Row],[CustomerID]],customers[],4,FALSE)</f>
        <v>Portland</v>
      </c>
      <c r="K2132" s="2" t="str">
        <f>VLOOKUP(ORDERS[[#This Row],[ProductID]],Products[],3,FALSE)</f>
        <v>Male</v>
      </c>
      <c r="L2132" s="2">
        <f>DAY(ORDERS[[#This Row],[OrderDate]])</f>
        <v>22</v>
      </c>
      <c r="M2132" s="2">
        <f>YEAR(ORDERS[[#This Row],[OrderDate]])</f>
        <v>2016</v>
      </c>
    </row>
    <row r="2133" spans="1:13" x14ac:dyDescent="0.3">
      <c r="A2133">
        <v>2132</v>
      </c>
      <c r="B2133">
        <v>4</v>
      </c>
      <c r="C2133">
        <v>6</v>
      </c>
      <c r="D2133" s="1">
        <v>42635</v>
      </c>
      <c r="E2133">
        <v>47</v>
      </c>
      <c r="F2133">
        <f>VLOOKUP(ORDERS[[#This Row],[ProductID]],Products[],4,FALSE)</f>
        <v>28</v>
      </c>
      <c r="G2133">
        <v>0.10000000100000001</v>
      </c>
      <c r="H2133">
        <f>(ORDERS[[#This Row],[UnitsOrdered]]*ORDERS[[#This Row],[unit price]])-(ORDERS[[#This Row],[UnitsOrdered]]*ORDERS[[#This Row],[unit price]]*ORDERS[[#This Row],[Discount]])</f>
        <v>1184.3999986839999</v>
      </c>
      <c r="I2133" t="str">
        <f>VLOOKUP(ORDERS[[#This Row],[CustomerID]],customers[],2,FALSE)</f>
        <v>Tshirt Unlimited</v>
      </c>
      <c r="J2133" s="2" t="str">
        <f>VLOOKUP(ORDERS[[#This Row],[CustomerID]],customers[],4,FALSE)</f>
        <v>Phoenix</v>
      </c>
      <c r="K2133" s="2" t="str">
        <f>VLOOKUP(ORDERS[[#This Row],[ProductID]],Products[],3,FALSE)</f>
        <v>Female</v>
      </c>
      <c r="L2133" s="2">
        <f>DAY(ORDERS[[#This Row],[OrderDate]])</f>
        <v>22</v>
      </c>
      <c r="M2133" s="2">
        <f>YEAR(ORDERS[[#This Row],[OrderDate]])</f>
        <v>2016</v>
      </c>
    </row>
    <row r="2134" spans="1:13" x14ac:dyDescent="0.3">
      <c r="A2134">
        <v>2133</v>
      </c>
      <c r="B2134">
        <v>6</v>
      </c>
      <c r="C2134">
        <v>4</v>
      </c>
      <c r="D2134" s="1">
        <v>42635</v>
      </c>
      <c r="E2134">
        <v>29</v>
      </c>
      <c r="F2134">
        <f>VLOOKUP(ORDERS[[#This Row],[ProductID]],Products[],4,FALSE)</f>
        <v>30</v>
      </c>
      <c r="G2134">
        <v>0</v>
      </c>
      <c r="H2134">
        <f>(ORDERS[[#This Row],[UnitsOrdered]]*ORDERS[[#This Row],[unit price]])-(ORDERS[[#This Row],[UnitsOrdered]]*ORDERS[[#This Row],[unit price]]*ORDERS[[#This Row],[Discount]])</f>
        <v>870</v>
      </c>
      <c r="I2134" t="str">
        <f>VLOOKUP(ORDERS[[#This Row],[CustomerID]],customers[],2,FALSE)</f>
        <v>Abracadaba Ink</v>
      </c>
      <c r="J2134" s="2" t="str">
        <f>VLOOKUP(ORDERS[[#This Row],[CustomerID]],customers[],4,FALSE)</f>
        <v>Salt Lake City</v>
      </c>
      <c r="K2134" s="2" t="str">
        <f>VLOOKUP(ORDERS[[#This Row],[ProductID]],Products[],3,FALSE)</f>
        <v>Both</v>
      </c>
      <c r="L2134" s="2">
        <f>DAY(ORDERS[[#This Row],[OrderDate]])</f>
        <v>22</v>
      </c>
      <c r="M2134" s="2">
        <f>YEAR(ORDERS[[#This Row],[OrderDate]])</f>
        <v>2016</v>
      </c>
    </row>
    <row r="2135" spans="1:13" x14ac:dyDescent="0.3">
      <c r="A2135">
        <v>2134</v>
      </c>
      <c r="B2135">
        <v>6</v>
      </c>
      <c r="C2135">
        <v>6</v>
      </c>
      <c r="D2135" s="1">
        <v>42635</v>
      </c>
      <c r="E2135">
        <v>68</v>
      </c>
      <c r="F2135">
        <f>VLOOKUP(ORDERS[[#This Row],[ProductID]],Products[],4,FALSE)</f>
        <v>28</v>
      </c>
      <c r="G2135">
        <v>0</v>
      </c>
      <c r="H2135">
        <f>(ORDERS[[#This Row],[UnitsOrdered]]*ORDERS[[#This Row],[unit price]])-(ORDERS[[#This Row],[UnitsOrdered]]*ORDERS[[#This Row],[unit price]]*ORDERS[[#This Row],[Discount]])</f>
        <v>1904</v>
      </c>
      <c r="I2135" t="str">
        <f>VLOOKUP(ORDERS[[#This Row],[CustomerID]],customers[],2,FALSE)</f>
        <v>Abracadaba Ink</v>
      </c>
      <c r="J2135" s="2" t="str">
        <f>VLOOKUP(ORDERS[[#This Row],[CustomerID]],customers[],4,FALSE)</f>
        <v>Salt Lake City</v>
      </c>
      <c r="K2135" s="2" t="str">
        <f>VLOOKUP(ORDERS[[#This Row],[ProductID]],Products[],3,FALSE)</f>
        <v>Female</v>
      </c>
      <c r="L2135" s="2">
        <f>DAY(ORDERS[[#This Row],[OrderDate]])</f>
        <v>22</v>
      </c>
      <c r="M2135" s="2">
        <f>YEAR(ORDERS[[#This Row],[OrderDate]])</f>
        <v>2016</v>
      </c>
    </row>
    <row r="2136" spans="1:13" x14ac:dyDescent="0.3">
      <c r="A2136">
        <v>2135</v>
      </c>
      <c r="B2136">
        <v>6</v>
      </c>
      <c r="C2136">
        <v>8</v>
      </c>
      <c r="D2136" s="1">
        <v>42635</v>
      </c>
      <c r="E2136">
        <v>113</v>
      </c>
      <c r="F2136">
        <f>VLOOKUP(ORDERS[[#This Row],[ProductID]],Products[],4,FALSE)</f>
        <v>27</v>
      </c>
      <c r="G2136">
        <v>0</v>
      </c>
      <c r="H2136">
        <f>(ORDERS[[#This Row],[UnitsOrdered]]*ORDERS[[#This Row],[unit price]])-(ORDERS[[#This Row],[UnitsOrdered]]*ORDERS[[#This Row],[unit price]]*ORDERS[[#This Row],[Discount]])</f>
        <v>3051</v>
      </c>
      <c r="I2136" t="str">
        <f>VLOOKUP(ORDERS[[#This Row],[CustomerID]],customers[],2,FALSE)</f>
        <v>Abracadaba Ink</v>
      </c>
      <c r="J2136" s="2" t="str">
        <f>VLOOKUP(ORDERS[[#This Row],[CustomerID]],customers[],4,FALSE)</f>
        <v>Salt Lake City</v>
      </c>
      <c r="K2136" s="2" t="str">
        <f>VLOOKUP(ORDERS[[#This Row],[ProductID]],Products[],3,FALSE)</f>
        <v>Female</v>
      </c>
      <c r="L2136" s="2">
        <f>DAY(ORDERS[[#This Row],[OrderDate]])</f>
        <v>22</v>
      </c>
      <c r="M2136" s="2">
        <f>YEAR(ORDERS[[#This Row],[OrderDate]])</f>
        <v>2016</v>
      </c>
    </row>
    <row r="2137" spans="1:13" x14ac:dyDescent="0.3">
      <c r="A2137">
        <v>2136</v>
      </c>
      <c r="B2137">
        <v>3</v>
      </c>
      <c r="C2137">
        <v>1</v>
      </c>
      <c r="D2137" s="1">
        <v>42636</v>
      </c>
      <c r="E2137">
        <v>27</v>
      </c>
      <c r="F2137">
        <f>VLOOKUP(ORDERS[[#This Row],[ProductID]],Products[],4,FALSE)</f>
        <v>20</v>
      </c>
      <c r="G2137">
        <v>0</v>
      </c>
      <c r="H2137">
        <f>(ORDERS[[#This Row],[UnitsOrdered]]*ORDERS[[#This Row],[unit price]])-(ORDERS[[#This Row],[UnitsOrdered]]*ORDERS[[#This Row],[unit price]]*ORDERS[[#This Row],[Discount]])</f>
        <v>540</v>
      </c>
      <c r="I2137" t="str">
        <f>VLOOKUP(ORDERS[[#This Row],[CustomerID]],customers[],2,FALSE)</f>
        <v>Shirts R Us</v>
      </c>
      <c r="J2137" s="2" t="str">
        <f>VLOOKUP(ORDERS[[#This Row],[CustomerID]],customers[],4,FALSE)</f>
        <v>Los Angeles</v>
      </c>
      <c r="K2137" s="2" t="str">
        <f>VLOOKUP(ORDERS[[#This Row],[ProductID]],Products[],3,FALSE)</f>
        <v>Both</v>
      </c>
      <c r="L2137" s="2">
        <f>DAY(ORDERS[[#This Row],[OrderDate]])</f>
        <v>23</v>
      </c>
      <c r="M2137" s="2">
        <f>YEAR(ORDERS[[#This Row],[OrderDate]])</f>
        <v>2016</v>
      </c>
    </row>
    <row r="2138" spans="1:13" x14ac:dyDescent="0.3">
      <c r="A2138">
        <v>2137</v>
      </c>
      <c r="B2138">
        <v>5</v>
      </c>
      <c r="C2138">
        <v>4</v>
      </c>
      <c r="D2138" s="1">
        <v>42639</v>
      </c>
      <c r="E2138">
        <v>71</v>
      </c>
      <c r="F2138">
        <f>VLOOKUP(ORDERS[[#This Row],[ProductID]],Products[],4,FALSE)</f>
        <v>30</v>
      </c>
      <c r="G2138">
        <v>0</v>
      </c>
      <c r="H2138">
        <f>(ORDERS[[#This Row],[UnitsOrdered]]*ORDERS[[#This Row],[unit price]])-(ORDERS[[#This Row],[UnitsOrdered]]*ORDERS[[#This Row],[unit price]]*ORDERS[[#This Row],[Discount]])</f>
        <v>2130</v>
      </c>
      <c r="I2138" t="str">
        <f>VLOOKUP(ORDERS[[#This Row],[CustomerID]],customers[],2,FALSE)</f>
        <v>Rags to Riches</v>
      </c>
      <c r="J2138" s="2" t="str">
        <f>VLOOKUP(ORDERS[[#This Row],[CustomerID]],customers[],4,FALSE)</f>
        <v>Las Vegas</v>
      </c>
      <c r="K2138" s="2" t="str">
        <f>VLOOKUP(ORDERS[[#This Row],[ProductID]],Products[],3,FALSE)</f>
        <v>Both</v>
      </c>
      <c r="L2138" s="2">
        <f>DAY(ORDERS[[#This Row],[OrderDate]])</f>
        <v>26</v>
      </c>
      <c r="M2138" s="2">
        <f>YEAR(ORDERS[[#This Row],[OrderDate]])</f>
        <v>2016</v>
      </c>
    </row>
    <row r="2139" spans="1:13" x14ac:dyDescent="0.3">
      <c r="A2139">
        <v>2138</v>
      </c>
      <c r="B2139">
        <v>7</v>
      </c>
      <c r="C2139">
        <v>8</v>
      </c>
      <c r="D2139" s="1">
        <v>42639</v>
      </c>
      <c r="E2139">
        <v>47</v>
      </c>
      <c r="F2139">
        <f>VLOOKUP(ORDERS[[#This Row],[ProductID]],Products[],4,FALSE)</f>
        <v>27</v>
      </c>
      <c r="G2139">
        <v>0</v>
      </c>
      <c r="H2139">
        <f>(ORDERS[[#This Row],[UnitsOrdered]]*ORDERS[[#This Row],[unit price]])-(ORDERS[[#This Row],[UnitsOrdered]]*ORDERS[[#This Row],[unit price]]*ORDERS[[#This Row],[Discount]])</f>
        <v>1269</v>
      </c>
      <c r="I2139" t="str">
        <f>VLOOKUP(ORDERS[[#This Row],[CustomerID]],customers[],2,FALSE)</f>
        <v>The Shirt on Your Back</v>
      </c>
      <c r="J2139" s="2" t="str">
        <f>VLOOKUP(ORDERS[[#This Row],[CustomerID]],customers[],4,FALSE)</f>
        <v>Bonners Ferry</v>
      </c>
      <c r="K2139" s="2" t="str">
        <f>VLOOKUP(ORDERS[[#This Row],[ProductID]],Products[],3,FALSE)</f>
        <v>Female</v>
      </c>
      <c r="L2139" s="2">
        <f>DAY(ORDERS[[#This Row],[OrderDate]])</f>
        <v>26</v>
      </c>
      <c r="M2139" s="2">
        <f>YEAR(ORDERS[[#This Row],[OrderDate]])</f>
        <v>2016</v>
      </c>
    </row>
    <row r="2140" spans="1:13" x14ac:dyDescent="0.3">
      <c r="A2140">
        <v>2139</v>
      </c>
      <c r="B2140">
        <v>7</v>
      </c>
      <c r="C2140">
        <v>10</v>
      </c>
      <c r="D2140" s="1">
        <v>42639</v>
      </c>
      <c r="E2140">
        <v>77</v>
      </c>
      <c r="F2140">
        <f>VLOOKUP(ORDERS[[#This Row],[ProductID]],Products[],4,FALSE)</f>
        <v>35</v>
      </c>
      <c r="G2140">
        <v>0</v>
      </c>
      <c r="H2140">
        <f>(ORDERS[[#This Row],[UnitsOrdered]]*ORDERS[[#This Row],[unit price]])-(ORDERS[[#This Row],[UnitsOrdered]]*ORDERS[[#This Row],[unit price]]*ORDERS[[#This Row],[Discount]])</f>
        <v>2695</v>
      </c>
      <c r="I2140" t="str">
        <f>VLOOKUP(ORDERS[[#This Row],[CustomerID]],customers[],2,FALSE)</f>
        <v>The Shirt on Your Back</v>
      </c>
      <c r="J2140" s="2" t="str">
        <f>VLOOKUP(ORDERS[[#This Row],[CustomerID]],customers[],4,FALSE)</f>
        <v>Bonners Ferry</v>
      </c>
      <c r="K2140" s="2" t="str">
        <f>VLOOKUP(ORDERS[[#This Row],[ProductID]],Products[],3,FALSE)</f>
        <v>Male</v>
      </c>
      <c r="L2140" s="2">
        <f>DAY(ORDERS[[#This Row],[OrderDate]])</f>
        <v>26</v>
      </c>
      <c r="M2140" s="2">
        <f>YEAR(ORDERS[[#This Row],[OrderDate]])</f>
        <v>2016</v>
      </c>
    </row>
    <row r="2141" spans="1:13" x14ac:dyDescent="0.3">
      <c r="A2141">
        <v>2140</v>
      </c>
      <c r="B2141">
        <v>4</v>
      </c>
      <c r="C2141">
        <v>7</v>
      </c>
      <c r="D2141" s="1">
        <v>42640</v>
      </c>
      <c r="E2141">
        <v>115</v>
      </c>
      <c r="F2141">
        <f>VLOOKUP(ORDERS[[#This Row],[ProductID]],Products[],4,FALSE)</f>
        <v>38</v>
      </c>
      <c r="G2141">
        <v>0</v>
      </c>
      <c r="H2141">
        <f>(ORDERS[[#This Row],[UnitsOrdered]]*ORDERS[[#This Row],[unit price]])-(ORDERS[[#This Row],[UnitsOrdered]]*ORDERS[[#This Row],[unit price]]*ORDERS[[#This Row],[Discount]])</f>
        <v>4370</v>
      </c>
      <c r="I2141" t="str">
        <f>VLOOKUP(ORDERS[[#This Row],[CustomerID]],customers[],2,FALSE)</f>
        <v>Tshirt Unlimited</v>
      </c>
      <c r="J2141" s="2" t="str">
        <f>VLOOKUP(ORDERS[[#This Row],[CustomerID]],customers[],4,FALSE)</f>
        <v>Phoenix</v>
      </c>
      <c r="K2141" s="2" t="str">
        <f>VLOOKUP(ORDERS[[#This Row],[ProductID]],Products[],3,FALSE)</f>
        <v>Female</v>
      </c>
      <c r="L2141" s="2">
        <f>DAY(ORDERS[[#This Row],[OrderDate]])</f>
        <v>27</v>
      </c>
      <c r="M2141" s="2">
        <f>YEAR(ORDERS[[#This Row],[OrderDate]])</f>
        <v>2016</v>
      </c>
    </row>
    <row r="2142" spans="1:13" x14ac:dyDescent="0.3">
      <c r="A2142">
        <v>2141</v>
      </c>
      <c r="B2142">
        <v>2</v>
      </c>
      <c r="C2142">
        <v>1</v>
      </c>
      <c r="D2142" s="1">
        <v>42642</v>
      </c>
      <c r="E2142">
        <v>31</v>
      </c>
      <c r="F2142">
        <f>VLOOKUP(ORDERS[[#This Row],[ProductID]],Products[],4,FALSE)</f>
        <v>20</v>
      </c>
      <c r="G2142">
        <v>0</v>
      </c>
      <c r="H2142">
        <f>(ORDERS[[#This Row],[UnitsOrdered]]*ORDERS[[#This Row],[unit price]])-(ORDERS[[#This Row],[UnitsOrdered]]*ORDERS[[#This Row],[unit price]]*ORDERS[[#This Row],[Discount]])</f>
        <v>620</v>
      </c>
      <c r="I2142" t="str">
        <f>VLOOKUP(ORDERS[[#This Row],[CustomerID]],customers[],2,FALSE)</f>
        <v>A Shirts Life</v>
      </c>
      <c r="J2142" s="2" t="str">
        <f>VLOOKUP(ORDERS[[#This Row],[CustomerID]],customers[],4,FALSE)</f>
        <v>Portland</v>
      </c>
      <c r="K2142" s="2" t="str">
        <f>VLOOKUP(ORDERS[[#This Row],[ProductID]],Products[],3,FALSE)</f>
        <v>Both</v>
      </c>
      <c r="L2142" s="2">
        <f>DAY(ORDERS[[#This Row],[OrderDate]])</f>
        <v>29</v>
      </c>
      <c r="M2142" s="2">
        <f>YEAR(ORDERS[[#This Row],[OrderDate]])</f>
        <v>2016</v>
      </c>
    </row>
    <row r="2143" spans="1:13" x14ac:dyDescent="0.3">
      <c r="A2143">
        <v>2142</v>
      </c>
      <c r="B2143">
        <v>5</v>
      </c>
      <c r="C2143">
        <v>1</v>
      </c>
      <c r="D2143" s="1">
        <v>42642</v>
      </c>
      <c r="E2143">
        <v>75</v>
      </c>
      <c r="F2143">
        <f>VLOOKUP(ORDERS[[#This Row],[ProductID]],Products[],4,FALSE)</f>
        <v>20</v>
      </c>
      <c r="G2143">
        <v>0</v>
      </c>
      <c r="H2143">
        <f>(ORDERS[[#This Row],[UnitsOrdered]]*ORDERS[[#This Row],[unit price]])-(ORDERS[[#This Row],[UnitsOrdered]]*ORDERS[[#This Row],[unit price]]*ORDERS[[#This Row],[Discount]])</f>
        <v>1500</v>
      </c>
      <c r="I2143" t="str">
        <f>VLOOKUP(ORDERS[[#This Row],[CustomerID]],customers[],2,FALSE)</f>
        <v>Rags to Riches</v>
      </c>
      <c r="J2143" s="2" t="str">
        <f>VLOOKUP(ORDERS[[#This Row],[CustomerID]],customers[],4,FALSE)</f>
        <v>Las Vegas</v>
      </c>
      <c r="K2143" s="2" t="str">
        <f>VLOOKUP(ORDERS[[#This Row],[ProductID]],Products[],3,FALSE)</f>
        <v>Both</v>
      </c>
      <c r="L2143" s="2">
        <f>DAY(ORDERS[[#This Row],[OrderDate]])</f>
        <v>29</v>
      </c>
      <c r="M2143" s="2">
        <f>YEAR(ORDERS[[#This Row],[OrderDate]])</f>
        <v>2016</v>
      </c>
    </row>
    <row r="2144" spans="1:13" x14ac:dyDescent="0.3">
      <c r="A2144">
        <v>2143</v>
      </c>
      <c r="B2144">
        <v>6</v>
      </c>
      <c r="C2144">
        <v>9</v>
      </c>
      <c r="D2144" s="1">
        <v>42642</v>
      </c>
      <c r="E2144">
        <v>147</v>
      </c>
      <c r="F2144">
        <f>VLOOKUP(ORDERS[[#This Row],[ProductID]],Products[],4,FALSE)</f>
        <v>25</v>
      </c>
      <c r="G2144">
        <v>0</v>
      </c>
      <c r="H2144">
        <f>(ORDERS[[#This Row],[UnitsOrdered]]*ORDERS[[#This Row],[unit price]])-(ORDERS[[#This Row],[UnitsOrdered]]*ORDERS[[#This Row],[unit price]]*ORDERS[[#This Row],[Discount]])</f>
        <v>3675</v>
      </c>
      <c r="I2144" t="str">
        <f>VLOOKUP(ORDERS[[#This Row],[CustomerID]],customers[],2,FALSE)</f>
        <v>Abracadaba Ink</v>
      </c>
      <c r="J2144" s="2" t="str">
        <f>VLOOKUP(ORDERS[[#This Row],[CustomerID]],customers[],4,FALSE)</f>
        <v>Salt Lake City</v>
      </c>
      <c r="K2144" s="2" t="str">
        <f>VLOOKUP(ORDERS[[#This Row],[ProductID]],Products[],3,FALSE)</f>
        <v>Male</v>
      </c>
      <c r="L2144" s="2">
        <f>DAY(ORDERS[[#This Row],[OrderDate]])</f>
        <v>29</v>
      </c>
      <c r="M2144" s="2">
        <f>YEAR(ORDERS[[#This Row],[OrderDate]])</f>
        <v>2016</v>
      </c>
    </row>
    <row r="2145" spans="1:13" x14ac:dyDescent="0.3">
      <c r="A2145">
        <v>2144</v>
      </c>
      <c r="B2145">
        <v>7</v>
      </c>
      <c r="C2145">
        <v>2</v>
      </c>
      <c r="D2145" s="1">
        <v>42642</v>
      </c>
      <c r="E2145">
        <v>25</v>
      </c>
      <c r="F2145">
        <f>VLOOKUP(ORDERS[[#This Row],[ProductID]],Products[],4,FALSE)</f>
        <v>30</v>
      </c>
      <c r="G2145">
        <v>0</v>
      </c>
      <c r="H2145">
        <f>(ORDERS[[#This Row],[UnitsOrdered]]*ORDERS[[#This Row],[unit price]])-(ORDERS[[#This Row],[UnitsOrdered]]*ORDERS[[#This Row],[unit price]]*ORDERS[[#This Row],[Discount]])</f>
        <v>750</v>
      </c>
      <c r="I2145" t="str">
        <f>VLOOKUP(ORDERS[[#This Row],[CustomerID]],customers[],2,FALSE)</f>
        <v>The Shirt on Your Back</v>
      </c>
      <c r="J2145" s="2" t="str">
        <f>VLOOKUP(ORDERS[[#This Row],[CustomerID]],customers[],4,FALSE)</f>
        <v>Bonners Ferry</v>
      </c>
      <c r="K2145" s="2" t="str">
        <f>VLOOKUP(ORDERS[[#This Row],[ProductID]],Products[],3,FALSE)</f>
        <v>Both</v>
      </c>
      <c r="L2145" s="2">
        <f>DAY(ORDERS[[#This Row],[OrderDate]])</f>
        <v>29</v>
      </c>
      <c r="M2145" s="2">
        <f>YEAR(ORDERS[[#This Row],[OrderDate]])</f>
        <v>2016</v>
      </c>
    </row>
    <row r="2146" spans="1:13" x14ac:dyDescent="0.3">
      <c r="A2146">
        <v>2145</v>
      </c>
      <c r="B2146">
        <v>7</v>
      </c>
      <c r="C2146">
        <v>8</v>
      </c>
      <c r="D2146" s="1">
        <v>42643</v>
      </c>
      <c r="E2146">
        <v>90</v>
      </c>
      <c r="F2146">
        <f>VLOOKUP(ORDERS[[#This Row],[ProductID]],Products[],4,FALSE)</f>
        <v>27</v>
      </c>
      <c r="G2146">
        <v>0</v>
      </c>
      <c r="H2146">
        <f>(ORDERS[[#This Row],[UnitsOrdered]]*ORDERS[[#This Row],[unit price]])-(ORDERS[[#This Row],[UnitsOrdered]]*ORDERS[[#This Row],[unit price]]*ORDERS[[#This Row],[Discount]])</f>
        <v>2430</v>
      </c>
      <c r="I2146" t="str">
        <f>VLOOKUP(ORDERS[[#This Row],[CustomerID]],customers[],2,FALSE)</f>
        <v>The Shirt on Your Back</v>
      </c>
      <c r="J2146" s="2" t="str">
        <f>VLOOKUP(ORDERS[[#This Row],[CustomerID]],customers[],4,FALSE)</f>
        <v>Bonners Ferry</v>
      </c>
      <c r="K2146" s="2" t="str">
        <f>VLOOKUP(ORDERS[[#This Row],[ProductID]],Products[],3,FALSE)</f>
        <v>Female</v>
      </c>
      <c r="L2146" s="2">
        <f>DAY(ORDERS[[#This Row],[OrderDate]])</f>
        <v>30</v>
      </c>
      <c r="M2146" s="2">
        <f>YEAR(ORDERS[[#This Row],[OrderDate]])</f>
        <v>2016</v>
      </c>
    </row>
    <row r="2147" spans="1:13" x14ac:dyDescent="0.3">
      <c r="A2147">
        <v>2146</v>
      </c>
      <c r="B2147">
        <v>4</v>
      </c>
      <c r="C2147">
        <v>4</v>
      </c>
      <c r="D2147" s="1">
        <v>42644</v>
      </c>
      <c r="E2147">
        <v>106</v>
      </c>
      <c r="F2147">
        <f>VLOOKUP(ORDERS[[#This Row],[ProductID]],Products[],4,FALSE)</f>
        <v>30</v>
      </c>
      <c r="G2147">
        <v>0</v>
      </c>
      <c r="H2147">
        <f>(ORDERS[[#This Row],[UnitsOrdered]]*ORDERS[[#This Row],[unit price]])-(ORDERS[[#This Row],[UnitsOrdered]]*ORDERS[[#This Row],[unit price]]*ORDERS[[#This Row],[Discount]])</f>
        <v>3180</v>
      </c>
      <c r="I2147" t="str">
        <f>VLOOKUP(ORDERS[[#This Row],[CustomerID]],customers[],2,FALSE)</f>
        <v>Tshirt Unlimited</v>
      </c>
      <c r="J2147" s="2" t="str">
        <f>VLOOKUP(ORDERS[[#This Row],[CustomerID]],customers[],4,FALSE)</f>
        <v>Phoenix</v>
      </c>
      <c r="K2147" s="2" t="str">
        <f>VLOOKUP(ORDERS[[#This Row],[ProductID]],Products[],3,FALSE)</f>
        <v>Both</v>
      </c>
      <c r="L2147" s="2">
        <f>DAY(ORDERS[[#This Row],[OrderDate]])</f>
        <v>1</v>
      </c>
      <c r="M2147" s="2">
        <f>YEAR(ORDERS[[#This Row],[OrderDate]])</f>
        <v>2016</v>
      </c>
    </row>
    <row r="2148" spans="1:13" x14ac:dyDescent="0.3">
      <c r="A2148">
        <v>2147</v>
      </c>
      <c r="B2148">
        <v>1</v>
      </c>
      <c r="C2148">
        <v>2</v>
      </c>
      <c r="D2148" s="1">
        <v>42647</v>
      </c>
      <c r="E2148">
        <v>80</v>
      </c>
      <c r="F2148">
        <f>VLOOKUP(ORDERS[[#This Row],[ProductID]],Products[],4,FALSE)</f>
        <v>30</v>
      </c>
      <c r="G2148">
        <v>0</v>
      </c>
      <c r="H2148">
        <f>(ORDERS[[#This Row],[UnitsOrdered]]*ORDERS[[#This Row],[unit price]])-(ORDERS[[#This Row],[UnitsOrdered]]*ORDERS[[#This Row],[unit price]]*ORDERS[[#This Row],[Discount]])</f>
        <v>2400</v>
      </c>
      <c r="I2148" t="str">
        <f>VLOOKUP(ORDERS[[#This Row],[CustomerID]],customers[],2,FALSE)</f>
        <v>Threads</v>
      </c>
      <c r="J2148" s="2" t="str">
        <f>VLOOKUP(ORDERS[[#This Row],[CustomerID]],customers[],4,FALSE)</f>
        <v>Seattle</v>
      </c>
      <c r="K2148" s="2" t="str">
        <f>VLOOKUP(ORDERS[[#This Row],[ProductID]],Products[],3,FALSE)</f>
        <v>Both</v>
      </c>
      <c r="L2148" s="2">
        <f>DAY(ORDERS[[#This Row],[OrderDate]])</f>
        <v>4</v>
      </c>
      <c r="M2148" s="2">
        <f>YEAR(ORDERS[[#This Row],[OrderDate]])</f>
        <v>2016</v>
      </c>
    </row>
    <row r="2149" spans="1:13" x14ac:dyDescent="0.3">
      <c r="A2149">
        <v>2148</v>
      </c>
      <c r="B2149">
        <v>2</v>
      </c>
      <c r="C2149">
        <v>9</v>
      </c>
      <c r="D2149" s="1">
        <v>42648</v>
      </c>
      <c r="E2149">
        <v>36</v>
      </c>
      <c r="F2149">
        <f>VLOOKUP(ORDERS[[#This Row],[ProductID]],Products[],4,FALSE)</f>
        <v>25</v>
      </c>
      <c r="G2149">
        <v>0</v>
      </c>
      <c r="H2149">
        <f>(ORDERS[[#This Row],[UnitsOrdered]]*ORDERS[[#This Row],[unit price]])-(ORDERS[[#This Row],[UnitsOrdered]]*ORDERS[[#This Row],[unit price]]*ORDERS[[#This Row],[Discount]])</f>
        <v>900</v>
      </c>
      <c r="I2149" t="str">
        <f>VLOOKUP(ORDERS[[#This Row],[CustomerID]],customers[],2,FALSE)</f>
        <v>A Shirts Life</v>
      </c>
      <c r="J2149" s="2" t="str">
        <f>VLOOKUP(ORDERS[[#This Row],[CustomerID]],customers[],4,FALSE)</f>
        <v>Portland</v>
      </c>
      <c r="K2149" s="2" t="str">
        <f>VLOOKUP(ORDERS[[#This Row],[ProductID]],Products[],3,FALSE)</f>
        <v>Male</v>
      </c>
      <c r="L2149" s="2">
        <f>DAY(ORDERS[[#This Row],[OrderDate]])</f>
        <v>5</v>
      </c>
      <c r="M2149" s="2">
        <f>YEAR(ORDERS[[#This Row],[OrderDate]])</f>
        <v>2016</v>
      </c>
    </row>
    <row r="2150" spans="1:13" x14ac:dyDescent="0.3">
      <c r="A2150">
        <v>2149</v>
      </c>
      <c r="B2150">
        <v>5</v>
      </c>
      <c r="C2150">
        <v>1</v>
      </c>
      <c r="D2150" s="1">
        <v>42648</v>
      </c>
      <c r="E2150">
        <v>32</v>
      </c>
      <c r="F2150">
        <f>VLOOKUP(ORDERS[[#This Row],[ProductID]],Products[],4,FALSE)</f>
        <v>20</v>
      </c>
      <c r="G2150">
        <v>0</v>
      </c>
      <c r="H2150">
        <f>(ORDERS[[#This Row],[UnitsOrdered]]*ORDERS[[#This Row],[unit price]])-(ORDERS[[#This Row],[UnitsOrdered]]*ORDERS[[#This Row],[unit price]]*ORDERS[[#This Row],[Discount]])</f>
        <v>640</v>
      </c>
      <c r="I2150" t="str">
        <f>VLOOKUP(ORDERS[[#This Row],[CustomerID]],customers[],2,FALSE)</f>
        <v>Rags to Riches</v>
      </c>
      <c r="J2150" s="2" t="str">
        <f>VLOOKUP(ORDERS[[#This Row],[CustomerID]],customers[],4,FALSE)</f>
        <v>Las Vegas</v>
      </c>
      <c r="K2150" s="2" t="str">
        <f>VLOOKUP(ORDERS[[#This Row],[ProductID]],Products[],3,FALSE)</f>
        <v>Both</v>
      </c>
      <c r="L2150" s="2">
        <f>DAY(ORDERS[[#This Row],[OrderDate]])</f>
        <v>5</v>
      </c>
      <c r="M2150" s="2">
        <f>YEAR(ORDERS[[#This Row],[OrderDate]])</f>
        <v>2016</v>
      </c>
    </row>
    <row r="2151" spans="1:13" x14ac:dyDescent="0.3">
      <c r="A2151">
        <v>2150</v>
      </c>
      <c r="B2151">
        <v>5</v>
      </c>
      <c r="C2151">
        <v>9</v>
      </c>
      <c r="D2151" s="1">
        <v>42648</v>
      </c>
      <c r="E2151">
        <v>51</v>
      </c>
      <c r="F2151">
        <f>VLOOKUP(ORDERS[[#This Row],[ProductID]],Products[],4,FALSE)</f>
        <v>25</v>
      </c>
      <c r="G2151">
        <v>0</v>
      </c>
      <c r="H2151">
        <f>(ORDERS[[#This Row],[UnitsOrdered]]*ORDERS[[#This Row],[unit price]])-(ORDERS[[#This Row],[UnitsOrdered]]*ORDERS[[#This Row],[unit price]]*ORDERS[[#This Row],[Discount]])</f>
        <v>1275</v>
      </c>
      <c r="I2151" t="str">
        <f>VLOOKUP(ORDERS[[#This Row],[CustomerID]],customers[],2,FALSE)</f>
        <v>Rags to Riches</v>
      </c>
      <c r="J2151" s="2" t="str">
        <f>VLOOKUP(ORDERS[[#This Row],[CustomerID]],customers[],4,FALSE)</f>
        <v>Las Vegas</v>
      </c>
      <c r="K2151" s="2" t="str">
        <f>VLOOKUP(ORDERS[[#This Row],[ProductID]],Products[],3,FALSE)</f>
        <v>Male</v>
      </c>
      <c r="L2151" s="2">
        <f>DAY(ORDERS[[#This Row],[OrderDate]])</f>
        <v>5</v>
      </c>
      <c r="M2151" s="2">
        <f>YEAR(ORDERS[[#This Row],[OrderDate]])</f>
        <v>2016</v>
      </c>
    </row>
    <row r="2152" spans="1:13" x14ac:dyDescent="0.3">
      <c r="A2152">
        <v>2151</v>
      </c>
      <c r="B2152">
        <v>3</v>
      </c>
      <c r="C2152">
        <v>8</v>
      </c>
      <c r="D2152" s="1">
        <v>42649</v>
      </c>
      <c r="E2152">
        <v>113</v>
      </c>
      <c r="F2152">
        <f>VLOOKUP(ORDERS[[#This Row],[ProductID]],Products[],4,FALSE)</f>
        <v>27</v>
      </c>
      <c r="G2152">
        <v>0</v>
      </c>
      <c r="H2152">
        <f>(ORDERS[[#This Row],[UnitsOrdered]]*ORDERS[[#This Row],[unit price]])-(ORDERS[[#This Row],[UnitsOrdered]]*ORDERS[[#This Row],[unit price]]*ORDERS[[#This Row],[Discount]])</f>
        <v>3051</v>
      </c>
      <c r="I2152" t="str">
        <f>VLOOKUP(ORDERS[[#This Row],[CustomerID]],customers[],2,FALSE)</f>
        <v>Shirts R Us</v>
      </c>
      <c r="J2152" s="2" t="str">
        <f>VLOOKUP(ORDERS[[#This Row],[CustomerID]],customers[],4,FALSE)</f>
        <v>Los Angeles</v>
      </c>
      <c r="K2152" s="2" t="str">
        <f>VLOOKUP(ORDERS[[#This Row],[ProductID]],Products[],3,FALSE)</f>
        <v>Female</v>
      </c>
      <c r="L2152" s="2">
        <f>DAY(ORDERS[[#This Row],[OrderDate]])</f>
        <v>6</v>
      </c>
      <c r="M2152" s="2">
        <f>YEAR(ORDERS[[#This Row],[OrderDate]])</f>
        <v>2016</v>
      </c>
    </row>
    <row r="2153" spans="1:13" x14ac:dyDescent="0.3">
      <c r="A2153">
        <v>2152</v>
      </c>
      <c r="B2153">
        <v>2</v>
      </c>
      <c r="C2153">
        <v>4</v>
      </c>
      <c r="D2153" s="1">
        <v>42650</v>
      </c>
      <c r="E2153">
        <v>131</v>
      </c>
      <c r="F2153">
        <f>VLOOKUP(ORDERS[[#This Row],[ProductID]],Products[],4,FALSE)</f>
        <v>30</v>
      </c>
      <c r="G2153">
        <v>0</v>
      </c>
      <c r="H2153">
        <f>(ORDERS[[#This Row],[UnitsOrdered]]*ORDERS[[#This Row],[unit price]])-(ORDERS[[#This Row],[UnitsOrdered]]*ORDERS[[#This Row],[unit price]]*ORDERS[[#This Row],[Discount]])</f>
        <v>3930</v>
      </c>
      <c r="I2153" t="str">
        <f>VLOOKUP(ORDERS[[#This Row],[CustomerID]],customers[],2,FALSE)</f>
        <v>A Shirts Life</v>
      </c>
      <c r="J2153" s="2" t="str">
        <f>VLOOKUP(ORDERS[[#This Row],[CustomerID]],customers[],4,FALSE)</f>
        <v>Portland</v>
      </c>
      <c r="K2153" s="2" t="str">
        <f>VLOOKUP(ORDERS[[#This Row],[ProductID]],Products[],3,FALSE)</f>
        <v>Both</v>
      </c>
      <c r="L2153" s="2">
        <f>DAY(ORDERS[[#This Row],[OrderDate]])</f>
        <v>7</v>
      </c>
      <c r="M2153" s="2">
        <f>YEAR(ORDERS[[#This Row],[OrderDate]])</f>
        <v>2016</v>
      </c>
    </row>
    <row r="2154" spans="1:13" x14ac:dyDescent="0.3">
      <c r="A2154">
        <v>2153</v>
      </c>
      <c r="B2154">
        <v>2</v>
      </c>
      <c r="C2154">
        <v>5</v>
      </c>
      <c r="D2154" s="1">
        <v>42650</v>
      </c>
      <c r="E2154">
        <v>32</v>
      </c>
      <c r="F2154">
        <f>VLOOKUP(ORDERS[[#This Row],[ProductID]],Products[],4,FALSE)</f>
        <v>16</v>
      </c>
      <c r="G2154">
        <v>5.0000001000000002E-2</v>
      </c>
      <c r="H2154">
        <f>(ORDERS[[#This Row],[UnitsOrdered]]*ORDERS[[#This Row],[unit price]])-(ORDERS[[#This Row],[UnitsOrdered]]*ORDERS[[#This Row],[unit price]]*ORDERS[[#This Row],[Discount]])</f>
        <v>486.39999948799999</v>
      </c>
      <c r="I2154" t="str">
        <f>VLOOKUP(ORDERS[[#This Row],[CustomerID]],customers[],2,FALSE)</f>
        <v>A Shirts Life</v>
      </c>
      <c r="J2154" s="2" t="str">
        <f>VLOOKUP(ORDERS[[#This Row],[CustomerID]],customers[],4,FALSE)</f>
        <v>Portland</v>
      </c>
      <c r="K2154" s="2" t="str">
        <f>VLOOKUP(ORDERS[[#This Row],[ProductID]],Products[],3,FALSE)</f>
        <v>Female</v>
      </c>
      <c r="L2154" s="2">
        <f>DAY(ORDERS[[#This Row],[OrderDate]])</f>
        <v>7</v>
      </c>
      <c r="M2154" s="2">
        <f>YEAR(ORDERS[[#This Row],[OrderDate]])</f>
        <v>2016</v>
      </c>
    </row>
    <row r="2155" spans="1:13" x14ac:dyDescent="0.3">
      <c r="A2155">
        <v>2154</v>
      </c>
      <c r="B2155">
        <v>5</v>
      </c>
      <c r="C2155">
        <v>9</v>
      </c>
      <c r="D2155" s="1">
        <v>42650</v>
      </c>
      <c r="E2155">
        <v>32</v>
      </c>
      <c r="F2155">
        <f>VLOOKUP(ORDERS[[#This Row],[ProductID]],Products[],4,FALSE)</f>
        <v>25</v>
      </c>
      <c r="G2155">
        <v>0</v>
      </c>
      <c r="H2155">
        <f>(ORDERS[[#This Row],[UnitsOrdered]]*ORDERS[[#This Row],[unit price]])-(ORDERS[[#This Row],[UnitsOrdered]]*ORDERS[[#This Row],[unit price]]*ORDERS[[#This Row],[Discount]])</f>
        <v>800</v>
      </c>
      <c r="I2155" t="str">
        <f>VLOOKUP(ORDERS[[#This Row],[CustomerID]],customers[],2,FALSE)</f>
        <v>Rags to Riches</v>
      </c>
      <c r="J2155" s="2" t="str">
        <f>VLOOKUP(ORDERS[[#This Row],[CustomerID]],customers[],4,FALSE)</f>
        <v>Las Vegas</v>
      </c>
      <c r="K2155" s="2" t="str">
        <f>VLOOKUP(ORDERS[[#This Row],[ProductID]],Products[],3,FALSE)</f>
        <v>Male</v>
      </c>
      <c r="L2155" s="2">
        <f>DAY(ORDERS[[#This Row],[OrderDate]])</f>
        <v>7</v>
      </c>
      <c r="M2155" s="2">
        <f>YEAR(ORDERS[[#This Row],[OrderDate]])</f>
        <v>2016</v>
      </c>
    </row>
    <row r="2156" spans="1:13" x14ac:dyDescent="0.3">
      <c r="A2156">
        <v>2155</v>
      </c>
      <c r="B2156">
        <v>1</v>
      </c>
      <c r="C2156">
        <v>6</v>
      </c>
      <c r="D2156" s="1">
        <v>42652</v>
      </c>
      <c r="E2156">
        <v>72</v>
      </c>
      <c r="F2156">
        <f>VLOOKUP(ORDERS[[#This Row],[ProductID]],Products[],4,FALSE)</f>
        <v>28</v>
      </c>
      <c r="G2156">
        <v>0</v>
      </c>
      <c r="H2156">
        <f>(ORDERS[[#This Row],[UnitsOrdered]]*ORDERS[[#This Row],[unit price]])-(ORDERS[[#This Row],[UnitsOrdered]]*ORDERS[[#This Row],[unit price]]*ORDERS[[#This Row],[Discount]])</f>
        <v>2016</v>
      </c>
      <c r="I2156" t="str">
        <f>VLOOKUP(ORDERS[[#This Row],[CustomerID]],customers[],2,FALSE)</f>
        <v>Threads</v>
      </c>
      <c r="J2156" s="2" t="str">
        <f>VLOOKUP(ORDERS[[#This Row],[CustomerID]],customers[],4,FALSE)</f>
        <v>Seattle</v>
      </c>
      <c r="K2156" s="2" t="str">
        <f>VLOOKUP(ORDERS[[#This Row],[ProductID]],Products[],3,FALSE)</f>
        <v>Female</v>
      </c>
      <c r="L2156" s="2">
        <f>DAY(ORDERS[[#This Row],[OrderDate]])</f>
        <v>9</v>
      </c>
      <c r="M2156" s="2">
        <f>YEAR(ORDERS[[#This Row],[OrderDate]])</f>
        <v>2016</v>
      </c>
    </row>
    <row r="2157" spans="1:13" x14ac:dyDescent="0.3">
      <c r="A2157">
        <v>2156</v>
      </c>
      <c r="B2157">
        <v>1</v>
      </c>
      <c r="C2157">
        <v>3</v>
      </c>
      <c r="D2157" s="1">
        <v>42653</v>
      </c>
      <c r="E2157">
        <v>135</v>
      </c>
      <c r="F2157">
        <f>VLOOKUP(ORDERS[[#This Row],[ProductID]],Products[],4,FALSE)</f>
        <v>22</v>
      </c>
      <c r="G2157">
        <v>0</v>
      </c>
      <c r="H2157">
        <f>(ORDERS[[#This Row],[UnitsOrdered]]*ORDERS[[#This Row],[unit price]])-(ORDERS[[#This Row],[UnitsOrdered]]*ORDERS[[#This Row],[unit price]]*ORDERS[[#This Row],[Discount]])</f>
        <v>2970</v>
      </c>
      <c r="I2157" t="str">
        <f>VLOOKUP(ORDERS[[#This Row],[CustomerID]],customers[],2,FALSE)</f>
        <v>Threads</v>
      </c>
      <c r="J2157" s="2" t="str">
        <f>VLOOKUP(ORDERS[[#This Row],[CustomerID]],customers[],4,FALSE)</f>
        <v>Seattle</v>
      </c>
      <c r="K2157" s="2" t="str">
        <f>VLOOKUP(ORDERS[[#This Row],[ProductID]],Products[],3,FALSE)</f>
        <v>Both</v>
      </c>
      <c r="L2157" s="2">
        <f>DAY(ORDERS[[#This Row],[OrderDate]])</f>
        <v>10</v>
      </c>
      <c r="M2157" s="2">
        <f>YEAR(ORDERS[[#This Row],[OrderDate]])</f>
        <v>2016</v>
      </c>
    </row>
    <row r="2158" spans="1:13" x14ac:dyDescent="0.3">
      <c r="A2158">
        <v>2157</v>
      </c>
      <c r="B2158">
        <v>3</v>
      </c>
      <c r="C2158">
        <v>2</v>
      </c>
      <c r="D2158" s="1">
        <v>42653</v>
      </c>
      <c r="E2158">
        <v>141</v>
      </c>
      <c r="F2158">
        <f>VLOOKUP(ORDERS[[#This Row],[ProductID]],Products[],4,FALSE)</f>
        <v>30</v>
      </c>
      <c r="G2158">
        <v>0</v>
      </c>
      <c r="H2158">
        <f>(ORDERS[[#This Row],[UnitsOrdered]]*ORDERS[[#This Row],[unit price]])-(ORDERS[[#This Row],[UnitsOrdered]]*ORDERS[[#This Row],[unit price]]*ORDERS[[#This Row],[Discount]])</f>
        <v>4230</v>
      </c>
      <c r="I2158" t="str">
        <f>VLOOKUP(ORDERS[[#This Row],[CustomerID]],customers[],2,FALSE)</f>
        <v>Shirts R Us</v>
      </c>
      <c r="J2158" s="2" t="str">
        <f>VLOOKUP(ORDERS[[#This Row],[CustomerID]],customers[],4,FALSE)</f>
        <v>Los Angeles</v>
      </c>
      <c r="K2158" s="2" t="str">
        <f>VLOOKUP(ORDERS[[#This Row],[ProductID]],Products[],3,FALSE)</f>
        <v>Both</v>
      </c>
      <c r="L2158" s="2">
        <f>DAY(ORDERS[[#This Row],[OrderDate]])</f>
        <v>10</v>
      </c>
      <c r="M2158" s="2">
        <f>YEAR(ORDERS[[#This Row],[OrderDate]])</f>
        <v>2016</v>
      </c>
    </row>
    <row r="2159" spans="1:13" x14ac:dyDescent="0.3">
      <c r="A2159">
        <v>2158</v>
      </c>
      <c r="B2159">
        <v>3</v>
      </c>
      <c r="C2159">
        <v>4</v>
      </c>
      <c r="D2159" s="1">
        <v>42653</v>
      </c>
      <c r="E2159">
        <v>27</v>
      </c>
      <c r="F2159">
        <f>VLOOKUP(ORDERS[[#This Row],[ProductID]],Products[],4,FALSE)</f>
        <v>30</v>
      </c>
      <c r="G2159">
        <v>0</v>
      </c>
      <c r="H2159">
        <f>(ORDERS[[#This Row],[UnitsOrdered]]*ORDERS[[#This Row],[unit price]])-(ORDERS[[#This Row],[UnitsOrdered]]*ORDERS[[#This Row],[unit price]]*ORDERS[[#This Row],[Discount]])</f>
        <v>810</v>
      </c>
      <c r="I2159" t="str">
        <f>VLOOKUP(ORDERS[[#This Row],[CustomerID]],customers[],2,FALSE)</f>
        <v>Shirts R Us</v>
      </c>
      <c r="J2159" s="2" t="str">
        <f>VLOOKUP(ORDERS[[#This Row],[CustomerID]],customers[],4,FALSE)</f>
        <v>Los Angeles</v>
      </c>
      <c r="K2159" s="2" t="str">
        <f>VLOOKUP(ORDERS[[#This Row],[ProductID]],Products[],3,FALSE)</f>
        <v>Both</v>
      </c>
      <c r="L2159" s="2">
        <f>DAY(ORDERS[[#This Row],[OrderDate]])</f>
        <v>10</v>
      </c>
      <c r="M2159" s="2">
        <f>YEAR(ORDERS[[#This Row],[OrderDate]])</f>
        <v>2016</v>
      </c>
    </row>
    <row r="2160" spans="1:13" x14ac:dyDescent="0.3">
      <c r="A2160">
        <v>2159</v>
      </c>
      <c r="B2160">
        <v>4</v>
      </c>
      <c r="C2160">
        <v>10</v>
      </c>
      <c r="D2160" s="1">
        <v>42654</v>
      </c>
      <c r="E2160">
        <v>72</v>
      </c>
      <c r="F2160">
        <f>VLOOKUP(ORDERS[[#This Row],[ProductID]],Products[],4,FALSE)</f>
        <v>35</v>
      </c>
      <c r="G2160">
        <v>0.15000000599999999</v>
      </c>
      <c r="H2160">
        <f>(ORDERS[[#This Row],[UnitsOrdered]]*ORDERS[[#This Row],[unit price]])-(ORDERS[[#This Row],[UnitsOrdered]]*ORDERS[[#This Row],[unit price]]*ORDERS[[#This Row],[Discount]])</f>
        <v>2141.9999848799998</v>
      </c>
      <c r="I2160" t="str">
        <f>VLOOKUP(ORDERS[[#This Row],[CustomerID]],customers[],2,FALSE)</f>
        <v>Tshirt Unlimited</v>
      </c>
      <c r="J2160" s="2" t="str">
        <f>VLOOKUP(ORDERS[[#This Row],[CustomerID]],customers[],4,FALSE)</f>
        <v>Phoenix</v>
      </c>
      <c r="K2160" s="2" t="str">
        <f>VLOOKUP(ORDERS[[#This Row],[ProductID]],Products[],3,FALSE)</f>
        <v>Male</v>
      </c>
      <c r="L2160" s="2">
        <f>DAY(ORDERS[[#This Row],[OrderDate]])</f>
        <v>11</v>
      </c>
      <c r="M2160" s="2">
        <f>YEAR(ORDERS[[#This Row],[OrderDate]])</f>
        <v>2016</v>
      </c>
    </row>
    <row r="2161" spans="1:13" x14ac:dyDescent="0.3">
      <c r="A2161">
        <v>2160</v>
      </c>
      <c r="B2161">
        <v>6</v>
      </c>
      <c r="C2161">
        <v>6</v>
      </c>
      <c r="D2161" s="1">
        <v>42654</v>
      </c>
      <c r="E2161">
        <v>124</v>
      </c>
      <c r="F2161">
        <f>VLOOKUP(ORDERS[[#This Row],[ProductID]],Products[],4,FALSE)</f>
        <v>28</v>
      </c>
      <c r="G2161">
        <v>0</v>
      </c>
      <c r="H2161">
        <f>(ORDERS[[#This Row],[UnitsOrdered]]*ORDERS[[#This Row],[unit price]])-(ORDERS[[#This Row],[UnitsOrdered]]*ORDERS[[#This Row],[unit price]]*ORDERS[[#This Row],[Discount]])</f>
        <v>3472</v>
      </c>
      <c r="I2161" t="str">
        <f>VLOOKUP(ORDERS[[#This Row],[CustomerID]],customers[],2,FALSE)</f>
        <v>Abracadaba Ink</v>
      </c>
      <c r="J2161" s="2" t="str">
        <f>VLOOKUP(ORDERS[[#This Row],[CustomerID]],customers[],4,FALSE)</f>
        <v>Salt Lake City</v>
      </c>
      <c r="K2161" s="2" t="str">
        <f>VLOOKUP(ORDERS[[#This Row],[ProductID]],Products[],3,FALSE)</f>
        <v>Female</v>
      </c>
      <c r="L2161" s="2">
        <f>DAY(ORDERS[[#This Row],[OrderDate]])</f>
        <v>11</v>
      </c>
      <c r="M2161" s="2">
        <f>YEAR(ORDERS[[#This Row],[OrderDate]])</f>
        <v>2016</v>
      </c>
    </row>
    <row r="2162" spans="1:13" x14ac:dyDescent="0.3">
      <c r="A2162">
        <v>2161</v>
      </c>
      <c r="B2162">
        <v>7</v>
      </c>
      <c r="C2162">
        <v>1</v>
      </c>
      <c r="D2162" s="1">
        <v>42654</v>
      </c>
      <c r="E2162">
        <v>132</v>
      </c>
      <c r="F2162">
        <f>VLOOKUP(ORDERS[[#This Row],[ProductID]],Products[],4,FALSE)</f>
        <v>20</v>
      </c>
      <c r="G2162">
        <v>0</v>
      </c>
      <c r="H2162">
        <f>(ORDERS[[#This Row],[UnitsOrdered]]*ORDERS[[#This Row],[unit price]])-(ORDERS[[#This Row],[UnitsOrdered]]*ORDERS[[#This Row],[unit price]]*ORDERS[[#This Row],[Discount]])</f>
        <v>2640</v>
      </c>
      <c r="I2162" t="str">
        <f>VLOOKUP(ORDERS[[#This Row],[CustomerID]],customers[],2,FALSE)</f>
        <v>The Shirt on Your Back</v>
      </c>
      <c r="J2162" s="2" t="str">
        <f>VLOOKUP(ORDERS[[#This Row],[CustomerID]],customers[],4,FALSE)</f>
        <v>Bonners Ferry</v>
      </c>
      <c r="K2162" s="2" t="str">
        <f>VLOOKUP(ORDERS[[#This Row],[ProductID]],Products[],3,FALSE)</f>
        <v>Both</v>
      </c>
      <c r="L2162" s="2">
        <f>DAY(ORDERS[[#This Row],[OrderDate]])</f>
        <v>11</v>
      </c>
      <c r="M2162" s="2">
        <f>YEAR(ORDERS[[#This Row],[OrderDate]])</f>
        <v>2016</v>
      </c>
    </row>
    <row r="2163" spans="1:13" x14ac:dyDescent="0.3">
      <c r="A2163">
        <v>2162</v>
      </c>
      <c r="B2163">
        <v>7</v>
      </c>
      <c r="C2163">
        <v>3</v>
      </c>
      <c r="D2163" s="1">
        <v>42654</v>
      </c>
      <c r="E2163">
        <v>48</v>
      </c>
      <c r="F2163">
        <f>VLOOKUP(ORDERS[[#This Row],[ProductID]],Products[],4,FALSE)</f>
        <v>22</v>
      </c>
      <c r="G2163">
        <v>5.0000001000000002E-2</v>
      </c>
      <c r="H2163">
        <f>(ORDERS[[#This Row],[UnitsOrdered]]*ORDERS[[#This Row],[unit price]])-(ORDERS[[#This Row],[UnitsOrdered]]*ORDERS[[#This Row],[unit price]]*ORDERS[[#This Row],[Discount]])</f>
        <v>1003.199998944</v>
      </c>
      <c r="I2163" t="str">
        <f>VLOOKUP(ORDERS[[#This Row],[CustomerID]],customers[],2,FALSE)</f>
        <v>The Shirt on Your Back</v>
      </c>
      <c r="J2163" s="2" t="str">
        <f>VLOOKUP(ORDERS[[#This Row],[CustomerID]],customers[],4,FALSE)</f>
        <v>Bonners Ferry</v>
      </c>
      <c r="K2163" s="2" t="str">
        <f>VLOOKUP(ORDERS[[#This Row],[ProductID]],Products[],3,FALSE)</f>
        <v>Both</v>
      </c>
      <c r="L2163" s="2">
        <f>DAY(ORDERS[[#This Row],[OrderDate]])</f>
        <v>11</v>
      </c>
      <c r="M2163" s="2">
        <f>YEAR(ORDERS[[#This Row],[OrderDate]])</f>
        <v>2016</v>
      </c>
    </row>
    <row r="2164" spans="1:13" x14ac:dyDescent="0.3">
      <c r="A2164">
        <v>2163</v>
      </c>
      <c r="B2164">
        <v>2</v>
      </c>
      <c r="C2164">
        <v>10</v>
      </c>
      <c r="D2164" s="1">
        <v>42656</v>
      </c>
      <c r="E2164">
        <v>91</v>
      </c>
      <c r="F2164">
        <f>VLOOKUP(ORDERS[[#This Row],[ProductID]],Products[],4,FALSE)</f>
        <v>35</v>
      </c>
      <c r="G2164">
        <v>0.15000000599999999</v>
      </c>
      <c r="H2164">
        <f>(ORDERS[[#This Row],[UnitsOrdered]]*ORDERS[[#This Row],[unit price]])-(ORDERS[[#This Row],[UnitsOrdered]]*ORDERS[[#This Row],[unit price]]*ORDERS[[#This Row],[Discount]])</f>
        <v>2707.2499808900002</v>
      </c>
      <c r="I2164" t="str">
        <f>VLOOKUP(ORDERS[[#This Row],[CustomerID]],customers[],2,FALSE)</f>
        <v>A Shirts Life</v>
      </c>
      <c r="J2164" s="2" t="str">
        <f>VLOOKUP(ORDERS[[#This Row],[CustomerID]],customers[],4,FALSE)</f>
        <v>Portland</v>
      </c>
      <c r="K2164" s="2" t="str">
        <f>VLOOKUP(ORDERS[[#This Row],[ProductID]],Products[],3,FALSE)</f>
        <v>Male</v>
      </c>
      <c r="L2164" s="2">
        <f>DAY(ORDERS[[#This Row],[OrderDate]])</f>
        <v>13</v>
      </c>
      <c r="M2164" s="2">
        <f>YEAR(ORDERS[[#This Row],[OrderDate]])</f>
        <v>2016</v>
      </c>
    </row>
    <row r="2165" spans="1:13" x14ac:dyDescent="0.3">
      <c r="A2165">
        <v>2164</v>
      </c>
      <c r="B2165">
        <v>4</v>
      </c>
      <c r="C2165">
        <v>3</v>
      </c>
      <c r="D2165" s="1">
        <v>42656</v>
      </c>
      <c r="E2165">
        <v>137</v>
      </c>
      <c r="F2165">
        <f>VLOOKUP(ORDERS[[#This Row],[ProductID]],Products[],4,FALSE)</f>
        <v>22</v>
      </c>
      <c r="G2165">
        <v>0</v>
      </c>
      <c r="H2165">
        <f>(ORDERS[[#This Row],[UnitsOrdered]]*ORDERS[[#This Row],[unit price]])-(ORDERS[[#This Row],[UnitsOrdered]]*ORDERS[[#This Row],[unit price]]*ORDERS[[#This Row],[Discount]])</f>
        <v>3014</v>
      </c>
      <c r="I2165" t="str">
        <f>VLOOKUP(ORDERS[[#This Row],[CustomerID]],customers[],2,FALSE)</f>
        <v>Tshirt Unlimited</v>
      </c>
      <c r="J2165" s="2" t="str">
        <f>VLOOKUP(ORDERS[[#This Row],[CustomerID]],customers[],4,FALSE)</f>
        <v>Phoenix</v>
      </c>
      <c r="K2165" s="2" t="str">
        <f>VLOOKUP(ORDERS[[#This Row],[ProductID]],Products[],3,FALSE)</f>
        <v>Both</v>
      </c>
      <c r="L2165" s="2">
        <f>DAY(ORDERS[[#This Row],[OrderDate]])</f>
        <v>13</v>
      </c>
      <c r="M2165" s="2">
        <f>YEAR(ORDERS[[#This Row],[OrderDate]])</f>
        <v>2016</v>
      </c>
    </row>
    <row r="2166" spans="1:13" x14ac:dyDescent="0.3">
      <c r="A2166">
        <v>2165</v>
      </c>
      <c r="B2166">
        <v>2</v>
      </c>
      <c r="C2166">
        <v>10</v>
      </c>
      <c r="D2166" s="1">
        <v>42657</v>
      </c>
      <c r="E2166">
        <v>43</v>
      </c>
      <c r="F2166">
        <f>VLOOKUP(ORDERS[[#This Row],[ProductID]],Products[],4,FALSE)</f>
        <v>35</v>
      </c>
      <c r="G2166">
        <v>0</v>
      </c>
      <c r="H2166">
        <f>(ORDERS[[#This Row],[UnitsOrdered]]*ORDERS[[#This Row],[unit price]])-(ORDERS[[#This Row],[UnitsOrdered]]*ORDERS[[#This Row],[unit price]]*ORDERS[[#This Row],[Discount]])</f>
        <v>1505</v>
      </c>
      <c r="I2166" t="str">
        <f>VLOOKUP(ORDERS[[#This Row],[CustomerID]],customers[],2,FALSE)</f>
        <v>A Shirts Life</v>
      </c>
      <c r="J2166" s="2" t="str">
        <f>VLOOKUP(ORDERS[[#This Row],[CustomerID]],customers[],4,FALSE)</f>
        <v>Portland</v>
      </c>
      <c r="K2166" s="2" t="str">
        <f>VLOOKUP(ORDERS[[#This Row],[ProductID]],Products[],3,FALSE)</f>
        <v>Male</v>
      </c>
      <c r="L2166" s="2">
        <f>DAY(ORDERS[[#This Row],[OrderDate]])</f>
        <v>14</v>
      </c>
      <c r="M2166" s="2">
        <f>YEAR(ORDERS[[#This Row],[OrderDate]])</f>
        <v>2016</v>
      </c>
    </row>
    <row r="2167" spans="1:13" x14ac:dyDescent="0.3">
      <c r="A2167">
        <v>2166</v>
      </c>
      <c r="B2167">
        <v>3</v>
      </c>
      <c r="C2167">
        <v>8</v>
      </c>
      <c r="D2167" s="1">
        <v>42658</v>
      </c>
      <c r="E2167">
        <v>109</v>
      </c>
      <c r="F2167">
        <f>VLOOKUP(ORDERS[[#This Row],[ProductID]],Products[],4,FALSE)</f>
        <v>27</v>
      </c>
      <c r="G2167">
        <v>0</v>
      </c>
      <c r="H2167">
        <f>(ORDERS[[#This Row],[UnitsOrdered]]*ORDERS[[#This Row],[unit price]])-(ORDERS[[#This Row],[UnitsOrdered]]*ORDERS[[#This Row],[unit price]]*ORDERS[[#This Row],[Discount]])</f>
        <v>2943</v>
      </c>
      <c r="I2167" t="str">
        <f>VLOOKUP(ORDERS[[#This Row],[CustomerID]],customers[],2,FALSE)</f>
        <v>Shirts R Us</v>
      </c>
      <c r="J2167" s="2" t="str">
        <f>VLOOKUP(ORDERS[[#This Row],[CustomerID]],customers[],4,FALSE)</f>
        <v>Los Angeles</v>
      </c>
      <c r="K2167" s="2" t="str">
        <f>VLOOKUP(ORDERS[[#This Row],[ProductID]],Products[],3,FALSE)</f>
        <v>Female</v>
      </c>
      <c r="L2167" s="2">
        <f>DAY(ORDERS[[#This Row],[OrderDate]])</f>
        <v>15</v>
      </c>
      <c r="M2167" s="2">
        <f>YEAR(ORDERS[[#This Row],[OrderDate]])</f>
        <v>2016</v>
      </c>
    </row>
    <row r="2168" spans="1:13" x14ac:dyDescent="0.3">
      <c r="A2168">
        <v>2167</v>
      </c>
      <c r="B2168">
        <v>5</v>
      </c>
      <c r="C2168">
        <v>4</v>
      </c>
      <c r="D2168" s="1">
        <v>42658</v>
      </c>
      <c r="E2168">
        <v>86</v>
      </c>
      <c r="F2168">
        <f>VLOOKUP(ORDERS[[#This Row],[ProductID]],Products[],4,FALSE)</f>
        <v>30</v>
      </c>
      <c r="G2168">
        <v>0</v>
      </c>
      <c r="H2168">
        <f>(ORDERS[[#This Row],[UnitsOrdered]]*ORDERS[[#This Row],[unit price]])-(ORDERS[[#This Row],[UnitsOrdered]]*ORDERS[[#This Row],[unit price]]*ORDERS[[#This Row],[Discount]])</f>
        <v>2580</v>
      </c>
      <c r="I2168" t="str">
        <f>VLOOKUP(ORDERS[[#This Row],[CustomerID]],customers[],2,FALSE)</f>
        <v>Rags to Riches</v>
      </c>
      <c r="J2168" s="2" t="str">
        <f>VLOOKUP(ORDERS[[#This Row],[CustomerID]],customers[],4,FALSE)</f>
        <v>Las Vegas</v>
      </c>
      <c r="K2168" s="2" t="str">
        <f>VLOOKUP(ORDERS[[#This Row],[ProductID]],Products[],3,FALSE)</f>
        <v>Both</v>
      </c>
      <c r="L2168" s="2">
        <f>DAY(ORDERS[[#This Row],[OrderDate]])</f>
        <v>15</v>
      </c>
      <c r="M2168" s="2">
        <f>YEAR(ORDERS[[#This Row],[OrderDate]])</f>
        <v>2016</v>
      </c>
    </row>
    <row r="2169" spans="1:13" x14ac:dyDescent="0.3">
      <c r="A2169">
        <v>2168</v>
      </c>
      <c r="B2169">
        <v>6</v>
      </c>
      <c r="C2169">
        <v>8</v>
      </c>
      <c r="D2169" s="1">
        <v>42658</v>
      </c>
      <c r="E2169">
        <v>127</v>
      </c>
      <c r="F2169">
        <f>VLOOKUP(ORDERS[[#This Row],[ProductID]],Products[],4,FALSE)</f>
        <v>27</v>
      </c>
      <c r="G2169">
        <v>5.0000001000000002E-2</v>
      </c>
      <c r="H2169">
        <f>(ORDERS[[#This Row],[UnitsOrdered]]*ORDERS[[#This Row],[unit price]])-(ORDERS[[#This Row],[UnitsOrdered]]*ORDERS[[#This Row],[unit price]]*ORDERS[[#This Row],[Discount]])</f>
        <v>3257.5499965710001</v>
      </c>
      <c r="I2169" t="str">
        <f>VLOOKUP(ORDERS[[#This Row],[CustomerID]],customers[],2,FALSE)</f>
        <v>Abracadaba Ink</v>
      </c>
      <c r="J2169" s="2" t="str">
        <f>VLOOKUP(ORDERS[[#This Row],[CustomerID]],customers[],4,FALSE)</f>
        <v>Salt Lake City</v>
      </c>
      <c r="K2169" s="2" t="str">
        <f>VLOOKUP(ORDERS[[#This Row],[ProductID]],Products[],3,FALSE)</f>
        <v>Female</v>
      </c>
      <c r="L2169" s="2">
        <f>DAY(ORDERS[[#This Row],[OrderDate]])</f>
        <v>15</v>
      </c>
      <c r="M2169" s="2">
        <f>YEAR(ORDERS[[#This Row],[OrderDate]])</f>
        <v>2016</v>
      </c>
    </row>
    <row r="2170" spans="1:13" x14ac:dyDescent="0.3">
      <c r="A2170">
        <v>2169</v>
      </c>
      <c r="B2170">
        <v>2</v>
      </c>
      <c r="C2170">
        <v>1</v>
      </c>
      <c r="D2170" s="1">
        <v>42659</v>
      </c>
      <c r="E2170">
        <v>71</v>
      </c>
      <c r="F2170">
        <f>VLOOKUP(ORDERS[[#This Row],[ProductID]],Products[],4,FALSE)</f>
        <v>20</v>
      </c>
      <c r="G2170">
        <v>0</v>
      </c>
      <c r="H2170">
        <f>(ORDERS[[#This Row],[UnitsOrdered]]*ORDERS[[#This Row],[unit price]])-(ORDERS[[#This Row],[UnitsOrdered]]*ORDERS[[#This Row],[unit price]]*ORDERS[[#This Row],[Discount]])</f>
        <v>1420</v>
      </c>
      <c r="I2170" t="str">
        <f>VLOOKUP(ORDERS[[#This Row],[CustomerID]],customers[],2,FALSE)</f>
        <v>A Shirts Life</v>
      </c>
      <c r="J2170" s="2" t="str">
        <f>VLOOKUP(ORDERS[[#This Row],[CustomerID]],customers[],4,FALSE)</f>
        <v>Portland</v>
      </c>
      <c r="K2170" s="2" t="str">
        <f>VLOOKUP(ORDERS[[#This Row],[ProductID]],Products[],3,FALSE)</f>
        <v>Both</v>
      </c>
      <c r="L2170" s="2">
        <f>DAY(ORDERS[[#This Row],[OrderDate]])</f>
        <v>16</v>
      </c>
      <c r="M2170" s="2">
        <f>YEAR(ORDERS[[#This Row],[OrderDate]])</f>
        <v>2016</v>
      </c>
    </row>
    <row r="2171" spans="1:13" x14ac:dyDescent="0.3">
      <c r="A2171">
        <v>2170</v>
      </c>
      <c r="B2171">
        <v>2</v>
      </c>
      <c r="C2171">
        <v>4</v>
      </c>
      <c r="D2171" s="1">
        <v>42659</v>
      </c>
      <c r="E2171">
        <v>132</v>
      </c>
      <c r="F2171">
        <f>VLOOKUP(ORDERS[[#This Row],[ProductID]],Products[],4,FALSE)</f>
        <v>30</v>
      </c>
      <c r="G2171">
        <v>0</v>
      </c>
      <c r="H2171">
        <f>(ORDERS[[#This Row],[UnitsOrdered]]*ORDERS[[#This Row],[unit price]])-(ORDERS[[#This Row],[UnitsOrdered]]*ORDERS[[#This Row],[unit price]]*ORDERS[[#This Row],[Discount]])</f>
        <v>3960</v>
      </c>
      <c r="I2171" t="str">
        <f>VLOOKUP(ORDERS[[#This Row],[CustomerID]],customers[],2,FALSE)</f>
        <v>A Shirts Life</v>
      </c>
      <c r="J2171" s="2" t="str">
        <f>VLOOKUP(ORDERS[[#This Row],[CustomerID]],customers[],4,FALSE)</f>
        <v>Portland</v>
      </c>
      <c r="K2171" s="2" t="str">
        <f>VLOOKUP(ORDERS[[#This Row],[ProductID]],Products[],3,FALSE)</f>
        <v>Both</v>
      </c>
      <c r="L2171" s="2">
        <f>DAY(ORDERS[[#This Row],[OrderDate]])</f>
        <v>16</v>
      </c>
      <c r="M2171" s="2">
        <f>YEAR(ORDERS[[#This Row],[OrderDate]])</f>
        <v>2016</v>
      </c>
    </row>
    <row r="2172" spans="1:13" x14ac:dyDescent="0.3">
      <c r="A2172">
        <v>2171</v>
      </c>
      <c r="B2172">
        <v>2</v>
      </c>
      <c r="C2172">
        <v>7</v>
      </c>
      <c r="D2172" s="1">
        <v>42659</v>
      </c>
      <c r="E2172">
        <v>100</v>
      </c>
      <c r="F2172">
        <f>VLOOKUP(ORDERS[[#This Row],[ProductID]],Products[],4,FALSE)</f>
        <v>38</v>
      </c>
      <c r="G2172">
        <v>0</v>
      </c>
      <c r="H2172">
        <f>(ORDERS[[#This Row],[UnitsOrdered]]*ORDERS[[#This Row],[unit price]])-(ORDERS[[#This Row],[UnitsOrdered]]*ORDERS[[#This Row],[unit price]]*ORDERS[[#This Row],[Discount]])</f>
        <v>3800</v>
      </c>
      <c r="I2172" t="str">
        <f>VLOOKUP(ORDERS[[#This Row],[CustomerID]],customers[],2,FALSE)</f>
        <v>A Shirts Life</v>
      </c>
      <c r="J2172" s="2" t="str">
        <f>VLOOKUP(ORDERS[[#This Row],[CustomerID]],customers[],4,FALSE)</f>
        <v>Portland</v>
      </c>
      <c r="K2172" s="2" t="str">
        <f>VLOOKUP(ORDERS[[#This Row],[ProductID]],Products[],3,FALSE)</f>
        <v>Female</v>
      </c>
      <c r="L2172" s="2">
        <f>DAY(ORDERS[[#This Row],[OrderDate]])</f>
        <v>16</v>
      </c>
      <c r="M2172" s="2">
        <f>YEAR(ORDERS[[#This Row],[OrderDate]])</f>
        <v>2016</v>
      </c>
    </row>
    <row r="2173" spans="1:13" x14ac:dyDescent="0.3">
      <c r="A2173">
        <v>2172</v>
      </c>
      <c r="B2173">
        <v>5</v>
      </c>
      <c r="C2173">
        <v>3</v>
      </c>
      <c r="D2173" s="1">
        <v>42659</v>
      </c>
      <c r="E2173">
        <v>59</v>
      </c>
      <c r="F2173">
        <f>VLOOKUP(ORDERS[[#This Row],[ProductID]],Products[],4,FALSE)</f>
        <v>22</v>
      </c>
      <c r="G2173">
        <v>0</v>
      </c>
      <c r="H2173">
        <f>(ORDERS[[#This Row],[UnitsOrdered]]*ORDERS[[#This Row],[unit price]])-(ORDERS[[#This Row],[UnitsOrdered]]*ORDERS[[#This Row],[unit price]]*ORDERS[[#This Row],[Discount]])</f>
        <v>1298</v>
      </c>
      <c r="I2173" t="str">
        <f>VLOOKUP(ORDERS[[#This Row],[CustomerID]],customers[],2,FALSE)</f>
        <v>Rags to Riches</v>
      </c>
      <c r="J2173" s="2" t="str">
        <f>VLOOKUP(ORDERS[[#This Row],[CustomerID]],customers[],4,FALSE)</f>
        <v>Las Vegas</v>
      </c>
      <c r="K2173" s="2" t="str">
        <f>VLOOKUP(ORDERS[[#This Row],[ProductID]],Products[],3,FALSE)</f>
        <v>Both</v>
      </c>
      <c r="L2173" s="2">
        <f>DAY(ORDERS[[#This Row],[OrderDate]])</f>
        <v>16</v>
      </c>
      <c r="M2173" s="2">
        <f>YEAR(ORDERS[[#This Row],[OrderDate]])</f>
        <v>2016</v>
      </c>
    </row>
    <row r="2174" spans="1:13" x14ac:dyDescent="0.3">
      <c r="A2174">
        <v>2173</v>
      </c>
      <c r="B2174">
        <v>5</v>
      </c>
      <c r="C2174">
        <v>5</v>
      </c>
      <c r="D2174" s="1">
        <v>42660</v>
      </c>
      <c r="E2174">
        <v>52</v>
      </c>
      <c r="F2174">
        <f>VLOOKUP(ORDERS[[#This Row],[ProductID]],Products[],4,FALSE)</f>
        <v>16</v>
      </c>
      <c r="G2174">
        <v>0</v>
      </c>
      <c r="H2174">
        <f>(ORDERS[[#This Row],[UnitsOrdered]]*ORDERS[[#This Row],[unit price]])-(ORDERS[[#This Row],[UnitsOrdered]]*ORDERS[[#This Row],[unit price]]*ORDERS[[#This Row],[Discount]])</f>
        <v>832</v>
      </c>
      <c r="I2174" t="str">
        <f>VLOOKUP(ORDERS[[#This Row],[CustomerID]],customers[],2,FALSE)</f>
        <v>Rags to Riches</v>
      </c>
      <c r="J2174" s="2" t="str">
        <f>VLOOKUP(ORDERS[[#This Row],[CustomerID]],customers[],4,FALSE)</f>
        <v>Las Vegas</v>
      </c>
      <c r="K2174" s="2" t="str">
        <f>VLOOKUP(ORDERS[[#This Row],[ProductID]],Products[],3,FALSE)</f>
        <v>Female</v>
      </c>
      <c r="L2174" s="2">
        <f>DAY(ORDERS[[#This Row],[OrderDate]])</f>
        <v>17</v>
      </c>
      <c r="M2174" s="2">
        <f>YEAR(ORDERS[[#This Row],[OrderDate]])</f>
        <v>2016</v>
      </c>
    </row>
    <row r="2175" spans="1:13" x14ac:dyDescent="0.3">
      <c r="A2175">
        <v>2174</v>
      </c>
      <c r="B2175">
        <v>7</v>
      </c>
      <c r="C2175">
        <v>2</v>
      </c>
      <c r="D2175" s="1">
        <v>42661</v>
      </c>
      <c r="E2175">
        <v>70</v>
      </c>
      <c r="F2175">
        <f>VLOOKUP(ORDERS[[#This Row],[ProductID]],Products[],4,FALSE)</f>
        <v>30</v>
      </c>
      <c r="G2175">
        <v>0</v>
      </c>
      <c r="H2175">
        <f>(ORDERS[[#This Row],[UnitsOrdered]]*ORDERS[[#This Row],[unit price]])-(ORDERS[[#This Row],[UnitsOrdered]]*ORDERS[[#This Row],[unit price]]*ORDERS[[#This Row],[Discount]])</f>
        <v>2100</v>
      </c>
      <c r="I2175" t="str">
        <f>VLOOKUP(ORDERS[[#This Row],[CustomerID]],customers[],2,FALSE)</f>
        <v>The Shirt on Your Back</v>
      </c>
      <c r="J2175" s="2" t="str">
        <f>VLOOKUP(ORDERS[[#This Row],[CustomerID]],customers[],4,FALSE)</f>
        <v>Bonners Ferry</v>
      </c>
      <c r="K2175" s="2" t="str">
        <f>VLOOKUP(ORDERS[[#This Row],[ProductID]],Products[],3,FALSE)</f>
        <v>Both</v>
      </c>
      <c r="L2175" s="2">
        <f>DAY(ORDERS[[#This Row],[OrderDate]])</f>
        <v>18</v>
      </c>
      <c r="M2175" s="2">
        <f>YEAR(ORDERS[[#This Row],[OrderDate]])</f>
        <v>2016</v>
      </c>
    </row>
    <row r="2176" spans="1:13" x14ac:dyDescent="0.3">
      <c r="A2176">
        <v>2175</v>
      </c>
      <c r="B2176">
        <v>1</v>
      </c>
      <c r="C2176">
        <v>1</v>
      </c>
      <c r="D2176" s="1">
        <v>42662</v>
      </c>
      <c r="E2176">
        <v>37</v>
      </c>
      <c r="F2176">
        <f>VLOOKUP(ORDERS[[#This Row],[ProductID]],Products[],4,FALSE)</f>
        <v>20</v>
      </c>
      <c r="G2176">
        <v>0</v>
      </c>
      <c r="H2176">
        <f>(ORDERS[[#This Row],[UnitsOrdered]]*ORDERS[[#This Row],[unit price]])-(ORDERS[[#This Row],[UnitsOrdered]]*ORDERS[[#This Row],[unit price]]*ORDERS[[#This Row],[Discount]])</f>
        <v>740</v>
      </c>
      <c r="I2176" t="str">
        <f>VLOOKUP(ORDERS[[#This Row],[CustomerID]],customers[],2,FALSE)</f>
        <v>Threads</v>
      </c>
      <c r="J2176" s="2" t="str">
        <f>VLOOKUP(ORDERS[[#This Row],[CustomerID]],customers[],4,FALSE)</f>
        <v>Seattle</v>
      </c>
      <c r="K2176" s="2" t="str">
        <f>VLOOKUP(ORDERS[[#This Row],[ProductID]],Products[],3,FALSE)</f>
        <v>Both</v>
      </c>
      <c r="L2176" s="2">
        <f>DAY(ORDERS[[#This Row],[OrderDate]])</f>
        <v>19</v>
      </c>
      <c r="M2176" s="2">
        <f>YEAR(ORDERS[[#This Row],[OrderDate]])</f>
        <v>2016</v>
      </c>
    </row>
    <row r="2177" spans="1:13" x14ac:dyDescent="0.3">
      <c r="A2177">
        <v>2176</v>
      </c>
      <c r="B2177">
        <v>6</v>
      </c>
      <c r="C2177">
        <v>3</v>
      </c>
      <c r="D2177" s="1">
        <v>42663</v>
      </c>
      <c r="E2177">
        <v>123</v>
      </c>
      <c r="F2177">
        <f>VLOOKUP(ORDERS[[#This Row],[ProductID]],Products[],4,FALSE)</f>
        <v>22</v>
      </c>
      <c r="G2177">
        <v>0</v>
      </c>
      <c r="H2177">
        <f>(ORDERS[[#This Row],[UnitsOrdered]]*ORDERS[[#This Row],[unit price]])-(ORDERS[[#This Row],[UnitsOrdered]]*ORDERS[[#This Row],[unit price]]*ORDERS[[#This Row],[Discount]])</f>
        <v>2706</v>
      </c>
      <c r="I2177" t="str">
        <f>VLOOKUP(ORDERS[[#This Row],[CustomerID]],customers[],2,FALSE)</f>
        <v>Abracadaba Ink</v>
      </c>
      <c r="J2177" s="2" t="str">
        <f>VLOOKUP(ORDERS[[#This Row],[CustomerID]],customers[],4,FALSE)</f>
        <v>Salt Lake City</v>
      </c>
      <c r="K2177" s="2" t="str">
        <f>VLOOKUP(ORDERS[[#This Row],[ProductID]],Products[],3,FALSE)</f>
        <v>Both</v>
      </c>
      <c r="L2177" s="2">
        <f>DAY(ORDERS[[#This Row],[OrderDate]])</f>
        <v>20</v>
      </c>
      <c r="M2177" s="2">
        <f>YEAR(ORDERS[[#This Row],[OrderDate]])</f>
        <v>2016</v>
      </c>
    </row>
    <row r="2178" spans="1:13" x14ac:dyDescent="0.3">
      <c r="A2178">
        <v>2177</v>
      </c>
      <c r="B2178">
        <v>2</v>
      </c>
      <c r="C2178">
        <v>1</v>
      </c>
      <c r="D2178" s="1">
        <v>42664</v>
      </c>
      <c r="E2178">
        <v>67</v>
      </c>
      <c r="F2178">
        <f>VLOOKUP(ORDERS[[#This Row],[ProductID]],Products[],4,FALSE)</f>
        <v>20</v>
      </c>
      <c r="G2178">
        <v>0</v>
      </c>
      <c r="H2178">
        <f>(ORDERS[[#This Row],[UnitsOrdered]]*ORDERS[[#This Row],[unit price]])-(ORDERS[[#This Row],[UnitsOrdered]]*ORDERS[[#This Row],[unit price]]*ORDERS[[#This Row],[Discount]])</f>
        <v>1340</v>
      </c>
      <c r="I2178" t="str">
        <f>VLOOKUP(ORDERS[[#This Row],[CustomerID]],customers[],2,FALSE)</f>
        <v>A Shirts Life</v>
      </c>
      <c r="J2178" s="2" t="str">
        <f>VLOOKUP(ORDERS[[#This Row],[CustomerID]],customers[],4,FALSE)</f>
        <v>Portland</v>
      </c>
      <c r="K2178" s="2" t="str">
        <f>VLOOKUP(ORDERS[[#This Row],[ProductID]],Products[],3,FALSE)</f>
        <v>Both</v>
      </c>
      <c r="L2178" s="2">
        <f>DAY(ORDERS[[#This Row],[OrderDate]])</f>
        <v>21</v>
      </c>
      <c r="M2178" s="2">
        <f>YEAR(ORDERS[[#This Row],[OrderDate]])</f>
        <v>2016</v>
      </c>
    </row>
    <row r="2179" spans="1:13" x14ac:dyDescent="0.3">
      <c r="A2179">
        <v>2178</v>
      </c>
      <c r="B2179">
        <v>2</v>
      </c>
      <c r="C2179">
        <v>9</v>
      </c>
      <c r="D2179" s="1">
        <v>42664</v>
      </c>
      <c r="E2179">
        <v>70</v>
      </c>
      <c r="F2179">
        <f>VLOOKUP(ORDERS[[#This Row],[ProductID]],Products[],4,FALSE)</f>
        <v>25</v>
      </c>
      <c r="G2179">
        <v>0</v>
      </c>
      <c r="H2179">
        <f>(ORDERS[[#This Row],[UnitsOrdered]]*ORDERS[[#This Row],[unit price]])-(ORDERS[[#This Row],[UnitsOrdered]]*ORDERS[[#This Row],[unit price]]*ORDERS[[#This Row],[Discount]])</f>
        <v>1750</v>
      </c>
      <c r="I2179" t="str">
        <f>VLOOKUP(ORDERS[[#This Row],[CustomerID]],customers[],2,FALSE)</f>
        <v>A Shirts Life</v>
      </c>
      <c r="J2179" s="2" t="str">
        <f>VLOOKUP(ORDERS[[#This Row],[CustomerID]],customers[],4,FALSE)</f>
        <v>Portland</v>
      </c>
      <c r="K2179" s="2" t="str">
        <f>VLOOKUP(ORDERS[[#This Row],[ProductID]],Products[],3,FALSE)</f>
        <v>Male</v>
      </c>
      <c r="L2179" s="2">
        <f>DAY(ORDERS[[#This Row],[OrderDate]])</f>
        <v>21</v>
      </c>
      <c r="M2179" s="2">
        <f>YEAR(ORDERS[[#This Row],[OrderDate]])</f>
        <v>2016</v>
      </c>
    </row>
    <row r="2180" spans="1:13" x14ac:dyDescent="0.3">
      <c r="A2180">
        <v>2179</v>
      </c>
      <c r="B2180">
        <v>1</v>
      </c>
      <c r="C2180">
        <v>2</v>
      </c>
      <c r="D2180" s="1">
        <v>42667</v>
      </c>
      <c r="E2180">
        <v>87</v>
      </c>
      <c r="F2180">
        <f>VLOOKUP(ORDERS[[#This Row],[ProductID]],Products[],4,FALSE)</f>
        <v>30</v>
      </c>
      <c r="G2180">
        <v>0</v>
      </c>
      <c r="H2180">
        <f>(ORDERS[[#This Row],[UnitsOrdered]]*ORDERS[[#This Row],[unit price]])-(ORDERS[[#This Row],[UnitsOrdered]]*ORDERS[[#This Row],[unit price]]*ORDERS[[#This Row],[Discount]])</f>
        <v>2610</v>
      </c>
      <c r="I2180" t="str">
        <f>VLOOKUP(ORDERS[[#This Row],[CustomerID]],customers[],2,FALSE)</f>
        <v>Threads</v>
      </c>
      <c r="J2180" s="2" t="str">
        <f>VLOOKUP(ORDERS[[#This Row],[CustomerID]],customers[],4,FALSE)</f>
        <v>Seattle</v>
      </c>
      <c r="K2180" s="2" t="str">
        <f>VLOOKUP(ORDERS[[#This Row],[ProductID]],Products[],3,FALSE)</f>
        <v>Both</v>
      </c>
      <c r="L2180" s="2">
        <f>DAY(ORDERS[[#This Row],[OrderDate]])</f>
        <v>24</v>
      </c>
      <c r="M2180" s="2">
        <f>YEAR(ORDERS[[#This Row],[OrderDate]])</f>
        <v>2016</v>
      </c>
    </row>
    <row r="2181" spans="1:13" x14ac:dyDescent="0.3">
      <c r="A2181">
        <v>2180</v>
      </c>
      <c r="B2181">
        <v>1</v>
      </c>
      <c r="C2181">
        <v>5</v>
      </c>
      <c r="D2181" s="1">
        <v>42668</v>
      </c>
      <c r="E2181">
        <v>62</v>
      </c>
      <c r="F2181">
        <f>VLOOKUP(ORDERS[[#This Row],[ProductID]],Products[],4,FALSE)</f>
        <v>16</v>
      </c>
      <c r="G2181">
        <v>0</v>
      </c>
      <c r="H2181">
        <f>(ORDERS[[#This Row],[UnitsOrdered]]*ORDERS[[#This Row],[unit price]])-(ORDERS[[#This Row],[UnitsOrdered]]*ORDERS[[#This Row],[unit price]]*ORDERS[[#This Row],[Discount]])</f>
        <v>992</v>
      </c>
      <c r="I2181" t="str">
        <f>VLOOKUP(ORDERS[[#This Row],[CustomerID]],customers[],2,FALSE)</f>
        <v>Threads</v>
      </c>
      <c r="J2181" s="2" t="str">
        <f>VLOOKUP(ORDERS[[#This Row],[CustomerID]],customers[],4,FALSE)</f>
        <v>Seattle</v>
      </c>
      <c r="K2181" s="2" t="str">
        <f>VLOOKUP(ORDERS[[#This Row],[ProductID]],Products[],3,FALSE)</f>
        <v>Female</v>
      </c>
      <c r="L2181" s="2">
        <f>DAY(ORDERS[[#This Row],[OrderDate]])</f>
        <v>25</v>
      </c>
      <c r="M2181" s="2">
        <f>YEAR(ORDERS[[#This Row],[OrderDate]])</f>
        <v>2016</v>
      </c>
    </row>
    <row r="2182" spans="1:13" x14ac:dyDescent="0.3">
      <c r="A2182">
        <v>2181</v>
      </c>
      <c r="B2182">
        <v>6</v>
      </c>
      <c r="C2182">
        <v>9</v>
      </c>
      <c r="D2182" s="1">
        <v>42673</v>
      </c>
      <c r="E2182">
        <v>65</v>
      </c>
      <c r="F2182">
        <f>VLOOKUP(ORDERS[[#This Row],[ProductID]],Products[],4,FALSE)</f>
        <v>25</v>
      </c>
      <c r="G2182">
        <v>0</v>
      </c>
      <c r="H2182">
        <f>(ORDERS[[#This Row],[UnitsOrdered]]*ORDERS[[#This Row],[unit price]])-(ORDERS[[#This Row],[UnitsOrdered]]*ORDERS[[#This Row],[unit price]]*ORDERS[[#This Row],[Discount]])</f>
        <v>1625</v>
      </c>
      <c r="I2182" t="str">
        <f>VLOOKUP(ORDERS[[#This Row],[CustomerID]],customers[],2,FALSE)</f>
        <v>Abracadaba Ink</v>
      </c>
      <c r="J2182" s="2" t="str">
        <f>VLOOKUP(ORDERS[[#This Row],[CustomerID]],customers[],4,FALSE)</f>
        <v>Salt Lake City</v>
      </c>
      <c r="K2182" s="2" t="str">
        <f>VLOOKUP(ORDERS[[#This Row],[ProductID]],Products[],3,FALSE)</f>
        <v>Male</v>
      </c>
      <c r="L2182" s="2">
        <f>DAY(ORDERS[[#This Row],[OrderDate]])</f>
        <v>30</v>
      </c>
      <c r="M2182" s="2">
        <f>YEAR(ORDERS[[#This Row],[OrderDate]])</f>
        <v>2016</v>
      </c>
    </row>
    <row r="2183" spans="1:13" x14ac:dyDescent="0.3">
      <c r="A2183">
        <v>2182</v>
      </c>
      <c r="B2183">
        <v>4</v>
      </c>
      <c r="C2183">
        <v>9</v>
      </c>
      <c r="D2183" s="1">
        <v>42674</v>
      </c>
      <c r="E2183">
        <v>77</v>
      </c>
      <c r="F2183">
        <f>VLOOKUP(ORDERS[[#This Row],[ProductID]],Products[],4,FALSE)</f>
        <v>25</v>
      </c>
      <c r="G2183">
        <v>0</v>
      </c>
      <c r="H2183">
        <f>(ORDERS[[#This Row],[UnitsOrdered]]*ORDERS[[#This Row],[unit price]])-(ORDERS[[#This Row],[UnitsOrdered]]*ORDERS[[#This Row],[unit price]]*ORDERS[[#This Row],[Discount]])</f>
        <v>1925</v>
      </c>
      <c r="I2183" t="str">
        <f>VLOOKUP(ORDERS[[#This Row],[CustomerID]],customers[],2,FALSE)</f>
        <v>Tshirt Unlimited</v>
      </c>
      <c r="J2183" s="2" t="str">
        <f>VLOOKUP(ORDERS[[#This Row],[CustomerID]],customers[],4,FALSE)</f>
        <v>Phoenix</v>
      </c>
      <c r="K2183" s="2" t="str">
        <f>VLOOKUP(ORDERS[[#This Row],[ProductID]],Products[],3,FALSE)</f>
        <v>Male</v>
      </c>
      <c r="L2183" s="2">
        <f>DAY(ORDERS[[#This Row],[OrderDate]])</f>
        <v>31</v>
      </c>
      <c r="M2183" s="2">
        <f>YEAR(ORDERS[[#This Row],[OrderDate]])</f>
        <v>2016</v>
      </c>
    </row>
    <row r="2184" spans="1:13" x14ac:dyDescent="0.3">
      <c r="A2184">
        <v>2183</v>
      </c>
      <c r="B2184">
        <v>6</v>
      </c>
      <c r="C2184">
        <v>4</v>
      </c>
      <c r="D2184" s="1">
        <v>42674</v>
      </c>
      <c r="E2184">
        <v>56</v>
      </c>
      <c r="F2184">
        <f>VLOOKUP(ORDERS[[#This Row],[ProductID]],Products[],4,FALSE)</f>
        <v>30</v>
      </c>
      <c r="G2184">
        <v>0</v>
      </c>
      <c r="H2184">
        <f>(ORDERS[[#This Row],[UnitsOrdered]]*ORDERS[[#This Row],[unit price]])-(ORDERS[[#This Row],[UnitsOrdered]]*ORDERS[[#This Row],[unit price]]*ORDERS[[#This Row],[Discount]])</f>
        <v>1680</v>
      </c>
      <c r="I2184" t="str">
        <f>VLOOKUP(ORDERS[[#This Row],[CustomerID]],customers[],2,FALSE)</f>
        <v>Abracadaba Ink</v>
      </c>
      <c r="J2184" s="2" t="str">
        <f>VLOOKUP(ORDERS[[#This Row],[CustomerID]],customers[],4,FALSE)</f>
        <v>Salt Lake City</v>
      </c>
      <c r="K2184" s="2" t="str">
        <f>VLOOKUP(ORDERS[[#This Row],[ProductID]],Products[],3,FALSE)</f>
        <v>Both</v>
      </c>
      <c r="L2184" s="2">
        <f>DAY(ORDERS[[#This Row],[OrderDate]])</f>
        <v>31</v>
      </c>
      <c r="M2184" s="2">
        <f>YEAR(ORDERS[[#This Row],[OrderDate]])</f>
        <v>2016</v>
      </c>
    </row>
    <row r="2185" spans="1:13" x14ac:dyDescent="0.3">
      <c r="A2185">
        <v>2184</v>
      </c>
      <c r="B2185">
        <v>6</v>
      </c>
      <c r="C2185">
        <v>10</v>
      </c>
      <c r="D2185" s="1">
        <v>42676</v>
      </c>
      <c r="E2185">
        <v>54</v>
      </c>
      <c r="F2185">
        <f>VLOOKUP(ORDERS[[#This Row],[ProductID]],Products[],4,FALSE)</f>
        <v>35</v>
      </c>
      <c r="G2185">
        <v>0</v>
      </c>
      <c r="H2185">
        <f>(ORDERS[[#This Row],[UnitsOrdered]]*ORDERS[[#This Row],[unit price]])-(ORDERS[[#This Row],[UnitsOrdered]]*ORDERS[[#This Row],[unit price]]*ORDERS[[#This Row],[Discount]])</f>
        <v>1890</v>
      </c>
      <c r="I2185" t="str">
        <f>VLOOKUP(ORDERS[[#This Row],[CustomerID]],customers[],2,FALSE)</f>
        <v>Abracadaba Ink</v>
      </c>
      <c r="J2185" s="2" t="str">
        <f>VLOOKUP(ORDERS[[#This Row],[CustomerID]],customers[],4,FALSE)</f>
        <v>Salt Lake City</v>
      </c>
      <c r="K2185" s="2" t="str">
        <f>VLOOKUP(ORDERS[[#This Row],[ProductID]],Products[],3,FALSE)</f>
        <v>Male</v>
      </c>
      <c r="L2185" s="2">
        <f>DAY(ORDERS[[#This Row],[OrderDate]])</f>
        <v>2</v>
      </c>
      <c r="M2185" s="2">
        <f>YEAR(ORDERS[[#This Row],[OrderDate]])</f>
        <v>2016</v>
      </c>
    </row>
    <row r="2186" spans="1:13" x14ac:dyDescent="0.3">
      <c r="A2186">
        <v>2185</v>
      </c>
      <c r="B2186">
        <v>7</v>
      </c>
      <c r="C2186">
        <v>1</v>
      </c>
      <c r="D2186" s="1">
        <v>42676</v>
      </c>
      <c r="E2186">
        <v>71</v>
      </c>
      <c r="F2186">
        <f>VLOOKUP(ORDERS[[#This Row],[ProductID]],Products[],4,FALSE)</f>
        <v>20</v>
      </c>
      <c r="G2186">
        <v>0</v>
      </c>
      <c r="H2186">
        <f>(ORDERS[[#This Row],[UnitsOrdered]]*ORDERS[[#This Row],[unit price]])-(ORDERS[[#This Row],[UnitsOrdered]]*ORDERS[[#This Row],[unit price]]*ORDERS[[#This Row],[Discount]])</f>
        <v>1420</v>
      </c>
      <c r="I2186" t="str">
        <f>VLOOKUP(ORDERS[[#This Row],[CustomerID]],customers[],2,FALSE)</f>
        <v>The Shirt on Your Back</v>
      </c>
      <c r="J2186" s="2" t="str">
        <f>VLOOKUP(ORDERS[[#This Row],[CustomerID]],customers[],4,FALSE)</f>
        <v>Bonners Ferry</v>
      </c>
      <c r="K2186" s="2" t="str">
        <f>VLOOKUP(ORDERS[[#This Row],[ProductID]],Products[],3,FALSE)</f>
        <v>Both</v>
      </c>
      <c r="L2186" s="2">
        <f>DAY(ORDERS[[#This Row],[OrderDate]])</f>
        <v>2</v>
      </c>
      <c r="M2186" s="2">
        <f>YEAR(ORDERS[[#This Row],[OrderDate]])</f>
        <v>2016</v>
      </c>
    </row>
    <row r="2187" spans="1:13" x14ac:dyDescent="0.3">
      <c r="A2187">
        <v>2186</v>
      </c>
      <c r="B2187">
        <v>1</v>
      </c>
      <c r="C2187">
        <v>9</v>
      </c>
      <c r="D2187" s="1">
        <v>42678</v>
      </c>
      <c r="E2187">
        <v>130</v>
      </c>
      <c r="F2187">
        <f>VLOOKUP(ORDERS[[#This Row],[ProductID]],Products[],4,FALSE)</f>
        <v>25</v>
      </c>
      <c r="G2187">
        <v>0.15000000599999999</v>
      </c>
      <c r="H2187">
        <f>(ORDERS[[#This Row],[UnitsOrdered]]*ORDERS[[#This Row],[unit price]])-(ORDERS[[#This Row],[UnitsOrdered]]*ORDERS[[#This Row],[unit price]]*ORDERS[[#This Row],[Discount]])</f>
        <v>2762.4999805000002</v>
      </c>
      <c r="I2187" t="str">
        <f>VLOOKUP(ORDERS[[#This Row],[CustomerID]],customers[],2,FALSE)</f>
        <v>Threads</v>
      </c>
      <c r="J2187" s="2" t="str">
        <f>VLOOKUP(ORDERS[[#This Row],[CustomerID]],customers[],4,FALSE)</f>
        <v>Seattle</v>
      </c>
      <c r="K2187" s="2" t="str">
        <f>VLOOKUP(ORDERS[[#This Row],[ProductID]],Products[],3,FALSE)</f>
        <v>Male</v>
      </c>
      <c r="L2187" s="2">
        <f>DAY(ORDERS[[#This Row],[OrderDate]])</f>
        <v>4</v>
      </c>
      <c r="M2187" s="2">
        <f>YEAR(ORDERS[[#This Row],[OrderDate]])</f>
        <v>2016</v>
      </c>
    </row>
    <row r="2188" spans="1:13" x14ac:dyDescent="0.3">
      <c r="A2188">
        <v>2187</v>
      </c>
      <c r="B2188">
        <v>2</v>
      </c>
      <c r="C2188">
        <v>6</v>
      </c>
      <c r="D2188" s="1">
        <v>42678</v>
      </c>
      <c r="E2188">
        <v>76</v>
      </c>
      <c r="F2188">
        <f>VLOOKUP(ORDERS[[#This Row],[ProductID]],Products[],4,FALSE)</f>
        <v>28</v>
      </c>
      <c r="G2188">
        <v>0</v>
      </c>
      <c r="H2188">
        <f>(ORDERS[[#This Row],[UnitsOrdered]]*ORDERS[[#This Row],[unit price]])-(ORDERS[[#This Row],[UnitsOrdered]]*ORDERS[[#This Row],[unit price]]*ORDERS[[#This Row],[Discount]])</f>
        <v>2128</v>
      </c>
      <c r="I2188" t="str">
        <f>VLOOKUP(ORDERS[[#This Row],[CustomerID]],customers[],2,FALSE)</f>
        <v>A Shirts Life</v>
      </c>
      <c r="J2188" s="2" t="str">
        <f>VLOOKUP(ORDERS[[#This Row],[CustomerID]],customers[],4,FALSE)</f>
        <v>Portland</v>
      </c>
      <c r="K2188" s="2" t="str">
        <f>VLOOKUP(ORDERS[[#This Row],[ProductID]],Products[],3,FALSE)</f>
        <v>Female</v>
      </c>
      <c r="L2188" s="2">
        <f>DAY(ORDERS[[#This Row],[OrderDate]])</f>
        <v>4</v>
      </c>
      <c r="M2188" s="2">
        <f>YEAR(ORDERS[[#This Row],[OrderDate]])</f>
        <v>2016</v>
      </c>
    </row>
    <row r="2189" spans="1:13" x14ac:dyDescent="0.3">
      <c r="A2189">
        <v>2188</v>
      </c>
      <c r="B2189">
        <v>7</v>
      </c>
      <c r="C2189">
        <v>9</v>
      </c>
      <c r="D2189" s="1">
        <v>42678</v>
      </c>
      <c r="E2189">
        <v>80</v>
      </c>
      <c r="F2189">
        <f>VLOOKUP(ORDERS[[#This Row],[ProductID]],Products[],4,FALSE)</f>
        <v>25</v>
      </c>
      <c r="G2189">
        <v>0</v>
      </c>
      <c r="H2189">
        <f>(ORDERS[[#This Row],[UnitsOrdered]]*ORDERS[[#This Row],[unit price]])-(ORDERS[[#This Row],[UnitsOrdered]]*ORDERS[[#This Row],[unit price]]*ORDERS[[#This Row],[Discount]])</f>
        <v>2000</v>
      </c>
      <c r="I2189" t="str">
        <f>VLOOKUP(ORDERS[[#This Row],[CustomerID]],customers[],2,FALSE)</f>
        <v>The Shirt on Your Back</v>
      </c>
      <c r="J2189" s="2" t="str">
        <f>VLOOKUP(ORDERS[[#This Row],[CustomerID]],customers[],4,FALSE)</f>
        <v>Bonners Ferry</v>
      </c>
      <c r="K2189" s="2" t="str">
        <f>VLOOKUP(ORDERS[[#This Row],[ProductID]],Products[],3,FALSE)</f>
        <v>Male</v>
      </c>
      <c r="L2189" s="2">
        <f>DAY(ORDERS[[#This Row],[OrderDate]])</f>
        <v>4</v>
      </c>
      <c r="M2189" s="2">
        <f>YEAR(ORDERS[[#This Row],[OrderDate]])</f>
        <v>2016</v>
      </c>
    </row>
    <row r="2190" spans="1:13" x14ac:dyDescent="0.3">
      <c r="A2190">
        <v>2189</v>
      </c>
      <c r="B2190">
        <v>1</v>
      </c>
      <c r="C2190">
        <v>4</v>
      </c>
      <c r="D2190" s="1">
        <v>42680</v>
      </c>
      <c r="E2190">
        <v>123</v>
      </c>
      <c r="F2190">
        <f>VLOOKUP(ORDERS[[#This Row],[ProductID]],Products[],4,FALSE)</f>
        <v>30</v>
      </c>
      <c r="G2190">
        <v>0</v>
      </c>
      <c r="H2190">
        <f>(ORDERS[[#This Row],[UnitsOrdered]]*ORDERS[[#This Row],[unit price]])-(ORDERS[[#This Row],[UnitsOrdered]]*ORDERS[[#This Row],[unit price]]*ORDERS[[#This Row],[Discount]])</f>
        <v>3690</v>
      </c>
      <c r="I2190" t="str">
        <f>VLOOKUP(ORDERS[[#This Row],[CustomerID]],customers[],2,FALSE)</f>
        <v>Threads</v>
      </c>
      <c r="J2190" s="2" t="str">
        <f>VLOOKUP(ORDERS[[#This Row],[CustomerID]],customers[],4,FALSE)</f>
        <v>Seattle</v>
      </c>
      <c r="K2190" s="2" t="str">
        <f>VLOOKUP(ORDERS[[#This Row],[ProductID]],Products[],3,FALSE)</f>
        <v>Both</v>
      </c>
      <c r="L2190" s="2">
        <f>DAY(ORDERS[[#This Row],[OrderDate]])</f>
        <v>6</v>
      </c>
      <c r="M2190" s="2">
        <f>YEAR(ORDERS[[#This Row],[OrderDate]])</f>
        <v>2016</v>
      </c>
    </row>
    <row r="2191" spans="1:13" x14ac:dyDescent="0.3">
      <c r="A2191">
        <v>2190</v>
      </c>
      <c r="B2191">
        <v>1</v>
      </c>
      <c r="C2191">
        <v>8</v>
      </c>
      <c r="D2191" s="1">
        <v>42682</v>
      </c>
      <c r="E2191">
        <v>142</v>
      </c>
      <c r="F2191">
        <f>VLOOKUP(ORDERS[[#This Row],[ProductID]],Products[],4,FALSE)</f>
        <v>27</v>
      </c>
      <c r="G2191">
        <v>0.10000000100000001</v>
      </c>
      <c r="H2191">
        <f>(ORDERS[[#This Row],[UnitsOrdered]]*ORDERS[[#This Row],[unit price]])-(ORDERS[[#This Row],[UnitsOrdered]]*ORDERS[[#This Row],[unit price]]*ORDERS[[#This Row],[Discount]])</f>
        <v>3450.599996166</v>
      </c>
      <c r="I2191" t="str">
        <f>VLOOKUP(ORDERS[[#This Row],[CustomerID]],customers[],2,FALSE)</f>
        <v>Threads</v>
      </c>
      <c r="J2191" s="2" t="str">
        <f>VLOOKUP(ORDERS[[#This Row],[CustomerID]],customers[],4,FALSE)</f>
        <v>Seattle</v>
      </c>
      <c r="K2191" s="2" t="str">
        <f>VLOOKUP(ORDERS[[#This Row],[ProductID]],Products[],3,FALSE)</f>
        <v>Female</v>
      </c>
      <c r="L2191" s="2">
        <f>DAY(ORDERS[[#This Row],[OrderDate]])</f>
        <v>8</v>
      </c>
      <c r="M2191" s="2">
        <f>YEAR(ORDERS[[#This Row],[OrderDate]])</f>
        <v>2016</v>
      </c>
    </row>
    <row r="2192" spans="1:13" x14ac:dyDescent="0.3">
      <c r="A2192">
        <v>2191</v>
      </c>
      <c r="B2192">
        <v>3</v>
      </c>
      <c r="C2192">
        <v>8</v>
      </c>
      <c r="D2192" s="1">
        <v>42683</v>
      </c>
      <c r="E2192">
        <v>139</v>
      </c>
      <c r="F2192">
        <f>VLOOKUP(ORDERS[[#This Row],[ProductID]],Products[],4,FALSE)</f>
        <v>27</v>
      </c>
      <c r="G2192">
        <v>0.15000000599999999</v>
      </c>
      <c r="H2192">
        <f>(ORDERS[[#This Row],[UnitsOrdered]]*ORDERS[[#This Row],[unit price]])-(ORDERS[[#This Row],[UnitsOrdered]]*ORDERS[[#This Row],[unit price]]*ORDERS[[#This Row],[Discount]])</f>
        <v>3190.049977482</v>
      </c>
      <c r="I2192" t="str">
        <f>VLOOKUP(ORDERS[[#This Row],[CustomerID]],customers[],2,FALSE)</f>
        <v>Shirts R Us</v>
      </c>
      <c r="J2192" s="2" t="str">
        <f>VLOOKUP(ORDERS[[#This Row],[CustomerID]],customers[],4,FALSE)</f>
        <v>Los Angeles</v>
      </c>
      <c r="K2192" s="2" t="str">
        <f>VLOOKUP(ORDERS[[#This Row],[ProductID]],Products[],3,FALSE)</f>
        <v>Female</v>
      </c>
      <c r="L2192" s="2">
        <f>DAY(ORDERS[[#This Row],[OrderDate]])</f>
        <v>9</v>
      </c>
      <c r="M2192" s="2">
        <f>YEAR(ORDERS[[#This Row],[OrderDate]])</f>
        <v>2016</v>
      </c>
    </row>
    <row r="2193" spans="1:13" x14ac:dyDescent="0.3">
      <c r="A2193">
        <v>2192</v>
      </c>
      <c r="B2193">
        <v>4</v>
      </c>
      <c r="C2193">
        <v>1</v>
      </c>
      <c r="D2193" s="1">
        <v>42683</v>
      </c>
      <c r="E2193">
        <v>50</v>
      </c>
      <c r="F2193">
        <f>VLOOKUP(ORDERS[[#This Row],[ProductID]],Products[],4,FALSE)</f>
        <v>20</v>
      </c>
      <c r="G2193">
        <v>0</v>
      </c>
      <c r="H2193">
        <f>(ORDERS[[#This Row],[UnitsOrdered]]*ORDERS[[#This Row],[unit price]])-(ORDERS[[#This Row],[UnitsOrdered]]*ORDERS[[#This Row],[unit price]]*ORDERS[[#This Row],[Discount]])</f>
        <v>1000</v>
      </c>
      <c r="I2193" t="str">
        <f>VLOOKUP(ORDERS[[#This Row],[CustomerID]],customers[],2,FALSE)</f>
        <v>Tshirt Unlimited</v>
      </c>
      <c r="J2193" s="2" t="str">
        <f>VLOOKUP(ORDERS[[#This Row],[CustomerID]],customers[],4,FALSE)</f>
        <v>Phoenix</v>
      </c>
      <c r="K2193" s="2" t="str">
        <f>VLOOKUP(ORDERS[[#This Row],[ProductID]],Products[],3,FALSE)</f>
        <v>Both</v>
      </c>
      <c r="L2193" s="2">
        <f>DAY(ORDERS[[#This Row],[OrderDate]])</f>
        <v>9</v>
      </c>
      <c r="M2193" s="2">
        <f>YEAR(ORDERS[[#This Row],[OrderDate]])</f>
        <v>2016</v>
      </c>
    </row>
    <row r="2194" spans="1:13" x14ac:dyDescent="0.3">
      <c r="A2194">
        <v>2193</v>
      </c>
      <c r="B2194">
        <v>7</v>
      </c>
      <c r="C2194">
        <v>7</v>
      </c>
      <c r="D2194" s="1">
        <v>42683</v>
      </c>
      <c r="E2194">
        <v>61</v>
      </c>
      <c r="F2194">
        <f>VLOOKUP(ORDERS[[#This Row],[ProductID]],Products[],4,FALSE)</f>
        <v>38</v>
      </c>
      <c r="G2194">
        <v>0</v>
      </c>
      <c r="H2194">
        <f>(ORDERS[[#This Row],[UnitsOrdered]]*ORDERS[[#This Row],[unit price]])-(ORDERS[[#This Row],[UnitsOrdered]]*ORDERS[[#This Row],[unit price]]*ORDERS[[#This Row],[Discount]])</f>
        <v>2318</v>
      </c>
      <c r="I2194" t="str">
        <f>VLOOKUP(ORDERS[[#This Row],[CustomerID]],customers[],2,FALSE)</f>
        <v>The Shirt on Your Back</v>
      </c>
      <c r="J2194" s="2" t="str">
        <f>VLOOKUP(ORDERS[[#This Row],[CustomerID]],customers[],4,FALSE)</f>
        <v>Bonners Ferry</v>
      </c>
      <c r="K2194" s="2" t="str">
        <f>VLOOKUP(ORDERS[[#This Row],[ProductID]],Products[],3,FALSE)</f>
        <v>Female</v>
      </c>
      <c r="L2194" s="2">
        <f>DAY(ORDERS[[#This Row],[OrderDate]])</f>
        <v>9</v>
      </c>
      <c r="M2194" s="2">
        <f>YEAR(ORDERS[[#This Row],[OrderDate]])</f>
        <v>2016</v>
      </c>
    </row>
    <row r="2195" spans="1:13" x14ac:dyDescent="0.3">
      <c r="A2195">
        <v>2194</v>
      </c>
      <c r="B2195">
        <v>2</v>
      </c>
      <c r="C2195">
        <v>10</v>
      </c>
      <c r="D2195" s="1">
        <v>42685</v>
      </c>
      <c r="E2195">
        <v>128</v>
      </c>
      <c r="F2195">
        <f>VLOOKUP(ORDERS[[#This Row],[ProductID]],Products[],4,FALSE)</f>
        <v>35</v>
      </c>
      <c r="G2195">
        <v>0</v>
      </c>
      <c r="H2195">
        <f>(ORDERS[[#This Row],[UnitsOrdered]]*ORDERS[[#This Row],[unit price]])-(ORDERS[[#This Row],[UnitsOrdered]]*ORDERS[[#This Row],[unit price]]*ORDERS[[#This Row],[Discount]])</f>
        <v>4480</v>
      </c>
      <c r="I2195" t="str">
        <f>VLOOKUP(ORDERS[[#This Row],[CustomerID]],customers[],2,FALSE)</f>
        <v>A Shirts Life</v>
      </c>
      <c r="J2195" s="2" t="str">
        <f>VLOOKUP(ORDERS[[#This Row],[CustomerID]],customers[],4,FALSE)</f>
        <v>Portland</v>
      </c>
      <c r="K2195" s="2" t="str">
        <f>VLOOKUP(ORDERS[[#This Row],[ProductID]],Products[],3,FALSE)</f>
        <v>Male</v>
      </c>
      <c r="L2195" s="2">
        <f>DAY(ORDERS[[#This Row],[OrderDate]])</f>
        <v>11</v>
      </c>
      <c r="M2195" s="2">
        <f>YEAR(ORDERS[[#This Row],[OrderDate]])</f>
        <v>2016</v>
      </c>
    </row>
    <row r="2196" spans="1:13" x14ac:dyDescent="0.3">
      <c r="A2196">
        <v>2195</v>
      </c>
      <c r="B2196">
        <v>5</v>
      </c>
      <c r="C2196">
        <v>10</v>
      </c>
      <c r="D2196" s="1">
        <v>42685</v>
      </c>
      <c r="E2196">
        <v>119</v>
      </c>
      <c r="F2196">
        <f>VLOOKUP(ORDERS[[#This Row],[ProductID]],Products[],4,FALSE)</f>
        <v>35</v>
      </c>
      <c r="G2196">
        <v>0</v>
      </c>
      <c r="H2196">
        <f>(ORDERS[[#This Row],[UnitsOrdered]]*ORDERS[[#This Row],[unit price]])-(ORDERS[[#This Row],[UnitsOrdered]]*ORDERS[[#This Row],[unit price]]*ORDERS[[#This Row],[Discount]])</f>
        <v>4165</v>
      </c>
      <c r="I2196" t="str">
        <f>VLOOKUP(ORDERS[[#This Row],[CustomerID]],customers[],2,FALSE)</f>
        <v>Rags to Riches</v>
      </c>
      <c r="J2196" s="2" t="str">
        <f>VLOOKUP(ORDERS[[#This Row],[CustomerID]],customers[],4,FALSE)</f>
        <v>Las Vegas</v>
      </c>
      <c r="K2196" s="2" t="str">
        <f>VLOOKUP(ORDERS[[#This Row],[ProductID]],Products[],3,FALSE)</f>
        <v>Male</v>
      </c>
      <c r="L2196" s="2">
        <f>DAY(ORDERS[[#This Row],[OrderDate]])</f>
        <v>11</v>
      </c>
      <c r="M2196" s="2">
        <f>YEAR(ORDERS[[#This Row],[OrderDate]])</f>
        <v>2016</v>
      </c>
    </row>
    <row r="2197" spans="1:13" x14ac:dyDescent="0.3">
      <c r="A2197">
        <v>2196</v>
      </c>
      <c r="B2197">
        <v>7</v>
      </c>
      <c r="C2197">
        <v>10</v>
      </c>
      <c r="D2197" s="1">
        <v>42686</v>
      </c>
      <c r="E2197">
        <v>132</v>
      </c>
      <c r="F2197">
        <f>VLOOKUP(ORDERS[[#This Row],[ProductID]],Products[],4,FALSE)</f>
        <v>35</v>
      </c>
      <c r="G2197">
        <v>0</v>
      </c>
      <c r="H2197">
        <f>(ORDERS[[#This Row],[UnitsOrdered]]*ORDERS[[#This Row],[unit price]])-(ORDERS[[#This Row],[UnitsOrdered]]*ORDERS[[#This Row],[unit price]]*ORDERS[[#This Row],[Discount]])</f>
        <v>4620</v>
      </c>
      <c r="I2197" t="str">
        <f>VLOOKUP(ORDERS[[#This Row],[CustomerID]],customers[],2,FALSE)</f>
        <v>The Shirt on Your Back</v>
      </c>
      <c r="J2197" s="2" t="str">
        <f>VLOOKUP(ORDERS[[#This Row],[CustomerID]],customers[],4,FALSE)</f>
        <v>Bonners Ferry</v>
      </c>
      <c r="K2197" s="2" t="str">
        <f>VLOOKUP(ORDERS[[#This Row],[ProductID]],Products[],3,FALSE)</f>
        <v>Male</v>
      </c>
      <c r="L2197" s="2">
        <f>DAY(ORDERS[[#This Row],[OrderDate]])</f>
        <v>12</v>
      </c>
      <c r="M2197" s="2">
        <f>YEAR(ORDERS[[#This Row],[OrderDate]])</f>
        <v>2016</v>
      </c>
    </row>
    <row r="2198" spans="1:13" x14ac:dyDescent="0.3">
      <c r="A2198">
        <v>2197</v>
      </c>
      <c r="B2198">
        <v>4</v>
      </c>
      <c r="C2198">
        <v>1</v>
      </c>
      <c r="D2198" s="1">
        <v>42687</v>
      </c>
      <c r="E2198">
        <v>57</v>
      </c>
      <c r="F2198">
        <f>VLOOKUP(ORDERS[[#This Row],[ProductID]],Products[],4,FALSE)</f>
        <v>20</v>
      </c>
      <c r="G2198">
        <v>0</v>
      </c>
      <c r="H2198">
        <f>(ORDERS[[#This Row],[UnitsOrdered]]*ORDERS[[#This Row],[unit price]])-(ORDERS[[#This Row],[UnitsOrdered]]*ORDERS[[#This Row],[unit price]]*ORDERS[[#This Row],[Discount]])</f>
        <v>1140</v>
      </c>
      <c r="I2198" t="str">
        <f>VLOOKUP(ORDERS[[#This Row],[CustomerID]],customers[],2,FALSE)</f>
        <v>Tshirt Unlimited</v>
      </c>
      <c r="J2198" s="2" t="str">
        <f>VLOOKUP(ORDERS[[#This Row],[CustomerID]],customers[],4,FALSE)</f>
        <v>Phoenix</v>
      </c>
      <c r="K2198" s="2" t="str">
        <f>VLOOKUP(ORDERS[[#This Row],[ProductID]],Products[],3,FALSE)</f>
        <v>Both</v>
      </c>
      <c r="L2198" s="2">
        <f>DAY(ORDERS[[#This Row],[OrderDate]])</f>
        <v>13</v>
      </c>
      <c r="M2198" s="2">
        <f>YEAR(ORDERS[[#This Row],[OrderDate]])</f>
        <v>2016</v>
      </c>
    </row>
    <row r="2199" spans="1:13" x14ac:dyDescent="0.3">
      <c r="A2199">
        <v>2198</v>
      </c>
      <c r="B2199">
        <v>2</v>
      </c>
      <c r="C2199">
        <v>5</v>
      </c>
      <c r="D2199" s="1">
        <v>42688</v>
      </c>
      <c r="E2199">
        <v>71</v>
      </c>
      <c r="F2199">
        <f>VLOOKUP(ORDERS[[#This Row],[ProductID]],Products[],4,FALSE)</f>
        <v>16</v>
      </c>
      <c r="G2199">
        <v>0</v>
      </c>
      <c r="H2199">
        <f>(ORDERS[[#This Row],[UnitsOrdered]]*ORDERS[[#This Row],[unit price]])-(ORDERS[[#This Row],[UnitsOrdered]]*ORDERS[[#This Row],[unit price]]*ORDERS[[#This Row],[Discount]])</f>
        <v>1136</v>
      </c>
      <c r="I2199" t="str">
        <f>VLOOKUP(ORDERS[[#This Row],[CustomerID]],customers[],2,FALSE)</f>
        <v>A Shirts Life</v>
      </c>
      <c r="J2199" s="2" t="str">
        <f>VLOOKUP(ORDERS[[#This Row],[CustomerID]],customers[],4,FALSE)</f>
        <v>Portland</v>
      </c>
      <c r="K2199" s="2" t="str">
        <f>VLOOKUP(ORDERS[[#This Row],[ProductID]],Products[],3,FALSE)</f>
        <v>Female</v>
      </c>
      <c r="L2199" s="2">
        <f>DAY(ORDERS[[#This Row],[OrderDate]])</f>
        <v>14</v>
      </c>
      <c r="M2199" s="2">
        <f>YEAR(ORDERS[[#This Row],[OrderDate]])</f>
        <v>2016</v>
      </c>
    </row>
    <row r="2200" spans="1:13" x14ac:dyDescent="0.3">
      <c r="A2200">
        <v>2199</v>
      </c>
      <c r="B2200">
        <v>5</v>
      </c>
      <c r="C2200">
        <v>7</v>
      </c>
      <c r="D2200" s="1">
        <v>42688</v>
      </c>
      <c r="E2200">
        <v>62</v>
      </c>
      <c r="F2200">
        <f>VLOOKUP(ORDERS[[#This Row],[ProductID]],Products[],4,FALSE)</f>
        <v>38</v>
      </c>
      <c r="G2200">
        <v>0</v>
      </c>
      <c r="H2200">
        <f>(ORDERS[[#This Row],[UnitsOrdered]]*ORDERS[[#This Row],[unit price]])-(ORDERS[[#This Row],[UnitsOrdered]]*ORDERS[[#This Row],[unit price]]*ORDERS[[#This Row],[Discount]])</f>
        <v>2356</v>
      </c>
      <c r="I2200" t="str">
        <f>VLOOKUP(ORDERS[[#This Row],[CustomerID]],customers[],2,FALSE)</f>
        <v>Rags to Riches</v>
      </c>
      <c r="J2200" s="2" t="str">
        <f>VLOOKUP(ORDERS[[#This Row],[CustomerID]],customers[],4,FALSE)</f>
        <v>Las Vegas</v>
      </c>
      <c r="K2200" s="2" t="str">
        <f>VLOOKUP(ORDERS[[#This Row],[ProductID]],Products[],3,FALSE)</f>
        <v>Female</v>
      </c>
      <c r="L2200" s="2">
        <f>DAY(ORDERS[[#This Row],[OrderDate]])</f>
        <v>14</v>
      </c>
      <c r="M2200" s="2">
        <f>YEAR(ORDERS[[#This Row],[OrderDate]])</f>
        <v>2016</v>
      </c>
    </row>
    <row r="2201" spans="1:13" x14ac:dyDescent="0.3">
      <c r="A2201">
        <v>2200</v>
      </c>
      <c r="B2201">
        <v>6</v>
      </c>
      <c r="C2201">
        <v>5</v>
      </c>
      <c r="D2201" s="1">
        <v>42692</v>
      </c>
      <c r="E2201">
        <v>54</v>
      </c>
      <c r="F2201">
        <f>VLOOKUP(ORDERS[[#This Row],[ProductID]],Products[],4,FALSE)</f>
        <v>16</v>
      </c>
      <c r="G2201">
        <v>5.0000001000000002E-2</v>
      </c>
      <c r="H2201">
        <f>(ORDERS[[#This Row],[UnitsOrdered]]*ORDERS[[#This Row],[unit price]])-(ORDERS[[#This Row],[UnitsOrdered]]*ORDERS[[#This Row],[unit price]]*ORDERS[[#This Row],[Discount]])</f>
        <v>820.799999136</v>
      </c>
      <c r="I2201" t="str">
        <f>VLOOKUP(ORDERS[[#This Row],[CustomerID]],customers[],2,FALSE)</f>
        <v>Abracadaba Ink</v>
      </c>
      <c r="J2201" s="2" t="str">
        <f>VLOOKUP(ORDERS[[#This Row],[CustomerID]],customers[],4,FALSE)</f>
        <v>Salt Lake City</v>
      </c>
      <c r="K2201" s="2" t="str">
        <f>VLOOKUP(ORDERS[[#This Row],[ProductID]],Products[],3,FALSE)</f>
        <v>Female</v>
      </c>
      <c r="L2201" s="2">
        <f>DAY(ORDERS[[#This Row],[OrderDate]])</f>
        <v>18</v>
      </c>
      <c r="M2201" s="2">
        <f>YEAR(ORDERS[[#This Row],[OrderDate]])</f>
        <v>2016</v>
      </c>
    </row>
    <row r="2202" spans="1:13" x14ac:dyDescent="0.3">
      <c r="A2202">
        <v>2201</v>
      </c>
      <c r="B2202">
        <v>5</v>
      </c>
      <c r="C2202">
        <v>2</v>
      </c>
      <c r="D2202" s="1">
        <v>42693</v>
      </c>
      <c r="E2202">
        <v>43</v>
      </c>
      <c r="F2202">
        <f>VLOOKUP(ORDERS[[#This Row],[ProductID]],Products[],4,FALSE)</f>
        <v>30</v>
      </c>
      <c r="G2202">
        <v>5.0000001000000002E-2</v>
      </c>
      <c r="H2202">
        <f>(ORDERS[[#This Row],[UnitsOrdered]]*ORDERS[[#This Row],[unit price]])-(ORDERS[[#This Row],[UnitsOrdered]]*ORDERS[[#This Row],[unit price]]*ORDERS[[#This Row],[Discount]])</f>
        <v>1225.49999871</v>
      </c>
      <c r="I2202" t="str">
        <f>VLOOKUP(ORDERS[[#This Row],[CustomerID]],customers[],2,FALSE)</f>
        <v>Rags to Riches</v>
      </c>
      <c r="J2202" s="2" t="str">
        <f>VLOOKUP(ORDERS[[#This Row],[CustomerID]],customers[],4,FALSE)</f>
        <v>Las Vegas</v>
      </c>
      <c r="K2202" s="2" t="str">
        <f>VLOOKUP(ORDERS[[#This Row],[ProductID]],Products[],3,FALSE)</f>
        <v>Both</v>
      </c>
      <c r="L2202" s="2">
        <f>DAY(ORDERS[[#This Row],[OrderDate]])</f>
        <v>19</v>
      </c>
      <c r="M2202" s="2">
        <f>YEAR(ORDERS[[#This Row],[OrderDate]])</f>
        <v>2016</v>
      </c>
    </row>
    <row r="2203" spans="1:13" x14ac:dyDescent="0.3">
      <c r="A2203">
        <v>2202</v>
      </c>
      <c r="B2203">
        <v>3</v>
      </c>
      <c r="C2203">
        <v>1</v>
      </c>
      <c r="D2203" s="1">
        <v>42694</v>
      </c>
      <c r="E2203">
        <v>137</v>
      </c>
      <c r="F2203">
        <f>VLOOKUP(ORDERS[[#This Row],[ProductID]],Products[],4,FALSE)</f>
        <v>20</v>
      </c>
      <c r="G2203">
        <v>0</v>
      </c>
      <c r="H2203">
        <f>(ORDERS[[#This Row],[UnitsOrdered]]*ORDERS[[#This Row],[unit price]])-(ORDERS[[#This Row],[UnitsOrdered]]*ORDERS[[#This Row],[unit price]]*ORDERS[[#This Row],[Discount]])</f>
        <v>2740</v>
      </c>
      <c r="I2203" t="str">
        <f>VLOOKUP(ORDERS[[#This Row],[CustomerID]],customers[],2,FALSE)</f>
        <v>Shirts R Us</v>
      </c>
      <c r="J2203" s="2" t="str">
        <f>VLOOKUP(ORDERS[[#This Row],[CustomerID]],customers[],4,FALSE)</f>
        <v>Los Angeles</v>
      </c>
      <c r="K2203" s="2" t="str">
        <f>VLOOKUP(ORDERS[[#This Row],[ProductID]],Products[],3,FALSE)</f>
        <v>Both</v>
      </c>
      <c r="L2203" s="2">
        <f>DAY(ORDERS[[#This Row],[OrderDate]])</f>
        <v>20</v>
      </c>
      <c r="M2203" s="2">
        <f>YEAR(ORDERS[[#This Row],[OrderDate]])</f>
        <v>2016</v>
      </c>
    </row>
    <row r="2204" spans="1:13" x14ac:dyDescent="0.3">
      <c r="A2204">
        <v>2203</v>
      </c>
      <c r="B2204">
        <v>3</v>
      </c>
      <c r="C2204">
        <v>4</v>
      </c>
      <c r="D2204" s="1">
        <v>42696</v>
      </c>
      <c r="E2204">
        <v>97</v>
      </c>
      <c r="F2204">
        <f>VLOOKUP(ORDERS[[#This Row],[ProductID]],Products[],4,FALSE)</f>
        <v>30</v>
      </c>
      <c r="G2204">
        <v>0</v>
      </c>
      <c r="H2204">
        <f>(ORDERS[[#This Row],[UnitsOrdered]]*ORDERS[[#This Row],[unit price]])-(ORDERS[[#This Row],[UnitsOrdered]]*ORDERS[[#This Row],[unit price]]*ORDERS[[#This Row],[Discount]])</f>
        <v>2910</v>
      </c>
      <c r="I2204" t="str">
        <f>VLOOKUP(ORDERS[[#This Row],[CustomerID]],customers[],2,FALSE)</f>
        <v>Shirts R Us</v>
      </c>
      <c r="J2204" s="2" t="str">
        <f>VLOOKUP(ORDERS[[#This Row],[CustomerID]],customers[],4,FALSE)</f>
        <v>Los Angeles</v>
      </c>
      <c r="K2204" s="2" t="str">
        <f>VLOOKUP(ORDERS[[#This Row],[ProductID]],Products[],3,FALSE)</f>
        <v>Both</v>
      </c>
      <c r="L2204" s="2">
        <f>DAY(ORDERS[[#This Row],[OrderDate]])</f>
        <v>22</v>
      </c>
      <c r="M2204" s="2">
        <f>YEAR(ORDERS[[#This Row],[OrderDate]])</f>
        <v>2016</v>
      </c>
    </row>
    <row r="2205" spans="1:13" x14ac:dyDescent="0.3">
      <c r="A2205">
        <v>2204</v>
      </c>
      <c r="B2205">
        <v>7</v>
      </c>
      <c r="C2205">
        <v>1</v>
      </c>
      <c r="D2205" s="1">
        <v>42696</v>
      </c>
      <c r="E2205">
        <v>143</v>
      </c>
      <c r="F2205">
        <f>VLOOKUP(ORDERS[[#This Row],[ProductID]],Products[],4,FALSE)</f>
        <v>20</v>
      </c>
      <c r="G2205">
        <v>0</v>
      </c>
      <c r="H2205">
        <f>(ORDERS[[#This Row],[UnitsOrdered]]*ORDERS[[#This Row],[unit price]])-(ORDERS[[#This Row],[UnitsOrdered]]*ORDERS[[#This Row],[unit price]]*ORDERS[[#This Row],[Discount]])</f>
        <v>2860</v>
      </c>
      <c r="I2205" t="str">
        <f>VLOOKUP(ORDERS[[#This Row],[CustomerID]],customers[],2,FALSE)</f>
        <v>The Shirt on Your Back</v>
      </c>
      <c r="J2205" s="2" t="str">
        <f>VLOOKUP(ORDERS[[#This Row],[CustomerID]],customers[],4,FALSE)</f>
        <v>Bonners Ferry</v>
      </c>
      <c r="K2205" s="2" t="str">
        <f>VLOOKUP(ORDERS[[#This Row],[ProductID]],Products[],3,FALSE)</f>
        <v>Both</v>
      </c>
      <c r="L2205" s="2">
        <f>DAY(ORDERS[[#This Row],[OrderDate]])</f>
        <v>22</v>
      </c>
      <c r="M2205" s="2">
        <f>YEAR(ORDERS[[#This Row],[OrderDate]])</f>
        <v>2016</v>
      </c>
    </row>
    <row r="2206" spans="1:13" x14ac:dyDescent="0.3">
      <c r="A2206">
        <v>2205</v>
      </c>
      <c r="B2206">
        <v>3</v>
      </c>
      <c r="C2206">
        <v>5</v>
      </c>
      <c r="D2206" s="1">
        <v>42697</v>
      </c>
      <c r="E2206">
        <v>86</v>
      </c>
      <c r="F2206">
        <f>VLOOKUP(ORDERS[[#This Row],[ProductID]],Products[],4,FALSE)</f>
        <v>16</v>
      </c>
      <c r="G2206">
        <v>0.10000000100000001</v>
      </c>
      <c r="H2206">
        <f>(ORDERS[[#This Row],[UnitsOrdered]]*ORDERS[[#This Row],[unit price]])-(ORDERS[[#This Row],[UnitsOrdered]]*ORDERS[[#This Row],[unit price]]*ORDERS[[#This Row],[Discount]])</f>
        <v>1238.3999986240001</v>
      </c>
      <c r="I2206" t="str">
        <f>VLOOKUP(ORDERS[[#This Row],[CustomerID]],customers[],2,FALSE)</f>
        <v>Shirts R Us</v>
      </c>
      <c r="J2206" s="2" t="str">
        <f>VLOOKUP(ORDERS[[#This Row],[CustomerID]],customers[],4,FALSE)</f>
        <v>Los Angeles</v>
      </c>
      <c r="K2206" s="2" t="str">
        <f>VLOOKUP(ORDERS[[#This Row],[ProductID]],Products[],3,FALSE)</f>
        <v>Female</v>
      </c>
      <c r="L2206" s="2">
        <f>DAY(ORDERS[[#This Row],[OrderDate]])</f>
        <v>23</v>
      </c>
      <c r="M2206" s="2">
        <f>YEAR(ORDERS[[#This Row],[OrderDate]])</f>
        <v>2016</v>
      </c>
    </row>
    <row r="2207" spans="1:13" x14ac:dyDescent="0.3">
      <c r="A2207">
        <v>2206</v>
      </c>
      <c r="B2207">
        <v>5</v>
      </c>
      <c r="C2207">
        <v>6</v>
      </c>
      <c r="D2207" s="1">
        <v>42697</v>
      </c>
      <c r="E2207">
        <v>29</v>
      </c>
      <c r="F2207">
        <f>VLOOKUP(ORDERS[[#This Row],[ProductID]],Products[],4,FALSE)</f>
        <v>28</v>
      </c>
      <c r="G2207">
        <v>0</v>
      </c>
      <c r="H2207">
        <f>(ORDERS[[#This Row],[UnitsOrdered]]*ORDERS[[#This Row],[unit price]])-(ORDERS[[#This Row],[UnitsOrdered]]*ORDERS[[#This Row],[unit price]]*ORDERS[[#This Row],[Discount]])</f>
        <v>812</v>
      </c>
      <c r="I2207" t="str">
        <f>VLOOKUP(ORDERS[[#This Row],[CustomerID]],customers[],2,FALSE)</f>
        <v>Rags to Riches</v>
      </c>
      <c r="J2207" s="2" t="str">
        <f>VLOOKUP(ORDERS[[#This Row],[CustomerID]],customers[],4,FALSE)</f>
        <v>Las Vegas</v>
      </c>
      <c r="K2207" s="2" t="str">
        <f>VLOOKUP(ORDERS[[#This Row],[ProductID]],Products[],3,FALSE)</f>
        <v>Female</v>
      </c>
      <c r="L2207" s="2">
        <f>DAY(ORDERS[[#This Row],[OrderDate]])</f>
        <v>23</v>
      </c>
      <c r="M2207" s="2">
        <f>YEAR(ORDERS[[#This Row],[OrderDate]])</f>
        <v>2016</v>
      </c>
    </row>
    <row r="2208" spans="1:13" x14ac:dyDescent="0.3">
      <c r="A2208">
        <v>2207</v>
      </c>
      <c r="B2208">
        <v>5</v>
      </c>
      <c r="C2208">
        <v>9</v>
      </c>
      <c r="D2208" s="1">
        <v>42697</v>
      </c>
      <c r="E2208">
        <v>39</v>
      </c>
      <c r="F2208">
        <f>VLOOKUP(ORDERS[[#This Row],[ProductID]],Products[],4,FALSE)</f>
        <v>25</v>
      </c>
      <c r="G2208">
        <v>0</v>
      </c>
      <c r="H2208">
        <f>(ORDERS[[#This Row],[UnitsOrdered]]*ORDERS[[#This Row],[unit price]])-(ORDERS[[#This Row],[UnitsOrdered]]*ORDERS[[#This Row],[unit price]]*ORDERS[[#This Row],[Discount]])</f>
        <v>975</v>
      </c>
      <c r="I2208" t="str">
        <f>VLOOKUP(ORDERS[[#This Row],[CustomerID]],customers[],2,FALSE)</f>
        <v>Rags to Riches</v>
      </c>
      <c r="J2208" s="2" t="str">
        <f>VLOOKUP(ORDERS[[#This Row],[CustomerID]],customers[],4,FALSE)</f>
        <v>Las Vegas</v>
      </c>
      <c r="K2208" s="2" t="str">
        <f>VLOOKUP(ORDERS[[#This Row],[ProductID]],Products[],3,FALSE)</f>
        <v>Male</v>
      </c>
      <c r="L2208" s="2">
        <f>DAY(ORDERS[[#This Row],[OrderDate]])</f>
        <v>23</v>
      </c>
      <c r="M2208" s="2">
        <f>YEAR(ORDERS[[#This Row],[OrderDate]])</f>
        <v>2016</v>
      </c>
    </row>
    <row r="2209" spans="1:13" x14ac:dyDescent="0.3">
      <c r="A2209">
        <v>2208</v>
      </c>
      <c r="B2209">
        <v>3</v>
      </c>
      <c r="C2209">
        <v>3</v>
      </c>
      <c r="D2209" s="1">
        <v>42698</v>
      </c>
      <c r="E2209">
        <v>86</v>
      </c>
      <c r="F2209">
        <f>VLOOKUP(ORDERS[[#This Row],[ProductID]],Products[],4,FALSE)</f>
        <v>22</v>
      </c>
      <c r="G2209">
        <v>0</v>
      </c>
      <c r="H2209">
        <f>(ORDERS[[#This Row],[UnitsOrdered]]*ORDERS[[#This Row],[unit price]])-(ORDERS[[#This Row],[UnitsOrdered]]*ORDERS[[#This Row],[unit price]]*ORDERS[[#This Row],[Discount]])</f>
        <v>1892</v>
      </c>
      <c r="I2209" t="str">
        <f>VLOOKUP(ORDERS[[#This Row],[CustomerID]],customers[],2,FALSE)</f>
        <v>Shirts R Us</v>
      </c>
      <c r="J2209" s="2" t="str">
        <f>VLOOKUP(ORDERS[[#This Row],[CustomerID]],customers[],4,FALSE)</f>
        <v>Los Angeles</v>
      </c>
      <c r="K2209" s="2" t="str">
        <f>VLOOKUP(ORDERS[[#This Row],[ProductID]],Products[],3,FALSE)</f>
        <v>Both</v>
      </c>
      <c r="L2209" s="2">
        <f>DAY(ORDERS[[#This Row],[OrderDate]])</f>
        <v>24</v>
      </c>
      <c r="M2209" s="2">
        <f>YEAR(ORDERS[[#This Row],[OrderDate]])</f>
        <v>2016</v>
      </c>
    </row>
    <row r="2210" spans="1:13" x14ac:dyDescent="0.3">
      <c r="A2210">
        <v>2209</v>
      </c>
      <c r="B2210">
        <v>4</v>
      </c>
      <c r="C2210">
        <v>3</v>
      </c>
      <c r="D2210" s="1">
        <v>42698</v>
      </c>
      <c r="E2210">
        <v>62</v>
      </c>
      <c r="F2210">
        <f>VLOOKUP(ORDERS[[#This Row],[ProductID]],Products[],4,FALSE)</f>
        <v>22</v>
      </c>
      <c r="G2210">
        <v>0</v>
      </c>
      <c r="H2210">
        <f>(ORDERS[[#This Row],[UnitsOrdered]]*ORDERS[[#This Row],[unit price]])-(ORDERS[[#This Row],[UnitsOrdered]]*ORDERS[[#This Row],[unit price]]*ORDERS[[#This Row],[Discount]])</f>
        <v>1364</v>
      </c>
      <c r="I2210" t="str">
        <f>VLOOKUP(ORDERS[[#This Row],[CustomerID]],customers[],2,FALSE)</f>
        <v>Tshirt Unlimited</v>
      </c>
      <c r="J2210" s="2" t="str">
        <f>VLOOKUP(ORDERS[[#This Row],[CustomerID]],customers[],4,FALSE)</f>
        <v>Phoenix</v>
      </c>
      <c r="K2210" s="2" t="str">
        <f>VLOOKUP(ORDERS[[#This Row],[ProductID]],Products[],3,FALSE)</f>
        <v>Both</v>
      </c>
      <c r="L2210" s="2">
        <f>DAY(ORDERS[[#This Row],[OrderDate]])</f>
        <v>24</v>
      </c>
      <c r="M2210" s="2">
        <f>YEAR(ORDERS[[#This Row],[OrderDate]])</f>
        <v>2016</v>
      </c>
    </row>
    <row r="2211" spans="1:13" x14ac:dyDescent="0.3">
      <c r="A2211">
        <v>2210</v>
      </c>
      <c r="B2211">
        <v>4</v>
      </c>
      <c r="C2211">
        <v>8</v>
      </c>
      <c r="D2211" s="1">
        <v>42700</v>
      </c>
      <c r="E2211">
        <v>37</v>
      </c>
      <c r="F2211">
        <f>VLOOKUP(ORDERS[[#This Row],[ProductID]],Products[],4,FALSE)</f>
        <v>27</v>
      </c>
      <c r="G2211">
        <v>0</v>
      </c>
      <c r="H2211">
        <f>(ORDERS[[#This Row],[UnitsOrdered]]*ORDERS[[#This Row],[unit price]])-(ORDERS[[#This Row],[UnitsOrdered]]*ORDERS[[#This Row],[unit price]]*ORDERS[[#This Row],[Discount]])</f>
        <v>999</v>
      </c>
      <c r="I2211" t="str">
        <f>VLOOKUP(ORDERS[[#This Row],[CustomerID]],customers[],2,FALSE)</f>
        <v>Tshirt Unlimited</v>
      </c>
      <c r="J2211" s="2" t="str">
        <f>VLOOKUP(ORDERS[[#This Row],[CustomerID]],customers[],4,FALSE)</f>
        <v>Phoenix</v>
      </c>
      <c r="K2211" s="2" t="str">
        <f>VLOOKUP(ORDERS[[#This Row],[ProductID]],Products[],3,FALSE)</f>
        <v>Female</v>
      </c>
      <c r="L2211" s="2">
        <f>DAY(ORDERS[[#This Row],[OrderDate]])</f>
        <v>26</v>
      </c>
      <c r="M2211" s="2">
        <f>YEAR(ORDERS[[#This Row],[OrderDate]])</f>
        <v>2016</v>
      </c>
    </row>
    <row r="2212" spans="1:13" x14ac:dyDescent="0.3">
      <c r="A2212">
        <v>2211</v>
      </c>
      <c r="B2212">
        <v>7</v>
      </c>
      <c r="C2212">
        <v>9</v>
      </c>
      <c r="D2212" s="1">
        <v>42700</v>
      </c>
      <c r="E2212">
        <v>36</v>
      </c>
      <c r="F2212">
        <f>VLOOKUP(ORDERS[[#This Row],[ProductID]],Products[],4,FALSE)</f>
        <v>25</v>
      </c>
      <c r="G2212">
        <v>0</v>
      </c>
      <c r="H2212">
        <f>(ORDERS[[#This Row],[UnitsOrdered]]*ORDERS[[#This Row],[unit price]])-(ORDERS[[#This Row],[UnitsOrdered]]*ORDERS[[#This Row],[unit price]]*ORDERS[[#This Row],[Discount]])</f>
        <v>900</v>
      </c>
      <c r="I2212" t="str">
        <f>VLOOKUP(ORDERS[[#This Row],[CustomerID]],customers[],2,FALSE)</f>
        <v>The Shirt on Your Back</v>
      </c>
      <c r="J2212" s="2" t="str">
        <f>VLOOKUP(ORDERS[[#This Row],[CustomerID]],customers[],4,FALSE)</f>
        <v>Bonners Ferry</v>
      </c>
      <c r="K2212" s="2" t="str">
        <f>VLOOKUP(ORDERS[[#This Row],[ProductID]],Products[],3,FALSE)</f>
        <v>Male</v>
      </c>
      <c r="L2212" s="2">
        <f>DAY(ORDERS[[#This Row],[OrderDate]])</f>
        <v>26</v>
      </c>
      <c r="M2212" s="2">
        <f>YEAR(ORDERS[[#This Row],[OrderDate]])</f>
        <v>2016</v>
      </c>
    </row>
    <row r="2213" spans="1:13" x14ac:dyDescent="0.3">
      <c r="A2213">
        <v>2212</v>
      </c>
      <c r="B2213">
        <v>1</v>
      </c>
      <c r="C2213">
        <v>5</v>
      </c>
      <c r="D2213" s="1">
        <v>42701</v>
      </c>
      <c r="E2213">
        <v>63</v>
      </c>
      <c r="F2213">
        <f>VLOOKUP(ORDERS[[#This Row],[ProductID]],Products[],4,FALSE)</f>
        <v>16</v>
      </c>
      <c r="G2213">
        <v>0</v>
      </c>
      <c r="H2213">
        <f>(ORDERS[[#This Row],[UnitsOrdered]]*ORDERS[[#This Row],[unit price]])-(ORDERS[[#This Row],[UnitsOrdered]]*ORDERS[[#This Row],[unit price]]*ORDERS[[#This Row],[Discount]])</f>
        <v>1008</v>
      </c>
      <c r="I2213" t="str">
        <f>VLOOKUP(ORDERS[[#This Row],[CustomerID]],customers[],2,FALSE)</f>
        <v>Threads</v>
      </c>
      <c r="J2213" s="2" t="str">
        <f>VLOOKUP(ORDERS[[#This Row],[CustomerID]],customers[],4,FALSE)</f>
        <v>Seattle</v>
      </c>
      <c r="K2213" s="2" t="str">
        <f>VLOOKUP(ORDERS[[#This Row],[ProductID]],Products[],3,FALSE)</f>
        <v>Female</v>
      </c>
      <c r="L2213" s="2">
        <f>DAY(ORDERS[[#This Row],[OrderDate]])</f>
        <v>27</v>
      </c>
      <c r="M2213" s="2">
        <f>YEAR(ORDERS[[#This Row],[OrderDate]])</f>
        <v>2016</v>
      </c>
    </row>
    <row r="2214" spans="1:13" x14ac:dyDescent="0.3">
      <c r="A2214">
        <v>2213</v>
      </c>
      <c r="B2214">
        <v>1</v>
      </c>
      <c r="C2214">
        <v>3</v>
      </c>
      <c r="D2214" s="1">
        <v>42703</v>
      </c>
      <c r="E2214">
        <v>84</v>
      </c>
      <c r="F2214">
        <f>VLOOKUP(ORDERS[[#This Row],[ProductID]],Products[],4,FALSE)</f>
        <v>22</v>
      </c>
      <c r="G2214">
        <v>0</v>
      </c>
      <c r="H2214">
        <f>(ORDERS[[#This Row],[UnitsOrdered]]*ORDERS[[#This Row],[unit price]])-(ORDERS[[#This Row],[UnitsOrdered]]*ORDERS[[#This Row],[unit price]]*ORDERS[[#This Row],[Discount]])</f>
        <v>1848</v>
      </c>
      <c r="I2214" t="str">
        <f>VLOOKUP(ORDERS[[#This Row],[CustomerID]],customers[],2,FALSE)</f>
        <v>Threads</v>
      </c>
      <c r="J2214" s="2" t="str">
        <f>VLOOKUP(ORDERS[[#This Row],[CustomerID]],customers[],4,FALSE)</f>
        <v>Seattle</v>
      </c>
      <c r="K2214" s="2" t="str">
        <f>VLOOKUP(ORDERS[[#This Row],[ProductID]],Products[],3,FALSE)</f>
        <v>Both</v>
      </c>
      <c r="L2214" s="2">
        <f>DAY(ORDERS[[#This Row],[OrderDate]])</f>
        <v>29</v>
      </c>
      <c r="M2214" s="2">
        <f>YEAR(ORDERS[[#This Row],[OrderDate]])</f>
        <v>2016</v>
      </c>
    </row>
    <row r="2215" spans="1:13" x14ac:dyDescent="0.3">
      <c r="A2215">
        <v>2214</v>
      </c>
      <c r="B2215">
        <v>6</v>
      </c>
      <c r="C2215">
        <v>4</v>
      </c>
      <c r="D2215" s="1">
        <v>42703</v>
      </c>
      <c r="E2215">
        <v>30</v>
      </c>
      <c r="F2215">
        <f>VLOOKUP(ORDERS[[#This Row],[ProductID]],Products[],4,FALSE)</f>
        <v>30</v>
      </c>
      <c r="G2215">
        <v>0</v>
      </c>
      <c r="H2215">
        <f>(ORDERS[[#This Row],[UnitsOrdered]]*ORDERS[[#This Row],[unit price]])-(ORDERS[[#This Row],[UnitsOrdered]]*ORDERS[[#This Row],[unit price]]*ORDERS[[#This Row],[Discount]])</f>
        <v>900</v>
      </c>
      <c r="I2215" t="str">
        <f>VLOOKUP(ORDERS[[#This Row],[CustomerID]],customers[],2,FALSE)</f>
        <v>Abracadaba Ink</v>
      </c>
      <c r="J2215" s="2" t="str">
        <f>VLOOKUP(ORDERS[[#This Row],[CustomerID]],customers[],4,FALSE)</f>
        <v>Salt Lake City</v>
      </c>
      <c r="K2215" s="2" t="str">
        <f>VLOOKUP(ORDERS[[#This Row],[ProductID]],Products[],3,FALSE)</f>
        <v>Both</v>
      </c>
      <c r="L2215" s="2">
        <f>DAY(ORDERS[[#This Row],[OrderDate]])</f>
        <v>29</v>
      </c>
      <c r="M2215" s="2">
        <f>YEAR(ORDERS[[#This Row],[OrderDate]])</f>
        <v>2016</v>
      </c>
    </row>
    <row r="2216" spans="1:13" x14ac:dyDescent="0.3">
      <c r="A2216">
        <v>2215</v>
      </c>
      <c r="B2216">
        <v>6</v>
      </c>
      <c r="C2216">
        <v>2</v>
      </c>
      <c r="D2216" s="1">
        <v>42704</v>
      </c>
      <c r="E2216">
        <v>29</v>
      </c>
      <c r="F2216">
        <f>VLOOKUP(ORDERS[[#This Row],[ProductID]],Products[],4,FALSE)</f>
        <v>30</v>
      </c>
      <c r="G2216">
        <v>5.0000001000000002E-2</v>
      </c>
      <c r="H2216">
        <f>(ORDERS[[#This Row],[UnitsOrdered]]*ORDERS[[#This Row],[unit price]])-(ORDERS[[#This Row],[UnitsOrdered]]*ORDERS[[#This Row],[unit price]]*ORDERS[[#This Row],[Discount]])</f>
        <v>826.49999912999999</v>
      </c>
      <c r="I2216" t="str">
        <f>VLOOKUP(ORDERS[[#This Row],[CustomerID]],customers[],2,FALSE)</f>
        <v>Abracadaba Ink</v>
      </c>
      <c r="J2216" s="2" t="str">
        <f>VLOOKUP(ORDERS[[#This Row],[CustomerID]],customers[],4,FALSE)</f>
        <v>Salt Lake City</v>
      </c>
      <c r="K2216" s="2" t="str">
        <f>VLOOKUP(ORDERS[[#This Row],[ProductID]],Products[],3,FALSE)</f>
        <v>Both</v>
      </c>
      <c r="L2216" s="2">
        <f>DAY(ORDERS[[#This Row],[OrderDate]])</f>
        <v>30</v>
      </c>
      <c r="M2216" s="2">
        <f>YEAR(ORDERS[[#This Row],[OrderDate]])</f>
        <v>2016</v>
      </c>
    </row>
    <row r="2217" spans="1:13" x14ac:dyDescent="0.3">
      <c r="A2217">
        <v>2216</v>
      </c>
      <c r="B2217">
        <v>1</v>
      </c>
      <c r="C2217">
        <v>3</v>
      </c>
      <c r="D2217" s="1">
        <v>42706</v>
      </c>
      <c r="E2217">
        <v>57</v>
      </c>
      <c r="F2217">
        <f>VLOOKUP(ORDERS[[#This Row],[ProductID]],Products[],4,FALSE)</f>
        <v>22</v>
      </c>
      <c r="G2217">
        <v>0</v>
      </c>
      <c r="H2217">
        <f>(ORDERS[[#This Row],[UnitsOrdered]]*ORDERS[[#This Row],[unit price]])-(ORDERS[[#This Row],[UnitsOrdered]]*ORDERS[[#This Row],[unit price]]*ORDERS[[#This Row],[Discount]])</f>
        <v>1254</v>
      </c>
      <c r="I2217" t="str">
        <f>VLOOKUP(ORDERS[[#This Row],[CustomerID]],customers[],2,FALSE)</f>
        <v>Threads</v>
      </c>
      <c r="J2217" s="2" t="str">
        <f>VLOOKUP(ORDERS[[#This Row],[CustomerID]],customers[],4,FALSE)</f>
        <v>Seattle</v>
      </c>
      <c r="K2217" s="2" t="str">
        <f>VLOOKUP(ORDERS[[#This Row],[ProductID]],Products[],3,FALSE)</f>
        <v>Both</v>
      </c>
      <c r="L2217" s="2">
        <f>DAY(ORDERS[[#This Row],[OrderDate]])</f>
        <v>2</v>
      </c>
      <c r="M2217" s="2">
        <f>YEAR(ORDERS[[#This Row],[OrderDate]])</f>
        <v>2016</v>
      </c>
    </row>
    <row r="2218" spans="1:13" x14ac:dyDescent="0.3">
      <c r="A2218">
        <v>2217</v>
      </c>
      <c r="B2218">
        <v>5</v>
      </c>
      <c r="C2218">
        <v>9</v>
      </c>
      <c r="D2218" s="1">
        <v>42706</v>
      </c>
      <c r="E2218">
        <v>83</v>
      </c>
      <c r="F2218">
        <f>VLOOKUP(ORDERS[[#This Row],[ProductID]],Products[],4,FALSE)</f>
        <v>25</v>
      </c>
      <c r="G2218">
        <v>0</v>
      </c>
      <c r="H2218">
        <f>(ORDERS[[#This Row],[UnitsOrdered]]*ORDERS[[#This Row],[unit price]])-(ORDERS[[#This Row],[UnitsOrdered]]*ORDERS[[#This Row],[unit price]]*ORDERS[[#This Row],[Discount]])</f>
        <v>2075</v>
      </c>
      <c r="I2218" t="str">
        <f>VLOOKUP(ORDERS[[#This Row],[CustomerID]],customers[],2,FALSE)</f>
        <v>Rags to Riches</v>
      </c>
      <c r="J2218" s="2" t="str">
        <f>VLOOKUP(ORDERS[[#This Row],[CustomerID]],customers[],4,FALSE)</f>
        <v>Las Vegas</v>
      </c>
      <c r="K2218" s="2" t="str">
        <f>VLOOKUP(ORDERS[[#This Row],[ProductID]],Products[],3,FALSE)</f>
        <v>Male</v>
      </c>
      <c r="L2218" s="2">
        <f>DAY(ORDERS[[#This Row],[OrderDate]])</f>
        <v>2</v>
      </c>
      <c r="M2218" s="2">
        <f>YEAR(ORDERS[[#This Row],[OrderDate]])</f>
        <v>2016</v>
      </c>
    </row>
    <row r="2219" spans="1:13" x14ac:dyDescent="0.3">
      <c r="A2219">
        <v>2218</v>
      </c>
      <c r="B2219">
        <v>7</v>
      </c>
      <c r="C2219">
        <v>10</v>
      </c>
      <c r="D2219" s="1">
        <v>42706</v>
      </c>
      <c r="E2219">
        <v>61</v>
      </c>
      <c r="F2219">
        <f>VLOOKUP(ORDERS[[#This Row],[ProductID]],Products[],4,FALSE)</f>
        <v>35</v>
      </c>
      <c r="G2219">
        <v>0</v>
      </c>
      <c r="H2219">
        <f>(ORDERS[[#This Row],[UnitsOrdered]]*ORDERS[[#This Row],[unit price]])-(ORDERS[[#This Row],[UnitsOrdered]]*ORDERS[[#This Row],[unit price]]*ORDERS[[#This Row],[Discount]])</f>
        <v>2135</v>
      </c>
      <c r="I2219" t="str">
        <f>VLOOKUP(ORDERS[[#This Row],[CustomerID]],customers[],2,FALSE)</f>
        <v>The Shirt on Your Back</v>
      </c>
      <c r="J2219" s="2" t="str">
        <f>VLOOKUP(ORDERS[[#This Row],[CustomerID]],customers[],4,FALSE)</f>
        <v>Bonners Ferry</v>
      </c>
      <c r="K2219" s="2" t="str">
        <f>VLOOKUP(ORDERS[[#This Row],[ProductID]],Products[],3,FALSE)</f>
        <v>Male</v>
      </c>
      <c r="L2219" s="2">
        <f>DAY(ORDERS[[#This Row],[OrderDate]])</f>
        <v>2</v>
      </c>
      <c r="M2219" s="2">
        <f>YEAR(ORDERS[[#This Row],[OrderDate]])</f>
        <v>2016</v>
      </c>
    </row>
    <row r="2220" spans="1:13" x14ac:dyDescent="0.3">
      <c r="A2220">
        <v>2219</v>
      </c>
      <c r="B2220">
        <v>4</v>
      </c>
      <c r="C2220">
        <v>9</v>
      </c>
      <c r="D2220" s="1">
        <v>42707</v>
      </c>
      <c r="E2220">
        <v>45</v>
      </c>
      <c r="F2220">
        <f>VLOOKUP(ORDERS[[#This Row],[ProductID]],Products[],4,FALSE)</f>
        <v>25</v>
      </c>
      <c r="G2220">
        <v>0</v>
      </c>
      <c r="H2220">
        <f>(ORDERS[[#This Row],[UnitsOrdered]]*ORDERS[[#This Row],[unit price]])-(ORDERS[[#This Row],[UnitsOrdered]]*ORDERS[[#This Row],[unit price]]*ORDERS[[#This Row],[Discount]])</f>
        <v>1125</v>
      </c>
      <c r="I2220" t="str">
        <f>VLOOKUP(ORDERS[[#This Row],[CustomerID]],customers[],2,FALSE)</f>
        <v>Tshirt Unlimited</v>
      </c>
      <c r="J2220" s="2" t="str">
        <f>VLOOKUP(ORDERS[[#This Row],[CustomerID]],customers[],4,FALSE)</f>
        <v>Phoenix</v>
      </c>
      <c r="K2220" s="2" t="str">
        <f>VLOOKUP(ORDERS[[#This Row],[ProductID]],Products[],3,FALSE)</f>
        <v>Male</v>
      </c>
      <c r="L2220" s="2">
        <f>DAY(ORDERS[[#This Row],[OrderDate]])</f>
        <v>3</v>
      </c>
      <c r="M2220" s="2">
        <f>YEAR(ORDERS[[#This Row],[OrderDate]])</f>
        <v>2016</v>
      </c>
    </row>
    <row r="2221" spans="1:13" x14ac:dyDescent="0.3">
      <c r="A2221">
        <v>2220</v>
      </c>
      <c r="B2221">
        <v>6</v>
      </c>
      <c r="C2221">
        <v>6</v>
      </c>
      <c r="D2221" s="1">
        <v>42707</v>
      </c>
      <c r="E2221">
        <v>145</v>
      </c>
      <c r="F2221">
        <f>VLOOKUP(ORDERS[[#This Row],[ProductID]],Products[],4,FALSE)</f>
        <v>28</v>
      </c>
      <c r="G2221">
        <v>0.10000000100000001</v>
      </c>
      <c r="H2221">
        <f>(ORDERS[[#This Row],[UnitsOrdered]]*ORDERS[[#This Row],[unit price]])-(ORDERS[[#This Row],[UnitsOrdered]]*ORDERS[[#This Row],[unit price]]*ORDERS[[#This Row],[Discount]])</f>
        <v>3653.9999959400002</v>
      </c>
      <c r="I2221" t="str">
        <f>VLOOKUP(ORDERS[[#This Row],[CustomerID]],customers[],2,FALSE)</f>
        <v>Abracadaba Ink</v>
      </c>
      <c r="J2221" s="2" t="str">
        <f>VLOOKUP(ORDERS[[#This Row],[CustomerID]],customers[],4,FALSE)</f>
        <v>Salt Lake City</v>
      </c>
      <c r="K2221" s="2" t="str">
        <f>VLOOKUP(ORDERS[[#This Row],[ProductID]],Products[],3,FALSE)</f>
        <v>Female</v>
      </c>
      <c r="L2221" s="2">
        <f>DAY(ORDERS[[#This Row],[OrderDate]])</f>
        <v>3</v>
      </c>
      <c r="M2221" s="2">
        <f>YEAR(ORDERS[[#This Row],[OrderDate]])</f>
        <v>2016</v>
      </c>
    </row>
    <row r="2222" spans="1:13" x14ac:dyDescent="0.3">
      <c r="A2222">
        <v>2221</v>
      </c>
      <c r="B2222">
        <v>4</v>
      </c>
      <c r="C2222">
        <v>7</v>
      </c>
      <c r="D2222" s="1">
        <v>42708</v>
      </c>
      <c r="E2222">
        <v>89</v>
      </c>
      <c r="F2222">
        <f>VLOOKUP(ORDERS[[#This Row],[ProductID]],Products[],4,FALSE)</f>
        <v>38</v>
      </c>
      <c r="G2222">
        <v>0</v>
      </c>
      <c r="H2222">
        <f>(ORDERS[[#This Row],[UnitsOrdered]]*ORDERS[[#This Row],[unit price]])-(ORDERS[[#This Row],[UnitsOrdered]]*ORDERS[[#This Row],[unit price]]*ORDERS[[#This Row],[Discount]])</f>
        <v>3382</v>
      </c>
      <c r="I2222" t="str">
        <f>VLOOKUP(ORDERS[[#This Row],[CustomerID]],customers[],2,FALSE)</f>
        <v>Tshirt Unlimited</v>
      </c>
      <c r="J2222" s="2" t="str">
        <f>VLOOKUP(ORDERS[[#This Row],[CustomerID]],customers[],4,FALSE)</f>
        <v>Phoenix</v>
      </c>
      <c r="K2222" s="2" t="str">
        <f>VLOOKUP(ORDERS[[#This Row],[ProductID]],Products[],3,FALSE)</f>
        <v>Female</v>
      </c>
      <c r="L2222" s="2">
        <f>DAY(ORDERS[[#This Row],[OrderDate]])</f>
        <v>4</v>
      </c>
      <c r="M2222" s="2">
        <f>YEAR(ORDERS[[#This Row],[OrderDate]])</f>
        <v>2016</v>
      </c>
    </row>
    <row r="2223" spans="1:13" x14ac:dyDescent="0.3">
      <c r="A2223">
        <v>2222</v>
      </c>
      <c r="B2223">
        <v>6</v>
      </c>
      <c r="C2223">
        <v>7</v>
      </c>
      <c r="D2223" s="1">
        <v>42709</v>
      </c>
      <c r="E2223">
        <v>100</v>
      </c>
      <c r="F2223">
        <f>VLOOKUP(ORDERS[[#This Row],[ProductID]],Products[],4,FALSE)</f>
        <v>38</v>
      </c>
      <c r="G2223">
        <v>0</v>
      </c>
      <c r="H2223">
        <f>(ORDERS[[#This Row],[UnitsOrdered]]*ORDERS[[#This Row],[unit price]])-(ORDERS[[#This Row],[UnitsOrdered]]*ORDERS[[#This Row],[unit price]]*ORDERS[[#This Row],[Discount]])</f>
        <v>3800</v>
      </c>
      <c r="I2223" t="str">
        <f>VLOOKUP(ORDERS[[#This Row],[CustomerID]],customers[],2,FALSE)</f>
        <v>Abracadaba Ink</v>
      </c>
      <c r="J2223" s="2" t="str">
        <f>VLOOKUP(ORDERS[[#This Row],[CustomerID]],customers[],4,FALSE)</f>
        <v>Salt Lake City</v>
      </c>
      <c r="K2223" s="2" t="str">
        <f>VLOOKUP(ORDERS[[#This Row],[ProductID]],Products[],3,FALSE)</f>
        <v>Female</v>
      </c>
      <c r="L2223" s="2">
        <f>DAY(ORDERS[[#This Row],[OrderDate]])</f>
        <v>5</v>
      </c>
      <c r="M2223" s="2">
        <f>YEAR(ORDERS[[#This Row],[OrderDate]])</f>
        <v>2016</v>
      </c>
    </row>
    <row r="2224" spans="1:13" x14ac:dyDescent="0.3">
      <c r="A2224">
        <v>2223</v>
      </c>
      <c r="B2224">
        <v>4</v>
      </c>
      <c r="C2224">
        <v>10</v>
      </c>
      <c r="D2224" s="1">
        <v>42710</v>
      </c>
      <c r="E2224">
        <v>63</v>
      </c>
      <c r="F2224">
        <f>VLOOKUP(ORDERS[[#This Row],[ProductID]],Products[],4,FALSE)</f>
        <v>35</v>
      </c>
      <c r="G2224">
        <v>0</v>
      </c>
      <c r="H2224">
        <f>(ORDERS[[#This Row],[UnitsOrdered]]*ORDERS[[#This Row],[unit price]])-(ORDERS[[#This Row],[UnitsOrdered]]*ORDERS[[#This Row],[unit price]]*ORDERS[[#This Row],[Discount]])</f>
        <v>2205</v>
      </c>
      <c r="I2224" t="str">
        <f>VLOOKUP(ORDERS[[#This Row],[CustomerID]],customers[],2,FALSE)</f>
        <v>Tshirt Unlimited</v>
      </c>
      <c r="J2224" s="2" t="str">
        <f>VLOOKUP(ORDERS[[#This Row],[CustomerID]],customers[],4,FALSE)</f>
        <v>Phoenix</v>
      </c>
      <c r="K2224" s="2" t="str">
        <f>VLOOKUP(ORDERS[[#This Row],[ProductID]],Products[],3,FALSE)</f>
        <v>Male</v>
      </c>
      <c r="L2224" s="2">
        <f>DAY(ORDERS[[#This Row],[OrderDate]])</f>
        <v>6</v>
      </c>
      <c r="M2224" s="2">
        <f>YEAR(ORDERS[[#This Row],[OrderDate]])</f>
        <v>2016</v>
      </c>
    </row>
    <row r="2225" spans="1:13" x14ac:dyDescent="0.3">
      <c r="A2225">
        <v>2224</v>
      </c>
      <c r="B2225">
        <v>3</v>
      </c>
      <c r="C2225">
        <v>7</v>
      </c>
      <c r="D2225" s="1">
        <v>42712</v>
      </c>
      <c r="E2225">
        <v>140</v>
      </c>
      <c r="F2225">
        <f>VLOOKUP(ORDERS[[#This Row],[ProductID]],Products[],4,FALSE)</f>
        <v>38</v>
      </c>
      <c r="G2225">
        <v>0</v>
      </c>
      <c r="H2225">
        <f>(ORDERS[[#This Row],[UnitsOrdered]]*ORDERS[[#This Row],[unit price]])-(ORDERS[[#This Row],[UnitsOrdered]]*ORDERS[[#This Row],[unit price]]*ORDERS[[#This Row],[Discount]])</f>
        <v>5320</v>
      </c>
      <c r="I2225" t="str">
        <f>VLOOKUP(ORDERS[[#This Row],[CustomerID]],customers[],2,FALSE)</f>
        <v>Shirts R Us</v>
      </c>
      <c r="J2225" s="2" t="str">
        <f>VLOOKUP(ORDERS[[#This Row],[CustomerID]],customers[],4,FALSE)</f>
        <v>Los Angeles</v>
      </c>
      <c r="K2225" s="2" t="str">
        <f>VLOOKUP(ORDERS[[#This Row],[ProductID]],Products[],3,FALSE)</f>
        <v>Female</v>
      </c>
      <c r="L2225" s="2">
        <f>DAY(ORDERS[[#This Row],[OrderDate]])</f>
        <v>8</v>
      </c>
      <c r="M2225" s="2">
        <f>YEAR(ORDERS[[#This Row],[OrderDate]])</f>
        <v>2016</v>
      </c>
    </row>
    <row r="2226" spans="1:13" x14ac:dyDescent="0.3">
      <c r="A2226">
        <v>2225</v>
      </c>
      <c r="B2226">
        <v>7</v>
      </c>
      <c r="C2226">
        <v>4</v>
      </c>
      <c r="D2226" s="1">
        <v>42712</v>
      </c>
      <c r="E2226">
        <v>49</v>
      </c>
      <c r="F2226">
        <f>VLOOKUP(ORDERS[[#This Row],[ProductID]],Products[],4,FALSE)</f>
        <v>30</v>
      </c>
      <c r="G2226">
        <v>5.0000001000000002E-2</v>
      </c>
      <c r="H2226">
        <f>(ORDERS[[#This Row],[UnitsOrdered]]*ORDERS[[#This Row],[unit price]])-(ORDERS[[#This Row],[UnitsOrdered]]*ORDERS[[#This Row],[unit price]]*ORDERS[[#This Row],[Discount]])</f>
        <v>1396.4999985300001</v>
      </c>
      <c r="I2226" t="str">
        <f>VLOOKUP(ORDERS[[#This Row],[CustomerID]],customers[],2,FALSE)</f>
        <v>The Shirt on Your Back</v>
      </c>
      <c r="J2226" s="2" t="str">
        <f>VLOOKUP(ORDERS[[#This Row],[CustomerID]],customers[],4,FALSE)</f>
        <v>Bonners Ferry</v>
      </c>
      <c r="K2226" s="2" t="str">
        <f>VLOOKUP(ORDERS[[#This Row],[ProductID]],Products[],3,FALSE)</f>
        <v>Both</v>
      </c>
      <c r="L2226" s="2">
        <f>DAY(ORDERS[[#This Row],[OrderDate]])</f>
        <v>8</v>
      </c>
      <c r="M2226" s="2">
        <f>YEAR(ORDERS[[#This Row],[OrderDate]])</f>
        <v>2016</v>
      </c>
    </row>
    <row r="2227" spans="1:13" x14ac:dyDescent="0.3">
      <c r="A2227">
        <v>2226</v>
      </c>
      <c r="B2227">
        <v>3</v>
      </c>
      <c r="C2227">
        <v>9</v>
      </c>
      <c r="D2227" s="1">
        <v>42714</v>
      </c>
      <c r="E2227">
        <v>146</v>
      </c>
      <c r="F2227">
        <f>VLOOKUP(ORDERS[[#This Row],[ProductID]],Products[],4,FALSE)</f>
        <v>25</v>
      </c>
      <c r="G2227">
        <v>0</v>
      </c>
      <c r="H2227">
        <f>(ORDERS[[#This Row],[UnitsOrdered]]*ORDERS[[#This Row],[unit price]])-(ORDERS[[#This Row],[UnitsOrdered]]*ORDERS[[#This Row],[unit price]]*ORDERS[[#This Row],[Discount]])</f>
        <v>3650</v>
      </c>
      <c r="I2227" t="str">
        <f>VLOOKUP(ORDERS[[#This Row],[CustomerID]],customers[],2,FALSE)</f>
        <v>Shirts R Us</v>
      </c>
      <c r="J2227" s="2" t="str">
        <f>VLOOKUP(ORDERS[[#This Row],[CustomerID]],customers[],4,FALSE)</f>
        <v>Los Angeles</v>
      </c>
      <c r="K2227" s="2" t="str">
        <f>VLOOKUP(ORDERS[[#This Row],[ProductID]],Products[],3,FALSE)</f>
        <v>Male</v>
      </c>
      <c r="L2227" s="2">
        <f>DAY(ORDERS[[#This Row],[OrderDate]])</f>
        <v>10</v>
      </c>
      <c r="M2227" s="2">
        <f>YEAR(ORDERS[[#This Row],[OrderDate]])</f>
        <v>2016</v>
      </c>
    </row>
    <row r="2228" spans="1:13" x14ac:dyDescent="0.3">
      <c r="A2228">
        <v>2227</v>
      </c>
      <c r="B2228">
        <v>5</v>
      </c>
      <c r="C2228">
        <v>3</v>
      </c>
      <c r="D2228" s="1">
        <v>42715</v>
      </c>
      <c r="E2228">
        <v>86</v>
      </c>
      <c r="F2228">
        <f>VLOOKUP(ORDERS[[#This Row],[ProductID]],Products[],4,FALSE)</f>
        <v>22</v>
      </c>
      <c r="G2228">
        <v>5.0000001000000002E-2</v>
      </c>
      <c r="H2228">
        <f>(ORDERS[[#This Row],[UnitsOrdered]]*ORDERS[[#This Row],[unit price]])-(ORDERS[[#This Row],[UnitsOrdered]]*ORDERS[[#This Row],[unit price]]*ORDERS[[#This Row],[Discount]])</f>
        <v>1797.3999981080001</v>
      </c>
      <c r="I2228" t="str">
        <f>VLOOKUP(ORDERS[[#This Row],[CustomerID]],customers[],2,FALSE)</f>
        <v>Rags to Riches</v>
      </c>
      <c r="J2228" s="2" t="str">
        <f>VLOOKUP(ORDERS[[#This Row],[CustomerID]],customers[],4,FALSE)</f>
        <v>Las Vegas</v>
      </c>
      <c r="K2228" s="2" t="str">
        <f>VLOOKUP(ORDERS[[#This Row],[ProductID]],Products[],3,FALSE)</f>
        <v>Both</v>
      </c>
      <c r="L2228" s="2">
        <f>DAY(ORDERS[[#This Row],[OrderDate]])</f>
        <v>11</v>
      </c>
      <c r="M2228" s="2">
        <f>YEAR(ORDERS[[#This Row],[OrderDate]])</f>
        <v>2016</v>
      </c>
    </row>
    <row r="2229" spans="1:13" x14ac:dyDescent="0.3">
      <c r="A2229">
        <v>2228</v>
      </c>
      <c r="B2229">
        <v>2</v>
      </c>
      <c r="C2229">
        <v>2</v>
      </c>
      <c r="D2229" s="1">
        <v>42716</v>
      </c>
      <c r="E2229">
        <v>71</v>
      </c>
      <c r="F2229">
        <f>VLOOKUP(ORDERS[[#This Row],[ProductID]],Products[],4,FALSE)</f>
        <v>30</v>
      </c>
      <c r="G2229">
        <v>0</v>
      </c>
      <c r="H2229">
        <f>(ORDERS[[#This Row],[UnitsOrdered]]*ORDERS[[#This Row],[unit price]])-(ORDERS[[#This Row],[UnitsOrdered]]*ORDERS[[#This Row],[unit price]]*ORDERS[[#This Row],[Discount]])</f>
        <v>2130</v>
      </c>
      <c r="I2229" t="str">
        <f>VLOOKUP(ORDERS[[#This Row],[CustomerID]],customers[],2,FALSE)</f>
        <v>A Shirts Life</v>
      </c>
      <c r="J2229" s="2" t="str">
        <f>VLOOKUP(ORDERS[[#This Row],[CustomerID]],customers[],4,FALSE)</f>
        <v>Portland</v>
      </c>
      <c r="K2229" s="2" t="str">
        <f>VLOOKUP(ORDERS[[#This Row],[ProductID]],Products[],3,FALSE)</f>
        <v>Both</v>
      </c>
      <c r="L2229" s="2">
        <f>DAY(ORDERS[[#This Row],[OrderDate]])</f>
        <v>12</v>
      </c>
      <c r="M2229" s="2">
        <f>YEAR(ORDERS[[#This Row],[OrderDate]])</f>
        <v>2016</v>
      </c>
    </row>
    <row r="2230" spans="1:13" x14ac:dyDescent="0.3">
      <c r="A2230">
        <v>2229</v>
      </c>
      <c r="B2230">
        <v>7</v>
      </c>
      <c r="C2230">
        <v>4</v>
      </c>
      <c r="D2230" s="1">
        <v>42716</v>
      </c>
      <c r="E2230">
        <v>143</v>
      </c>
      <c r="F2230">
        <f>VLOOKUP(ORDERS[[#This Row],[ProductID]],Products[],4,FALSE)</f>
        <v>30</v>
      </c>
      <c r="G2230">
        <v>0</v>
      </c>
      <c r="H2230">
        <f>(ORDERS[[#This Row],[UnitsOrdered]]*ORDERS[[#This Row],[unit price]])-(ORDERS[[#This Row],[UnitsOrdered]]*ORDERS[[#This Row],[unit price]]*ORDERS[[#This Row],[Discount]])</f>
        <v>4290</v>
      </c>
      <c r="I2230" t="str">
        <f>VLOOKUP(ORDERS[[#This Row],[CustomerID]],customers[],2,FALSE)</f>
        <v>The Shirt on Your Back</v>
      </c>
      <c r="J2230" s="2" t="str">
        <f>VLOOKUP(ORDERS[[#This Row],[CustomerID]],customers[],4,FALSE)</f>
        <v>Bonners Ferry</v>
      </c>
      <c r="K2230" s="2" t="str">
        <f>VLOOKUP(ORDERS[[#This Row],[ProductID]],Products[],3,FALSE)</f>
        <v>Both</v>
      </c>
      <c r="L2230" s="2">
        <f>DAY(ORDERS[[#This Row],[OrderDate]])</f>
        <v>12</v>
      </c>
      <c r="M2230" s="2">
        <f>YEAR(ORDERS[[#This Row],[OrderDate]])</f>
        <v>2016</v>
      </c>
    </row>
    <row r="2231" spans="1:13" x14ac:dyDescent="0.3">
      <c r="A2231">
        <v>2230</v>
      </c>
      <c r="B2231">
        <v>7</v>
      </c>
      <c r="C2231">
        <v>9</v>
      </c>
      <c r="D2231" s="1">
        <v>42716</v>
      </c>
      <c r="E2231">
        <v>41</v>
      </c>
      <c r="F2231">
        <f>VLOOKUP(ORDERS[[#This Row],[ProductID]],Products[],4,FALSE)</f>
        <v>25</v>
      </c>
      <c r="G2231">
        <v>0</v>
      </c>
      <c r="H2231">
        <f>(ORDERS[[#This Row],[UnitsOrdered]]*ORDERS[[#This Row],[unit price]])-(ORDERS[[#This Row],[UnitsOrdered]]*ORDERS[[#This Row],[unit price]]*ORDERS[[#This Row],[Discount]])</f>
        <v>1025</v>
      </c>
      <c r="I2231" t="str">
        <f>VLOOKUP(ORDERS[[#This Row],[CustomerID]],customers[],2,FALSE)</f>
        <v>The Shirt on Your Back</v>
      </c>
      <c r="J2231" s="2" t="str">
        <f>VLOOKUP(ORDERS[[#This Row],[CustomerID]],customers[],4,FALSE)</f>
        <v>Bonners Ferry</v>
      </c>
      <c r="K2231" s="2" t="str">
        <f>VLOOKUP(ORDERS[[#This Row],[ProductID]],Products[],3,FALSE)</f>
        <v>Male</v>
      </c>
      <c r="L2231" s="2">
        <f>DAY(ORDERS[[#This Row],[OrderDate]])</f>
        <v>12</v>
      </c>
      <c r="M2231" s="2">
        <f>YEAR(ORDERS[[#This Row],[OrderDate]])</f>
        <v>2016</v>
      </c>
    </row>
    <row r="2232" spans="1:13" x14ac:dyDescent="0.3">
      <c r="A2232">
        <v>2231</v>
      </c>
      <c r="B2232">
        <v>1</v>
      </c>
      <c r="C2232">
        <v>10</v>
      </c>
      <c r="D2232" s="1">
        <v>42719</v>
      </c>
      <c r="E2232">
        <v>148</v>
      </c>
      <c r="F2232">
        <f>VLOOKUP(ORDERS[[#This Row],[ProductID]],Products[],4,FALSE)</f>
        <v>35</v>
      </c>
      <c r="G2232">
        <v>0.15000000599999999</v>
      </c>
      <c r="H2232">
        <f>(ORDERS[[#This Row],[UnitsOrdered]]*ORDERS[[#This Row],[unit price]])-(ORDERS[[#This Row],[UnitsOrdered]]*ORDERS[[#This Row],[unit price]]*ORDERS[[#This Row],[Discount]])</f>
        <v>4402.9999689200004</v>
      </c>
      <c r="I2232" t="str">
        <f>VLOOKUP(ORDERS[[#This Row],[CustomerID]],customers[],2,FALSE)</f>
        <v>Threads</v>
      </c>
      <c r="J2232" s="2" t="str">
        <f>VLOOKUP(ORDERS[[#This Row],[CustomerID]],customers[],4,FALSE)</f>
        <v>Seattle</v>
      </c>
      <c r="K2232" s="2" t="str">
        <f>VLOOKUP(ORDERS[[#This Row],[ProductID]],Products[],3,FALSE)</f>
        <v>Male</v>
      </c>
      <c r="L2232" s="2">
        <f>DAY(ORDERS[[#This Row],[OrderDate]])</f>
        <v>15</v>
      </c>
      <c r="M2232" s="2">
        <f>YEAR(ORDERS[[#This Row],[OrderDate]])</f>
        <v>2016</v>
      </c>
    </row>
    <row r="2233" spans="1:13" x14ac:dyDescent="0.3">
      <c r="A2233">
        <v>2232</v>
      </c>
      <c r="B2233">
        <v>2</v>
      </c>
      <c r="C2233">
        <v>7</v>
      </c>
      <c r="D2233" s="1">
        <v>42719</v>
      </c>
      <c r="E2233">
        <v>118</v>
      </c>
      <c r="F2233">
        <f>VLOOKUP(ORDERS[[#This Row],[ProductID]],Products[],4,FALSE)</f>
        <v>38</v>
      </c>
      <c r="G2233">
        <v>0</v>
      </c>
      <c r="H2233">
        <f>(ORDERS[[#This Row],[UnitsOrdered]]*ORDERS[[#This Row],[unit price]])-(ORDERS[[#This Row],[UnitsOrdered]]*ORDERS[[#This Row],[unit price]]*ORDERS[[#This Row],[Discount]])</f>
        <v>4484</v>
      </c>
      <c r="I2233" t="str">
        <f>VLOOKUP(ORDERS[[#This Row],[CustomerID]],customers[],2,FALSE)</f>
        <v>A Shirts Life</v>
      </c>
      <c r="J2233" s="2" t="str">
        <f>VLOOKUP(ORDERS[[#This Row],[CustomerID]],customers[],4,FALSE)</f>
        <v>Portland</v>
      </c>
      <c r="K2233" s="2" t="str">
        <f>VLOOKUP(ORDERS[[#This Row],[ProductID]],Products[],3,FALSE)</f>
        <v>Female</v>
      </c>
      <c r="L2233" s="2">
        <f>DAY(ORDERS[[#This Row],[OrderDate]])</f>
        <v>15</v>
      </c>
      <c r="M2233" s="2">
        <f>YEAR(ORDERS[[#This Row],[OrderDate]])</f>
        <v>2016</v>
      </c>
    </row>
    <row r="2234" spans="1:13" x14ac:dyDescent="0.3">
      <c r="A2234">
        <v>2233</v>
      </c>
      <c r="B2234">
        <v>3</v>
      </c>
      <c r="C2234">
        <v>5</v>
      </c>
      <c r="D2234" s="1">
        <v>42719</v>
      </c>
      <c r="E2234">
        <v>137</v>
      </c>
      <c r="F2234">
        <f>VLOOKUP(ORDERS[[#This Row],[ProductID]],Products[],4,FALSE)</f>
        <v>16</v>
      </c>
      <c r="G2234">
        <v>0</v>
      </c>
      <c r="H2234">
        <f>(ORDERS[[#This Row],[UnitsOrdered]]*ORDERS[[#This Row],[unit price]])-(ORDERS[[#This Row],[UnitsOrdered]]*ORDERS[[#This Row],[unit price]]*ORDERS[[#This Row],[Discount]])</f>
        <v>2192</v>
      </c>
      <c r="I2234" t="str">
        <f>VLOOKUP(ORDERS[[#This Row],[CustomerID]],customers[],2,FALSE)</f>
        <v>Shirts R Us</v>
      </c>
      <c r="J2234" s="2" t="str">
        <f>VLOOKUP(ORDERS[[#This Row],[CustomerID]],customers[],4,FALSE)</f>
        <v>Los Angeles</v>
      </c>
      <c r="K2234" s="2" t="str">
        <f>VLOOKUP(ORDERS[[#This Row],[ProductID]],Products[],3,FALSE)</f>
        <v>Female</v>
      </c>
      <c r="L2234" s="2">
        <f>DAY(ORDERS[[#This Row],[OrderDate]])</f>
        <v>15</v>
      </c>
      <c r="M2234" s="2">
        <f>YEAR(ORDERS[[#This Row],[OrderDate]])</f>
        <v>2016</v>
      </c>
    </row>
    <row r="2235" spans="1:13" x14ac:dyDescent="0.3">
      <c r="A2235">
        <v>2234</v>
      </c>
      <c r="B2235">
        <v>5</v>
      </c>
      <c r="C2235">
        <v>7</v>
      </c>
      <c r="D2235" s="1">
        <v>42719</v>
      </c>
      <c r="E2235">
        <v>60</v>
      </c>
      <c r="F2235">
        <f>VLOOKUP(ORDERS[[#This Row],[ProductID]],Products[],4,FALSE)</f>
        <v>38</v>
      </c>
      <c r="G2235">
        <v>0.10000000100000001</v>
      </c>
      <c r="H2235">
        <f>(ORDERS[[#This Row],[UnitsOrdered]]*ORDERS[[#This Row],[unit price]])-(ORDERS[[#This Row],[UnitsOrdered]]*ORDERS[[#This Row],[unit price]]*ORDERS[[#This Row],[Discount]])</f>
        <v>2051.99999772</v>
      </c>
      <c r="I2235" t="str">
        <f>VLOOKUP(ORDERS[[#This Row],[CustomerID]],customers[],2,FALSE)</f>
        <v>Rags to Riches</v>
      </c>
      <c r="J2235" s="2" t="str">
        <f>VLOOKUP(ORDERS[[#This Row],[CustomerID]],customers[],4,FALSE)</f>
        <v>Las Vegas</v>
      </c>
      <c r="K2235" s="2" t="str">
        <f>VLOOKUP(ORDERS[[#This Row],[ProductID]],Products[],3,FALSE)</f>
        <v>Female</v>
      </c>
      <c r="L2235" s="2">
        <f>DAY(ORDERS[[#This Row],[OrderDate]])</f>
        <v>15</v>
      </c>
      <c r="M2235" s="2">
        <f>YEAR(ORDERS[[#This Row],[OrderDate]])</f>
        <v>2016</v>
      </c>
    </row>
    <row r="2236" spans="1:13" x14ac:dyDescent="0.3">
      <c r="A2236">
        <v>2235</v>
      </c>
      <c r="B2236">
        <v>6</v>
      </c>
      <c r="C2236">
        <v>5</v>
      </c>
      <c r="D2236" s="1">
        <v>42719</v>
      </c>
      <c r="E2236">
        <v>116</v>
      </c>
      <c r="F2236">
        <f>VLOOKUP(ORDERS[[#This Row],[ProductID]],Products[],4,FALSE)</f>
        <v>16</v>
      </c>
      <c r="G2236">
        <v>0</v>
      </c>
      <c r="H2236">
        <f>(ORDERS[[#This Row],[UnitsOrdered]]*ORDERS[[#This Row],[unit price]])-(ORDERS[[#This Row],[UnitsOrdered]]*ORDERS[[#This Row],[unit price]]*ORDERS[[#This Row],[Discount]])</f>
        <v>1856</v>
      </c>
      <c r="I2236" t="str">
        <f>VLOOKUP(ORDERS[[#This Row],[CustomerID]],customers[],2,FALSE)</f>
        <v>Abracadaba Ink</v>
      </c>
      <c r="J2236" s="2" t="str">
        <f>VLOOKUP(ORDERS[[#This Row],[CustomerID]],customers[],4,FALSE)</f>
        <v>Salt Lake City</v>
      </c>
      <c r="K2236" s="2" t="str">
        <f>VLOOKUP(ORDERS[[#This Row],[ProductID]],Products[],3,FALSE)</f>
        <v>Female</v>
      </c>
      <c r="L2236" s="2">
        <f>DAY(ORDERS[[#This Row],[OrderDate]])</f>
        <v>15</v>
      </c>
      <c r="M2236" s="2">
        <f>YEAR(ORDERS[[#This Row],[OrderDate]])</f>
        <v>2016</v>
      </c>
    </row>
    <row r="2237" spans="1:13" x14ac:dyDescent="0.3">
      <c r="A2237">
        <v>2236</v>
      </c>
      <c r="B2237">
        <v>3</v>
      </c>
      <c r="C2237">
        <v>1</v>
      </c>
      <c r="D2237" s="1">
        <v>42720</v>
      </c>
      <c r="E2237">
        <v>64</v>
      </c>
      <c r="F2237">
        <f>VLOOKUP(ORDERS[[#This Row],[ProductID]],Products[],4,FALSE)</f>
        <v>20</v>
      </c>
      <c r="G2237">
        <v>0</v>
      </c>
      <c r="H2237">
        <f>(ORDERS[[#This Row],[UnitsOrdered]]*ORDERS[[#This Row],[unit price]])-(ORDERS[[#This Row],[UnitsOrdered]]*ORDERS[[#This Row],[unit price]]*ORDERS[[#This Row],[Discount]])</f>
        <v>1280</v>
      </c>
      <c r="I2237" t="str">
        <f>VLOOKUP(ORDERS[[#This Row],[CustomerID]],customers[],2,FALSE)</f>
        <v>Shirts R Us</v>
      </c>
      <c r="J2237" s="2" t="str">
        <f>VLOOKUP(ORDERS[[#This Row],[CustomerID]],customers[],4,FALSE)</f>
        <v>Los Angeles</v>
      </c>
      <c r="K2237" s="2" t="str">
        <f>VLOOKUP(ORDERS[[#This Row],[ProductID]],Products[],3,FALSE)</f>
        <v>Both</v>
      </c>
      <c r="L2237" s="2">
        <f>DAY(ORDERS[[#This Row],[OrderDate]])</f>
        <v>16</v>
      </c>
      <c r="M2237" s="2">
        <f>YEAR(ORDERS[[#This Row],[OrderDate]])</f>
        <v>2016</v>
      </c>
    </row>
    <row r="2238" spans="1:13" x14ac:dyDescent="0.3">
      <c r="A2238">
        <v>2237</v>
      </c>
      <c r="B2238">
        <v>4</v>
      </c>
      <c r="C2238">
        <v>9</v>
      </c>
      <c r="D2238" s="1">
        <v>42722</v>
      </c>
      <c r="E2238">
        <v>49</v>
      </c>
      <c r="F2238">
        <f>VLOOKUP(ORDERS[[#This Row],[ProductID]],Products[],4,FALSE)</f>
        <v>25</v>
      </c>
      <c r="G2238">
        <v>0</v>
      </c>
      <c r="H2238">
        <f>(ORDERS[[#This Row],[UnitsOrdered]]*ORDERS[[#This Row],[unit price]])-(ORDERS[[#This Row],[UnitsOrdered]]*ORDERS[[#This Row],[unit price]]*ORDERS[[#This Row],[Discount]])</f>
        <v>1225</v>
      </c>
      <c r="I2238" t="str">
        <f>VLOOKUP(ORDERS[[#This Row],[CustomerID]],customers[],2,FALSE)</f>
        <v>Tshirt Unlimited</v>
      </c>
      <c r="J2238" s="2" t="str">
        <f>VLOOKUP(ORDERS[[#This Row],[CustomerID]],customers[],4,FALSE)</f>
        <v>Phoenix</v>
      </c>
      <c r="K2238" s="2" t="str">
        <f>VLOOKUP(ORDERS[[#This Row],[ProductID]],Products[],3,FALSE)</f>
        <v>Male</v>
      </c>
      <c r="L2238" s="2">
        <f>DAY(ORDERS[[#This Row],[OrderDate]])</f>
        <v>18</v>
      </c>
      <c r="M2238" s="2">
        <f>YEAR(ORDERS[[#This Row],[OrderDate]])</f>
        <v>2016</v>
      </c>
    </row>
    <row r="2239" spans="1:13" x14ac:dyDescent="0.3">
      <c r="A2239">
        <v>2238</v>
      </c>
      <c r="B2239">
        <v>6</v>
      </c>
      <c r="C2239">
        <v>6</v>
      </c>
      <c r="D2239" s="1">
        <v>42723</v>
      </c>
      <c r="E2239">
        <v>79</v>
      </c>
      <c r="F2239">
        <f>VLOOKUP(ORDERS[[#This Row],[ProductID]],Products[],4,FALSE)</f>
        <v>28</v>
      </c>
      <c r="G2239">
        <v>0</v>
      </c>
      <c r="H2239">
        <f>(ORDERS[[#This Row],[UnitsOrdered]]*ORDERS[[#This Row],[unit price]])-(ORDERS[[#This Row],[UnitsOrdered]]*ORDERS[[#This Row],[unit price]]*ORDERS[[#This Row],[Discount]])</f>
        <v>2212</v>
      </c>
      <c r="I2239" t="str">
        <f>VLOOKUP(ORDERS[[#This Row],[CustomerID]],customers[],2,FALSE)</f>
        <v>Abracadaba Ink</v>
      </c>
      <c r="J2239" s="2" t="str">
        <f>VLOOKUP(ORDERS[[#This Row],[CustomerID]],customers[],4,FALSE)</f>
        <v>Salt Lake City</v>
      </c>
      <c r="K2239" s="2" t="str">
        <f>VLOOKUP(ORDERS[[#This Row],[ProductID]],Products[],3,FALSE)</f>
        <v>Female</v>
      </c>
      <c r="L2239" s="2">
        <f>DAY(ORDERS[[#This Row],[OrderDate]])</f>
        <v>19</v>
      </c>
      <c r="M2239" s="2">
        <f>YEAR(ORDERS[[#This Row],[OrderDate]])</f>
        <v>2016</v>
      </c>
    </row>
    <row r="2240" spans="1:13" x14ac:dyDescent="0.3">
      <c r="A2240">
        <v>2239</v>
      </c>
      <c r="B2240">
        <v>2</v>
      </c>
      <c r="C2240">
        <v>8</v>
      </c>
      <c r="D2240" s="1">
        <v>42724</v>
      </c>
      <c r="E2240">
        <v>101</v>
      </c>
      <c r="F2240">
        <f>VLOOKUP(ORDERS[[#This Row],[ProductID]],Products[],4,FALSE)</f>
        <v>27</v>
      </c>
      <c r="G2240">
        <v>0</v>
      </c>
      <c r="H2240">
        <f>(ORDERS[[#This Row],[UnitsOrdered]]*ORDERS[[#This Row],[unit price]])-(ORDERS[[#This Row],[UnitsOrdered]]*ORDERS[[#This Row],[unit price]]*ORDERS[[#This Row],[Discount]])</f>
        <v>2727</v>
      </c>
      <c r="I2240" t="str">
        <f>VLOOKUP(ORDERS[[#This Row],[CustomerID]],customers[],2,FALSE)</f>
        <v>A Shirts Life</v>
      </c>
      <c r="J2240" s="2" t="str">
        <f>VLOOKUP(ORDERS[[#This Row],[CustomerID]],customers[],4,FALSE)</f>
        <v>Portland</v>
      </c>
      <c r="K2240" s="2" t="str">
        <f>VLOOKUP(ORDERS[[#This Row],[ProductID]],Products[],3,FALSE)</f>
        <v>Female</v>
      </c>
      <c r="L2240" s="2">
        <f>DAY(ORDERS[[#This Row],[OrderDate]])</f>
        <v>20</v>
      </c>
      <c r="M2240" s="2">
        <f>YEAR(ORDERS[[#This Row],[OrderDate]])</f>
        <v>2016</v>
      </c>
    </row>
    <row r="2241" spans="1:13" x14ac:dyDescent="0.3">
      <c r="A2241">
        <v>2240</v>
      </c>
      <c r="B2241">
        <v>5</v>
      </c>
      <c r="C2241">
        <v>6</v>
      </c>
      <c r="D2241" s="1">
        <v>42724</v>
      </c>
      <c r="E2241">
        <v>43</v>
      </c>
      <c r="F2241">
        <f>VLOOKUP(ORDERS[[#This Row],[ProductID]],Products[],4,FALSE)</f>
        <v>28</v>
      </c>
      <c r="G2241">
        <v>0</v>
      </c>
      <c r="H2241">
        <f>(ORDERS[[#This Row],[UnitsOrdered]]*ORDERS[[#This Row],[unit price]])-(ORDERS[[#This Row],[UnitsOrdered]]*ORDERS[[#This Row],[unit price]]*ORDERS[[#This Row],[Discount]])</f>
        <v>1204</v>
      </c>
      <c r="I2241" t="str">
        <f>VLOOKUP(ORDERS[[#This Row],[CustomerID]],customers[],2,FALSE)</f>
        <v>Rags to Riches</v>
      </c>
      <c r="J2241" s="2" t="str">
        <f>VLOOKUP(ORDERS[[#This Row],[CustomerID]],customers[],4,FALSE)</f>
        <v>Las Vegas</v>
      </c>
      <c r="K2241" s="2" t="str">
        <f>VLOOKUP(ORDERS[[#This Row],[ProductID]],Products[],3,FALSE)</f>
        <v>Female</v>
      </c>
      <c r="L2241" s="2">
        <f>DAY(ORDERS[[#This Row],[OrderDate]])</f>
        <v>20</v>
      </c>
      <c r="M2241" s="2">
        <f>YEAR(ORDERS[[#This Row],[OrderDate]])</f>
        <v>2016</v>
      </c>
    </row>
    <row r="2242" spans="1:13" x14ac:dyDescent="0.3">
      <c r="A2242">
        <v>2241</v>
      </c>
      <c r="B2242">
        <v>5</v>
      </c>
      <c r="C2242">
        <v>10</v>
      </c>
      <c r="D2242" s="1">
        <v>42724</v>
      </c>
      <c r="E2242">
        <v>113</v>
      </c>
      <c r="F2242">
        <f>VLOOKUP(ORDERS[[#This Row],[ProductID]],Products[],4,FALSE)</f>
        <v>35</v>
      </c>
      <c r="G2242">
        <v>0</v>
      </c>
      <c r="H2242">
        <f>(ORDERS[[#This Row],[UnitsOrdered]]*ORDERS[[#This Row],[unit price]])-(ORDERS[[#This Row],[UnitsOrdered]]*ORDERS[[#This Row],[unit price]]*ORDERS[[#This Row],[Discount]])</f>
        <v>3955</v>
      </c>
      <c r="I2242" t="str">
        <f>VLOOKUP(ORDERS[[#This Row],[CustomerID]],customers[],2,FALSE)</f>
        <v>Rags to Riches</v>
      </c>
      <c r="J2242" s="2" t="str">
        <f>VLOOKUP(ORDERS[[#This Row],[CustomerID]],customers[],4,FALSE)</f>
        <v>Las Vegas</v>
      </c>
      <c r="K2242" s="2" t="str">
        <f>VLOOKUP(ORDERS[[#This Row],[ProductID]],Products[],3,FALSE)</f>
        <v>Male</v>
      </c>
      <c r="L2242" s="2">
        <f>DAY(ORDERS[[#This Row],[OrderDate]])</f>
        <v>20</v>
      </c>
      <c r="M2242" s="2">
        <f>YEAR(ORDERS[[#This Row],[OrderDate]])</f>
        <v>2016</v>
      </c>
    </row>
    <row r="2243" spans="1:13" x14ac:dyDescent="0.3">
      <c r="A2243">
        <v>2242</v>
      </c>
      <c r="B2243">
        <v>3</v>
      </c>
      <c r="C2243">
        <v>8</v>
      </c>
      <c r="D2243" s="1">
        <v>42728</v>
      </c>
      <c r="E2243">
        <v>123</v>
      </c>
      <c r="F2243">
        <f>VLOOKUP(ORDERS[[#This Row],[ProductID]],Products[],4,FALSE)</f>
        <v>27</v>
      </c>
      <c r="G2243">
        <v>0</v>
      </c>
      <c r="H2243">
        <f>(ORDERS[[#This Row],[UnitsOrdered]]*ORDERS[[#This Row],[unit price]])-(ORDERS[[#This Row],[UnitsOrdered]]*ORDERS[[#This Row],[unit price]]*ORDERS[[#This Row],[Discount]])</f>
        <v>3321</v>
      </c>
      <c r="I2243" t="str">
        <f>VLOOKUP(ORDERS[[#This Row],[CustomerID]],customers[],2,FALSE)</f>
        <v>Shirts R Us</v>
      </c>
      <c r="J2243" s="2" t="str">
        <f>VLOOKUP(ORDERS[[#This Row],[CustomerID]],customers[],4,FALSE)</f>
        <v>Los Angeles</v>
      </c>
      <c r="K2243" s="2" t="str">
        <f>VLOOKUP(ORDERS[[#This Row],[ProductID]],Products[],3,FALSE)</f>
        <v>Female</v>
      </c>
      <c r="L2243" s="2">
        <f>DAY(ORDERS[[#This Row],[OrderDate]])</f>
        <v>24</v>
      </c>
      <c r="M2243" s="2">
        <f>YEAR(ORDERS[[#This Row],[OrderDate]])</f>
        <v>2016</v>
      </c>
    </row>
    <row r="2244" spans="1:13" x14ac:dyDescent="0.3">
      <c r="A2244">
        <v>2243</v>
      </c>
      <c r="B2244">
        <v>2</v>
      </c>
      <c r="C2244">
        <v>1</v>
      </c>
      <c r="D2244" s="1">
        <v>42730</v>
      </c>
      <c r="E2244">
        <v>83</v>
      </c>
      <c r="F2244">
        <f>VLOOKUP(ORDERS[[#This Row],[ProductID]],Products[],4,FALSE)</f>
        <v>20</v>
      </c>
      <c r="G2244">
        <v>5.0000001000000002E-2</v>
      </c>
      <c r="H2244">
        <f>(ORDERS[[#This Row],[UnitsOrdered]]*ORDERS[[#This Row],[unit price]])-(ORDERS[[#This Row],[UnitsOrdered]]*ORDERS[[#This Row],[unit price]]*ORDERS[[#This Row],[Discount]])</f>
        <v>1576.99999834</v>
      </c>
      <c r="I2244" t="str">
        <f>VLOOKUP(ORDERS[[#This Row],[CustomerID]],customers[],2,FALSE)</f>
        <v>A Shirts Life</v>
      </c>
      <c r="J2244" s="2" t="str">
        <f>VLOOKUP(ORDERS[[#This Row],[CustomerID]],customers[],4,FALSE)</f>
        <v>Portland</v>
      </c>
      <c r="K2244" s="2" t="str">
        <f>VLOOKUP(ORDERS[[#This Row],[ProductID]],Products[],3,FALSE)</f>
        <v>Both</v>
      </c>
      <c r="L2244" s="2">
        <f>DAY(ORDERS[[#This Row],[OrderDate]])</f>
        <v>26</v>
      </c>
      <c r="M2244" s="2">
        <f>YEAR(ORDERS[[#This Row],[OrderDate]])</f>
        <v>2016</v>
      </c>
    </row>
    <row r="2245" spans="1:13" x14ac:dyDescent="0.3">
      <c r="A2245">
        <v>2244</v>
      </c>
      <c r="B2245">
        <v>2</v>
      </c>
      <c r="C2245">
        <v>2</v>
      </c>
      <c r="D2245" s="1">
        <v>42732</v>
      </c>
      <c r="E2245">
        <v>87</v>
      </c>
      <c r="F2245">
        <f>VLOOKUP(ORDERS[[#This Row],[ProductID]],Products[],4,FALSE)</f>
        <v>30</v>
      </c>
      <c r="G2245">
        <v>0</v>
      </c>
      <c r="H2245">
        <f>(ORDERS[[#This Row],[UnitsOrdered]]*ORDERS[[#This Row],[unit price]])-(ORDERS[[#This Row],[UnitsOrdered]]*ORDERS[[#This Row],[unit price]]*ORDERS[[#This Row],[Discount]])</f>
        <v>2610</v>
      </c>
      <c r="I2245" t="str">
        <f>VLOOKUP(ORDERS[[#This Row],[CustomerID]],customers[],2,FALSE)</f>
        <v>A Shirts Life</v>
      </c>
      <c r="J2245" s="2" t="str">
        <f>VLOOKUP(ORDERS[[#This Row],[CustomerID]],customers[],4,FALSE)</f>
        <v>Portland</v>
      </c>
      <c r="K2245" s="2" t="str">
        <f>VLOOKUP(ORDERS[[#This Row],[ProductID]],Products[],3,FALSE)</f>
        <v>Both</v>
      </c>
      <c r="L2245" s="2">
        <f>DAY(ORDERS[[#This Row],[OrderDate]])</f>
        <v>28</v>
      </c>
      <c r="M2245" s="2">
        <f>YEAR(ORDERS[[#This Row],[OrderDate]])</f>
        <v>2016</v>
      </c>
    </row>
    <row r="2246" spans="1:13" x14ac:dyDescent="0.3">
      <c r="A2246">
        <v>2245</v>
      </c>
      <c r="B2246">
        <v>7</v>
      </c>
      <c r="C2246">
        <v>6</v>
      </c>
      <c r="D2246" s="1">
        <v>42732</v>
      </c>
      <c r="E2246">
        <v>58</v>
      </c>
      <c r="F2246">
        <f>VLOOKUP(ORDERS[[#This Row],[ProductID]],Products[],4,FALSE)</f>
        <v>28</v>
      </c>
      <c r="G2246">
        <v>0</v>
      </c>
      <c r="H2246">
        <f>(ORDERS[[#This Row],[UnitsOrdered]]*ORDERS[[#This Row],[unit price]])-(ORDERS[[#This Row],[UnitsOrdered]]*ORDERS[[#This Row],[unit price]]*ORDERS[[#This Row],[Discount]])</f>
        <v>1624</v>
      </c>
      <c r="I2246" t="str">
        <f>VLOOKUP(ORDERS[[#This Row],[CustomerID]],customers[],2,FALSE)</f>
        <v>The Shirt on Your Back</v>
      </c>
      <c r="J2246" s="2" t="str">
        <f>VLOOKUP(ORDERS[[#This Row],[CustomerID]],customers[],4,FALSE)</f>
        <v>Bonners Ferry</v>
      </c>
      <c r="K2246" s="2" t="str">
        <f>VLOOKUP(ORDERS[[#This Row],[ProductID]],Products[],3,FALSE)</f>
        <v>Female</v>
      </c>
      <c r="L2246" s="2">
        <f>DAY(ORDERS[[#This Row],[OrderDate]])</f>
        <v>28</v>
      </c>
      <c r="M2246" s="2">
        <f>YEAR(ORDERS[[#This Row],[OrderDate]])</f>
        <v>2016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AC7C-E8FB-49C8-92C6-F3BAF0372D21}">
  <dimension ref="A3:L43"/>
  <sheetViews>
    <sheetView tabSelected="1" topLeftCell="C1" workbookViewId="0">
      <selection activeCell="F11" sqref="F11"/>
    </sheetView>
  </sheetViews>
  <sheetFormatPr defaultRowHeight="14.4" x14ac:dyDescent="0.3"/>
  <cols>
    <col min="1" max="1" width="12.5546875" bestFit="1" customWidth="1"/>
    <col min="2" max="2" width="12.88671875" bestFit="1" customWidth="1"/>
    <col min="3" max="3" width="19" bestFit="1" customWidth="1"/>
    <col min="4" max="4" width="12.5546875" bestFit="1" customWidth="1"/>
    <col min="6" max="6" width="18.109375" bestFit="1" customWidth="1"/>
    <col min="7" max="7" width="14.44140625" bestFit="1" customWidth="1"/>
    <col min="8" max="8" width="13.21875" bestFit="1" customWidth="1"/>
    <col min="9" max="9" width="15.44140625" bestFit="1" customWidth="1"/>
    <col min="11" max="11" width="12.5546875" bestFit="1" customWidth="1"/>
    <col min="12" max="12" width="14.44140625" bestFit="1" customWidth="1"/>
    <col min="13" max="41" width="15.5546875" bestFit="1" customWidth="1"/>
    <col min="42" max="42" width="10.77734375" bestFit="1" customWidth="1"/>
  </cols>
  <sheetData>
    <row r="3" spans="1:12" x14ac:dyDescent="0.3">
      <c r="A3" t="s">
        <v>69</v>
      </c>
      <c r="D3" t="s">
        <v>71</v>
      </c>
      <c r="F3" t="s">
        <v>72</v>
      </c>
      <c r="H3" t="s">
        <v>74</v>
      </c>
    </row>
    <row r="4" spans="1:12" x14ac:dyDescent="0.3">
      <c r="A4" s="2">
        <v>198145</v>
      </c>
      <c r="D4" s="14">
        <v>5286331.4482188495</v>
      </c>
      <c r="F4" s="15">
        <v>1.6503341100668222E-2</v>
      </c>
      <c r="H4" s="13">
        <v>2245</v>
      </c>
    </row>
    <row r="11" spans="1:12" x14ac:dyDescent="0.3">
      <c r="A11" s="3"/>
      <c r="B11" s="4"/>
      <c r="C11" s="5"/>
      <c r="F11" s="12" t="s">
        <v>82</v>
      </c>
      <c r="G11" t="s">
        <v>70</v>
      </c>
      <c r="H11" t="s">
        <v>68</v>
      </c>
      <c r="I11" t="s">
        <v>73</v>
      </c>
      <c r="K11" s="12" t="s">
        <v>75</v>
      </c>
      <c r="L11" t="s">
        <v>70</v>
      </c>
    </row>
    <row r="12" spans="1:12" x14ac:dyDescent="0.3">
      <c r="A12" s="6"/>
      <c r="B12" s="7"/>
      <c r="C12" s="8"/>
      <c r="F12" s="16" t="s">
        <v>77</v>
      </c>
      <c r="G12" s="14">
        <v>1127283.6996621487</v>
      </c>
      <c r="H12" s="2">
        <v>42028</v>
      </c>
      <c r="I12" s="2">
        <v>472</v>
      </c>
      <c r="K12" s="16">
        <v>1</v>
      </c>
      <c r="L12" s="14">
        <v>170557.29994622202</v>
      </c>
    </row>
    <row r="13" spans="1:12" x14ac:dyDescent="0.3">
      <c r="A13" s="6"/>
      <c r="B13" s="7"/>
      <c r="C13" s="8"/>
      <c r="F13" s="16" t="s">
        <v>78</v>
      </c>
      <c r="G13" s="14">
        <v>1012916.6996050033</v>
      </c>
      <c r="H13" s="2">
        <v>37467</v>
      </c>
      <c r="I13" s="2">
        <v>424</v>
      </c>
      <c r="K13" s="16">
        <v>2</v>
      </c>
      <c r="L13" s="14">
        <v>208634.29995581802</v>
      </c>
    </row>
    <row r="14" spans="1:12" x14ac:dyDescent="0.3">
      <c r="A14" s="6"/>
      <c r="B14" s="7"/>
      <c r="C14" s="8"/>
      <c r="F14" s="16" t="s">
        <v>79</v>
      </c>
      <c r="G14" s="14">
        <v>1157519.999657294</v>
      </c>
      <c r="H14" s="2">
        <v>43374</v>
      </c>
      <c r="I14" s="2">
        <v>499</v>
      </c>
      <c r="K14" s="16">
        <v>3</v>
      </c>
      <c r="L14" s="14">
        <v>164414.39993736296</v>
      </c>
    </row>
    <row r="15" spans="1:12" x14ac:dyDescent="0.3">
      <c r="A15" s="6"/>
      <c r="B15" s="7"/>
      <c r="C15" s="8"/>
      <c r="F15" s="16" t="s">
        <v>80</v>
      </c>
      <c r="G15" s="14">
        <v>986675.64965288772</v>
      </c>
      <c r="H15" s="2">
        <v>37475</v>
      </c>
      <c r="I15" s="2">
        <v>420</v>
      </c>
      <c r="K15" s="16">
        <v>4</v>
      </c>
      <c r="L15" s="14">
        <v>155473.949921867</v>
      </c>
    </row>
    <row r="16" spans="1:12" x14ac:dyDescent="0.3">
      <c r="A16" s="6"/>
      <c r="B16" s="7"/>
      <c r="C16" s="8"/>
      <c r="F16" s="16" t="s">
        <v>81</v>
      </c>
      <c r="G16" s="14">
        <v>1001935.399641512</v>
      </c>
      <c r="H16" s="2">
        <v>37801</v>
      </c>
      <c r="I16" s="2">
        <v>430</v>
      </c>
      <c r="K16" s="16">
        <v>5</v>
      </c>
      <c r="L16" s="14">
        <v>162300.49995305599</v>
      </c>
    </row>
    <row r="17" spans="1:12" x14ac:dyDescent="0.3">
      <c r="A17" s="6"/>
      <c r="B17" s="7"/>
      <c r="C17" s="8"/>
      <c r="F17" s="16" t="s">
        <v>76</v>
      </c>
      <c r="G17" s="14">
        <v>5286331.4482188495</v>
      </c>
      <c r="H17" s="2">
        <v>198145</v>
      </c>
      <c r="I17" s="2">
        <v>2245</v>
      </c>
      <c r="K17" s="16">
        <v>6</v>
      </c>
      <c r="L17" s="14">
        <v>168717.149958781</v>
      </c>
    </row>
    <row r="18" spans="1:12" x14ac:dyDescent="0.3">
      <c r="A18" s="6"/>
      <c r="B18" s="7"/>
      <c r="C18" s="8"/>
      <c r="K18" s="16">
        <v>7</v>
      </c>
      <c r="L18" s="14">
        <v>192369.09994710301</v>
      </c>
    </row>
    <row r="19" spans="1:12" x14ac:dyDescent="0.3">
      <c r="A19" s="6"/>
      <c r="B19" s="7"/>
      <c r="C19" s="8"/>
      <c r="K19" s="16">
        <v>8</v>
      </c>
      <c r="L19" s="14">
        <v>184555.39990701398</v>
      </c>
    </row>
    <row r="20" spans="1:12" x14ac:dyDescent="0.3">
      <c r="A20" s="6"/>
      <c r="B20" s="7"/>
      <c r="C20" s="8"/>
      <c r="K20" s="16">
        <v>9</v>
      </c>
      <c r="L20" s="14">
        <v>214238.44992080401</v>
      </c>
    </row>
    <row r="21" spans="1:12" x14ac:dyDescent="0.3">
      <c r="A21" s="6"/>
      <c r="B21" s="7"/>
      <c r="C21" s="8"/>
      <c r="K21" s="16">
        <v>10</v>
      </c>
      <c r="L21" s="14">
        <v>157717.24994872999</v>
      </c>
    </row>
    <row r="22" spans="1:12" x14ac:dyDescent="0.3">
      <c r="A22" s="6"/>
      <c r="B22" s="7"/>
      <c r="C22" s="8"/>
      <c r="K22" s="16">
        <v>11</v>
      </c>
      <c r="L22" s="14">
        <v>185472.199928716</v>
      </c>
    </row>
    <row r="23" spans="1:12" x14ac:dyDescent="0.3">
      <c r="A23" s="6"/>
      <c r="B23" s="7"/>
      <c r="C23" s="8"/>
      <c r="K23" s="16">
        <v>12</v>
      </c>
      <c r="L23" s="14">
        <v>172158.89997197798</v>
      </c>
    </row>
    <row r="24" spans="1:12" x14ac:dyDescent="0.3">
      <c r="A24" s="6"/>
      <c r="B24" s="7"/>
      <c r="C24" s="8"/>
      <c r="K24" s="16">
        <v>13</v>
      </c>
      <c r="L24" s="14">
        <v>138857.99991568099</v>
      </c>
    </row>
    <row r="25" spans="1:12" x14ac:dyDescent="0.3">
      <c r="A25" s="6"/>
      <c r="B25" s="7"/>
      <c r="C25" s="8"/>
      <c r="K25" s="16">
        <v>14</v>
      </c>
      <c r="L25" s="14">
        <v>184983.39991465601</v>
      </c>
    </row>
    <row r="26" spans="1:12" x14ac:dyDescent="0.3">
      <c r="A26" s="6"/>
      <c r="B26" s="7"/>
      <c r="C26" s="8"/>
      <c r="K26" s="16">
        <v>15</v>
      </c>
      <c r="L26" s="14">
        <v>216830.64990898102</v>
      </c>
    </row>
    <row r="27" spans="1:12" x14ac:dyDescent="0.3">
      <c r="A27" s="6"/>
      <c r="B27" s="7"/>
      <c r="C27" s="8"/>
      <c r="K27" s="16">
        <v>16</v>
      </c>
      <c r="L27" s="14">
        <v>176027.99994573797</v>
      </c>
    </row>
    <row r="28" spans="1:12" x14ac:dyDescent="0.3">
      <c r="A28" s="9"/>
      <c r="B28" s="10"/>
      <c r="C28" s="11"/>
      <c r="K28" s="16">
        <v>17</v>
      </c>
      <c r="L28" s="14">
        <v>114054.649964536</v>
      </c>
    </row>
    <row r="29" spans="1:12" x14ac:dyDescent="0.3">
      <c r="K29" s="16">
        <v>18</v>
      </c>
      <c r="L29" s="14">
        <v>171314.24997408499</v>
      </c>
    </row>
    <row r="30" spans="1:12" x14ac:dyDescent="0.3">
      <c r="K30" s="16">
        <v>19</v>
      </c>
      <c r="L30" s="14">
        <v>165424.74996378997</v>
      </c>
    </row>
    <row r="31" spans="1:12" x14ac:dyDescent="0.3">
      <c r="K31" s="16">
        <v>20</v>
      </c>
      <c r="L31" s="14">
        <v>218258.69991356801</v>
      </c>
    </row>
    <row r="32" spans="1:12" x14ac:dyDescent="0.3">
      <c r="K32" s="16">
        <v>21</v>
      </c>
      <c r="L32" s="14">
        <v>175203.39994403298</v>
      </c>
    </row>
    <row r="33" spans="11:12" x14ac:dyDescent="0.3">
      <c r="K33" s="16">
        <v>22</v>
      </c>
      <c r="L33" s="14">
        <v>175652.24990541302</v>
      </c>
    </row>
    <row r="34" spans="11:12" x14ac:dyDescent="0.3">
      <c r="K34" s="16">
        <v>23</v>
      </c>
      <c r="L34" s="14">
        <v>170405.34995195898</v>
      </c>
    </row>
    <row r="35" spans="11:12" x14ac:dyDescent="0.3">
      <c r="K35" s="16">
        <v>24</v>
      </c>
      <c r="L35" s="14">
        <v>182745.64994354802</v>
      </c>
    </row>
    <row r="36" spans="11:12" x14ac:dyDescent="0.3">
      <c r="K36" s="16">
        <v>25</v>
      </c>
      <c r="L36" s="14">
        <v>148308.34992326799</v>
      </c>
    </row>
    <row r="37" spans="11:12" x14ac:dyDescent="0.3">
      <c r="K37" s="16">
        <v>26</v>
      </c>
      <c r="L37" s="14">
        <v>160074.69994656905</v>
      </c>
    </row>
    <row r="38" spans="11:12" x14ac:dyDescent="0.3">
      <c r="K38" s="16">
        <v>27</v>
      </c>
      <c r="L38" s="14">
        <v>158867.64994720501</v>
      </c>
    </row>
    <row r="39" spans="11:12" x14ac:dyDescent="0.3">
      <c r="K39" s="16">
        <v>28</v>
      </c>
      <c r="L39" s="14">
        <v>172168.44997490902</v>
      </c>
    </row>
    <row r="40" spans="11:12" x14ac:dyDescent="0.3">
      <c r="K40" s="16">
        <v>29</v>
      </c>
      <c r="L40" s="14">
        <v>164607.949950943</v>
      </c>
    </row>
    <row r="41" spans="11:12" x14ac:dyDescent="0.3">
      <c r="K41" s="16">
        <v>30</v>
      </c>
      <c r="L41" s="14">
        <v>155884.29994803097</v>
      </c>
    </row>
    <row r="42" spans="11:12" x14ac:dyDescent="0.3">
      <c r="K42" s="16">
        <v>31</v>
      </c>
      <c r="L42" s="14">
        <v>100052.099984481</v>
      </c>
    </row>
    <row r="43" spans="11:12" x14ac:dyDescent="0.3">
      <c r="K43" s="16" t="s">
        <v>76</v>
      </c>
      <c r="L43" s="14">
        <v>5286331.4482188458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G22" sqref="G2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F79EBAF-0EFF-44BF-9B67-FC32A78CEC03}">
  <ds:schemaRefs/>
</ds:datastoreItem>
</file>

<file path=customXml/itemProps2.xml><?xml version="1.0" encoding="utf-8"?>
<ds:datastoreItem xmlns:ds="http://schemas.openxmlformats.org/officeDocument/2006/customXml" ds:itemID="{D632D4E8-F655-4199-8FEC-94A280243E30}">
  <ds:schemaRefs/>
</ds:datastoreItem>
</file>

<file path=customXml/itemProps3.xml><?xml version="1.0" encoding="utf-8"?>
<ds:datastoreItem xmlns:ds="http://schemas.openxmlformats.org/officeDocument/2006/customXml" ds:itemID="{474355BB-E5DD-454C-A248-4B54622A23E5}">
  <ds:schemaRefs/>
</ds:datastoreItem>
</file>

<file path=customXml/itemProps4.xml><?xml version="1.0" encoding="utf-8"?>
<ds:datastoreItem xmlns:ds="http://schemas.openxmlformats.org/officeDocument/2006/customXml" ds:itemID="{563A74CA-F87E-459D-8EC7-07D011A01B2F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1C82478D-3B10-4D3E-9119-9C278A464873}">
  <ds:schemaRefs/>
</ds:datastoreItem>
</file>

<file path=customXml/itemProps6.xml><?xml version="1.0" encoding="utf-8"?>
<ds:datastoreItem xmlns:ds="http://schemas.openxmlformats.org/officeDocument/2006/customXml" ds:itemID="{BF1072C4-3FAC-4032-B0FE-96D18FA98BCD}">
  <ds:schemaRefs/>
</ds:datastoreItem>
</file>

<file path=customXml/itemProps7.xml><?xml version="1.0" encoding="utf-8"?>
<ds:datastoreItem xmlns:ds="http://schemas.openxmlformats.org/officeDocument/2006/customXml" ds:itemID="{56183C98-AE12-4906-8633-53EF7B0E1565}">
  <ds:schemaRefs/>
</ds:datastoreItem>
</file>

<file path=customXml/itemProps8.xml><?xml version="1.0" encoding="utf-8"?>
<ds:datastoreItem xmlns:ds="http://schemas.openxmlformats.org/officeDocument/2006/customXml" ds:itemID="{40ABEDE6-C15B-44B1-B836-85FFF95E471A}">
  <ds:schemaRefs/>
</ds:datastoreItem>
</file>

<file path=customXml/itemProps9.xml><?xml version="1.0" encoding="utf-8"?>
<ds:datastoreItem xmlns:ds="http://schemas.openxmlformats.org/officeDocument/2006/customXml" ds:itemID="{94B9F593-594C-4137-A115-94529AF2921B}">
  <ds:schemaRefs/>
</ds:datastoreItem>
</file>

<file path=customXml/itemProps10.xml><?xml version="1.0" encoding="utf-8"?>
<ds:datastoreItem xmlns:ds="http://schemas.openxmlformats.org/officeDocument/2006/customXml" ds:itemID="{407FE3BC-B490-454A-A084-7155E0CA4C74}">
  <ds:schemaRefs/>
</ds:datastoreItem>
</file>

<file path=customXml/itemProps11.xml><?xml version="1.0" encoding="utf-8"?>
<ds:datastoreItem xmlns:ds="http://schemas.openxmlformats.org/officeDocument/2006/customXml" ds:itemID="{79C81D79-1AB9-42C3-8D3F-69ECEC05F241}">
  <ds:schemaRefs/>
</ds:datastoreItem>
</file>

<file path=customXml/itemProps12.xml><?xml version="1.0" encoding="utf-8"?>
<ds:datastoreItem xmlns:ds="http://schemas.openxmlformats.org/officeDocument/2006/customXml" ds:itemID="{2A114C26-DE00-4BEE-83AC-70CF50D41FCC}">
  <ds:schemaRefs/>
</ds:datastoreItem>
</file>

<file path=customXml/itemProps13.xml><?xml version="1.0" encoding="utf-8"?>
<ds:datastoreItem xmlns:ds="http://schemas.openxmlformats.org/officeDocument/2006/customXml" ds:itemID="{B0C8B7D2-53A1-47A6-B2ED-D3AA5A642B65}">
  <ds:schemaRefs/>
</ds:datastoreItem>
</file>

<file path=customXml/itemProps14.xml><?xml version="1.0" encoding="utf-8"?>
<ds:datastoreItem xmlns:ds="http://schemas.openxmlformats.org/officeDocument/2006/customXml" ds:itemID="{29DD818B-1CB1-4261-A0F0-6C0BB8462CF6}">
  <ds:schemaRefs/>
</ds:datastoreItem>
</file>

<file path=customXml/itemProps15.xml><?xml version="1.0" encoding="utf-8"?>
<ds:datastoreItem xmlns:ds="http://schemas.openxmlformats.org/officeDocument/2006/customXml" ds:itemID="{326A122A-AD5C-4315-9B42-66F96BA8E8C1}">
  <ds:schemaRefs/>
</ds:datastoreItem>
</file>

<file path=customXml/itemProps16.xml><?xml version="1.0" encoding="utf-8"?>
<ds:datastoreItem xmlns:ds="http://schemas.openxmlformats.org/officeDocument/2006/customXml" ds:itemID="{9A2B44B1-1ECA-4E96-8291-36F95E815408}">
  <ds:schemaRefs/>
</ds:datastoreItem>
</file>

<file path=customXml/itemProps17.xml><?xml version="1.0" encoding="utf-8"?>
<ds:datastoreItem xmlns:ds="http://schemas.openxmlformats.org/officeDocument/2006/customXml" ds:itemID="{74A8742C-DCD8-46E4-96FB-05CB68D0415A}">
  <ds:schemaRefs/>
</ds:datastoreItem>
</file>

<file path=customXml/itemProps18.xml><?xml version="1.0" encoding="utf-8"?>
<ds:datastoreItem xmlns:ds="http://schemas.openxmlformats.org/officeDocument/2006/customXml" ds:itemID="{5FD3D084-FDC7-4615-B2AD-1CCDEC52D868}">
  <ds:schemaRefs/>
</ds:datastoreItem>
</file>

<file path=customXml/itemProps19.xml><?xml version="1.0" encoding="utf-8"?>
<ds:datastoreItem xmlns:ds="http://schemas.openxmlformats.org/officeDocument/2006/customXml" ds:itemID="{67AB3606-938F-4EA2-BF46-9460981168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ORDERS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beter ramzy</dc:creator>
  <cp:lastModifiedBy>بيتر رمزى رياض مترى</cp:lastModifiedBy>
  <dcterms:created xsi:type="dcterms:W3CDTF">2025-05-27T10:53:06Z</dcterms:created>
  <dcterms:modified xsi:type="dcterms:W3CDTF">2025-05-27T12:07:06Z</dcterms:modified>
</cp:coreProperties>
</file>